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00000000000000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使用说明" sheetId="1" r:id="R0000000000000005"/>
    <x:sheet xmlns:r="http://schemas.openxmlformats.org/officeDocument/2006/relationships" name="参数" sheetId="2" r:id="R0000000000000006"/>
    <x:sheet xmlns:r="http://schemas.openxmlformats.org/officeDocument/2006/relationships" name="渠道" sheetId="3" r:id="R0000000000000007"/>
    <x:sheet xmlns:r="http://schemas.openxmlformats.org/officeDocument/2006/relationships" name="模型SKU" sheetId="4" r:id="R0000000000000008"/>
    <x:sheet xmlns:r="http://schemas.openxmlformats.org/officeDocument/2006/relationships" name="官方售价" sheetId="5" r:id="R0000000000000009"/>
    <x:sheet xmlns:r="http://schemas.openxmlformats.org/officeDocument/2006/relationships" name="渠道成本" sheetId="6" r:id="R0000000000000010"/>
    <x:sheet xmlns:r="http://schemas.openxmlformats.org/officeDocument/2006/relationships" name="模型映射" sheetId="7" r:id="R0000000000000011"/>
    <x:sheet xmlns:r="http://schemas.openxmlformats.org/officeDocument/2006/relationships" name="利润测算" sheetId="8" r:id="R0000000000000012"/>
    <x:sheet xmlns:r="http://schemas.openxmlformats.org/officeDocument/2006/relationships" name="来源" sheetId="9" r:id="R0000000000000013"/>
    <x:sheet xmlns:r="http://schemas.openxmlformats.org/officeDocument/2006/relationships" name="校验" sheetId="10" r:id="R0000000000000014"/>
  </x:sheets>
</x:workbook>
</file>

<file path=xl/sharedStrings.xml><?xml version="1.0" encoding="utf-8"?>
<x:sst xmlns:x="http://schemas.openxmlformats.org/spreadsheetml/2006/main">
  <x:si>
    <x:t xml:space="preserve">渠道模型成本与利润结构化模板</x:t>
  </x:si>
  <x:si>
    <x:t xml:space="preserve">用于维护官方售价、渠道成本、模型映射和利润测算。蓝色列为公式结果，浅黄色区域为可编辑输入。</x:t>
  </x:si>
  <x:si>
    <x:t xml:space="preserve">工作表</x:t>
  </x:si>
  <x:si>
    <x:t xml:space="preserve">用途</x:t>
  </x:si>
  <x:si>
    <x:t xml:space="preserve">主键</x:t>
  </x:si>
  <x:si>
    <x:t xml:space="preserve">主要输入</x:t>
  </x:si>
  <x:si>
    <x:t xml:space="preserve">主要输出</x:t>
  </x:si>
  <x:si>
    <x:t xml:space="preserve">是否导入系统</x:t>
  </x:si>
  <x:si>
    <x:t xml:space="preserve">维护频率</x:t>
  </x:si>
  <x:si>
    <x:t xml:space="preserve">备注</x:t>
  </x:si>
  <x:si>
    <x:t xml:space="preserve">参数</x:t>
  </x:si>
  <x:si>
    <x:t xml:space="preserve">集中管理汇率与计算常量</x:t>
  </x:si>
  <x:si>
    <x:t xml:space="preserve">参数代码</x:t>
  </x:si>
  <x:si>
    <x:t xml:space="preserve">汇率、除数、默认倍率</x:t>
  </x:si>
  <x:si>
    <x:t xml:space="preserve">跨表公式参数</x:t>
  </x:si>
  <x:si>
    <x:t xml:space="preserve">否</x:t>
  </x:si>
  <x:si>
    <x:t xml:space="preserve">按需</x:t>
  </x:si>
  <x:si>
    <x:t xml:space="preserve">不要在计算区域硬编码常量</x:t>
  </x:si>
  <x:si>
    <x:t xml:space="preserve">渠道</x:t>
  </x:si>
  <x:si>
    <x:t xml:space="preserve">维护渠道和账户商务条件</x:t>
  </x:si>
  <x:si>
    <x:t xml:space="preserve">渠道代码</x:t>
  </x:si>
  <x:si>
    <x:t xml:space="preserve">币种、充值比例、手续费</x:t>
  </x:si>
  <x:si>
    <x:t xml:space="preserve">渠道主数据</x:t>
  </x:si>
  <x:si>
    <x:t xml:space="preserve">是</x:t>
  </x:si>
  <x:si>
    <x:t xml:space="preserve">渠道变更时</x:t>
  </x:si>
  <x:si>
    <x:t xml:space="preserve">不要在每个模型重复维护</x:t>
  </x:si>
  <x:si>
    <x:t xml:space="preserve">模型SKU</x:t>
  </x:si>
  <x:si>
    <x:t xml:space="preserve">维护模型技术规格</x:t>
  </x:si>
  <x:si>
    <x:t xml:space="preserve">SKU代码</x:t>
  </x:si>
  <x:si>
    <x:t xml:space="preserve">模型、版本、宽高、帧率</x:t>
  </x:si>
  <x:si>
    <x:t xml:space="preserve">计量规格</x:t>
  </x:si>
  <x:si>
    <x:t xml:space="preserve">模型更新时</x:t>
  </x:si>
  <x:si>
    <x:t xml:space="preserve">能力字段与价格分离</x:t>
  </x:si>
  <x:si>
    <x:t xml:space="preserve">官方售价</x:t>
  </x:si>
  <x:si>
    <x:t xml:space="preserve">维护按官方价格生成的全局售价</x:t>
  </x:si>
  <x:si>
    <x:t xml:space="preserve">售价ID</x:t>
  </x:si>
  <x:si>
    <x:t xml:space="preserve">SKU、场景、元/1M</x:t>
  </x:si>
  <x:si>
    <x:t xml:space="preserve">Token/秒及USD售价</x:t>
  </x:si>
  <x:si>
    <x:t xml:space="preserve">官方价格变化时</x:t>
  </x:si>
  <x:si>
    <x:t xml:space="preserve">秒价为公式预览，不是第二价格源</x:t>
  </x:si>
  <x:si>
    <x:t xml:space="preserve">渠道成本</x:t>
  </x:si>
  <x:si>
    <x:t xml:space="preserve">维护实际渠道采购成本规则</x:t>
  </x:si>
  <x:si>
    <x:t xml:space="preserve">成本规则ID</x:t>
  </x:si>
  <x:si>
    <x:t xml:space="preserve">模式、原币价格、折扣、费率</x:t>
  </x:si>
  <x:si>
    <x:t xml:space="preserve">标准USD成本单价</x:t>
  </x:si>
  <x:si>
    <x:t xml:space="preserve">渠道报价变化时</x:t>
  </x:si>
  <x:si>
    <x:t xml:space="preserve">活动规则必须版本化</x:t>
  </x:si>
  <x:si>
    <x:t xml:space="preserve">模型映射</x:t>
  </x:si>
  <x:si>
    <x:t xml:space="preserve">关联客户端模型与上游模型</x:t>
  </x:si>
  <x:si>
    <x:t xml:space="preserve">映射ID</x:t>
  </x:si>
  <x:si>
    <x:t xml:space="preserve">客户端模型、渠道、上游模型</x:t>
  </x:si>
  <x:si>
    <x:t xml:space="preserve">可路由关系</x:t>
  </x:si>
  <x:si>
    <x:t xml:space="preserve">映射变化时</x:t>
  </x:si>
  <x:si>
    <x:t xml:space="preserve">成本最终以渠道+上游模型解析</x:t>
  </x:si>
  <x:si>
    <x:t xml:space="preserve">利润测算</x:t>
  </x:si>
  <x:si>
    <x:t xml:space="preserve">验证收入、成本和毛利润</x:t>
  </x:si>
  <x:si>
    <x:t xml:space="preserve">场景ID</x:t>
  </x:si>
  <x:si>
    <x:t xml:space="preserve">售价ID、成本规则ID、时长、分组倍率</x:t>
  </x:si>
  <x:si>
    <x:t xml:space="preserve">收入、成本、毛利润、毛利率</x:t>
  </x:si>
  <x:si>
    <x:t xml:space="preserve">仅用于配置预览</x:t>
  </x:si>
  <x:si>
    <x:t xml:space="preserve">来源</x:t>
  </x:si>
  <x:si>
    <x:t xml:space="preserve">记录数据来源和采集时间</x:t>
  </x:si>
  <x:si>
    <x:t xml:space="preserve">来源ID</x:t>
  </x:si>
  <x:si>
    <x:t xml:space="preserve">文件、链接、日期、说明</x:t>
  </x:si>
  <x:si>
    <x:t xml:space="preserve">审计线索</x:t>
  </x:si>
  <x:si>
    <x:t xml:space="preserve">每次采集</x:t>
  </x:si>
  <x:si>
    <x:t xml:space="preserve">不长期保存原始上传文件</x:t>
  </x:si>
  <x:si>
    <x:t xml:space="preserve">校验</x:t>
  </x:si>
  <x:si>
    <x:t xml:space="preserve">汇总结构和公式异常</x:t>
  </x:si>
  <x:si>
    <x:t xml:space="preserve">检查项</x:t>
  </x:si>
  <x:si>
    <x:t xml:space="preserve">自动公式</x:t>
  </x:si>
  <x:si>
    <x:t xml:space="preserve">PASS/FAIL</x:t>
  </x:si>
  <x:si>
    <x:t xml:space="preserve">每次导入前</x:t>
  </x:si>
  <x:si>
    <x:t xml:space="preserve">严格模式下FAIL不能激活</x:t>
  </x:si>
  <x:si>
    <x:t xml:space="preserve">核心公式</x:t>
  </x:si>
  <x:si>
    <x:t xml:space="preserve">标准USD单价</x:t>
  </x:si>
  <x:si>
    <x:t xml:space="preserve">原币单价 × 计费倍率 × 采购折扣 ÷ 充值兑换比例 × (1 + 手续费率) × 原币兑USD</x:t>
  </x:si>
  <x:si>
    <x:t xml:space="preserve">视频Token</x:t>
  </x:si>
  <x:si>
    <x:t xml:space="preserve">(输入视频时长合计 + 输出视频时长) × 输出宽 × 输出高 × 输出帧率 ÷ 1024</x:t>
  </x:si>
  <x:si>
    <x:t xml:space="preserve">用户收入</x:t>
  </x:si>
  <x:si>
    <x:t xml:space="preserve">官方售价USD × 用户分组倍率</x:t>
  </x:si>
  <x:si>
    <x:t xml:space="preserve">毛利润</x:t>
  </x:si>
  <x:si>
    <x:t xml:space="preserve">用户实际收入USD - 渠道实际成本USD；毛利率 = 毛利润 ÷ 用户收入</x:t>
  </x:si>
  <x:si>
    <x:t xml:space="preserve">维护流程：来源登记 → 渠道/SKU维护 → 官方售价与渠道成本草稿 → 校验 → 审核 → 激活 → 利润测算</x:t>
  </x:si>
  <x:si>
    <x:t xml:space="preserve">严格模式</x:t>
  </x:si>
  <x:si>
    <x:t xml:space="preserve">缺少活动成本规则的渠道不能参与路由。</x:t>
  </x:si>
  <x:si>
    <x:t xml:space="preserve">计量失败</x:t>
  </x:si>
  <x:si>
    <x:t xml:space="preserve">输入视频提交前解析失败应拒绝；输出视频解析失败不影响交付，但成本进入 settlement_failed。</x:t>
  </x:si>
  <x:si>
    <x:t xml:space="preserve">历史快照</x:t>
  </x:si>
  <x:si>
    <x:t xml:space="preserve">规则、汇率和模型映射变化不能自动改写历史成本及利润。</x:t>
  </x:si>
  <x:si>
    <x:t xml:space="preserve">sd收录.xlsx 导入摘要</x:t>
  </x:si>
  <x:si>
    <x:t xml:space="preserve">项目</x:t>
  </x:si>
  <x:si>
    <x:t xml:space="preserve">数量/范围</x:t>
  </x:si>
  <x:si>
    <x:t xml:space="preserve">说明</x:t>
  </x:si>
  <x:si>
    <x:t xml:space="preserve">原始渠道模型记录</x:t>
  </x:si>
  <x:si>
    <x:t xml:space="preserve">空白分隔行已忽略；每条原始记录均保留源行号</x:t>
  </x:si>
  <x:si>
    <x:t xml:space="preserve">来自channel工作表</x:t>
  </x:si>
  <x:si>
    <x:t xml:space="preserve">多清晰度行已拆分；无官价组合保持draft</x:t>
  </x:si>
  <x:si>
    <x:t xml:space="preserve">无视频/含视频两种定价场景</x:t>
  </x:si>
  <x:si>
    <x:t xml:space="preserve">渠道成本规则</x:t>
  </x:si>
  <x:si>
    <x:t xml:space="preserve">按秒=109；按次=96；按Token=6</x:t>
  </x:si>
  <x:si>
    <x:t xml:space="preserve">多清晰度上游模型按清晰度展开</x:t>
  </x:si>
  <x:si>
    <x:t xml:space="preserve">利润预览</x:t>
  </x:si>
  <x:si>
    <x:t xml:space="preserve">仅对已有官方售价的SKU生成</x:t>
  </x:si>
  <x:si>
    <x:t xml:space="preserve">成本折扣处理</x:t>
  </x:si>
  <x:si>
    <x:t xml:space="preserve">采购折扣=1</x:t>
  </x:si>
  <x:si>
    <x:t xml:space="preserve">原表折扣为成本/官价参考比，已写入备注但不再次乘入成本</x:t>
  </x:si>
  <x:si>
    <x:t xml:space="preserve">待确认策略</x:t>
  </x:si>
  <x:si>
    <x:t xml:space="preserve">WARN</x:t>
  </x:si>
  <x:si>
    <x:t xml:space="preserve">原状态为空或SKU缺失的规则不会自动激活</x:t>
  </x:si>
  <x:si>
    <x:t xml:space="preserve">所有跨表计算常量集中在此维护；蓝色单元格为公式，黄色单元格为可编辑假设。</x:t>
  </x:si>
  <x:si>
    <x:t xml:space="preserve">值</x:t>
  </x:si>
  <x:si>
    <x:t xml:space="preserve">单位</x:t>
  </x:si>
  <x:si>
    <x:t xml:space="preserve">USD_CNY</x:t>
  </x:si>
  <x:si>
    <x:t xml:space="preserve">CNY/USD</x:t>
  </x:si>
  <x:si>
    <x:t xml:space="preserve">假设：1 USD 对应的 CNY 数量；请按实际结算汇率更新</x:t>
  </x:si>
  <x:si>
    <x:t xml:space="preserve">CNY_TO_USD</x:t>
  </x:si>
  <x:si>
    <x:t xml:space="preserve">USD/CNY</x:t>
  </x:si>
  <x:si>
    <x:t xml:space="preserve">公式：1 CNY 对应的 USD 金额</x:t>
  </x:si>
  <x:si>
    <x:t xml:space="preserve">TOKEN_DIVISOR</x:t>
  </x:si>
  <x:si>
    <x:t xml:space="preserve">像素帧/Token</x:t>
  </x:si>
  <x:si>
    <x:t xml:space="preserve">视频 Token 估算公式除数</x:t>
  </x:si>
  <x:si>
    <x:t xml:space="preserve">TOKENS_PER_MILLION</x:t>
  </x:si>
  <x:si>
    <x:t xml:space="preserve">Token</x:t>
  </x:si>
  <x:si>
    <x:t xml:space="preserve">每 1M Token 的换算常量</x:t>
  </x:si>
  <x:si>
    <x:t xml:space="preserve">DEFAULT_GROUP_RATIO</x:t>
  </x:si>
  <x:si>
    <x:t xml:space="preserve">倍率</x:t>
  </x:si>
  <x:si>
    <x:t xml:space="preserve">未指定用户分组时的默认倍率</x:t>
  </x:si>
  <x:si>
    <x:t xml:space="preserve">TEMPLATE_VERSION</x:t>
  </x:si>
  <x:si>
    <x:t xml:space="preserve">版本</x:t>
  </x:si>
  <x:si>
    <x:t xml:space="preserve">已填充 sd收录.xlsx 数据的模板版本</x:t>
  </x:si>
  <x:si>
    <x:t xml:space="preserve">GENERATED_AT</x:t>
  </x:si>
  <x:si>
    <x:t xml:space="preserve">日期</x:t>
  </x:si>
  <x:si>
    <x:t xml:space="preserve">生成日期</x:t>
  </x:si>
  <x:si>
    <x:t xml:space="preserve">渠道级商务条件只维护一次；模型成本通过渠道代码引用。</x:t>
  </x:si>
  <x:si>
    <x:t xml:space="preserve">渠道名称</x:t>
  </x:si>
  <x:si>
    <x:t xml:space="preserve">价格页</x:t>
  </x:si>
  <x:si>
    <x:t xml:space="preserve">默认币种</x:t>
  </x:si>
  <x:si>
    <x:t xml:space="preserve">充值兑换比例</x:t>
  </x:si>
  <x:si>
    <x:t xml:space="preserve">手续费率</x:t>
  </x:si>
  <x:si>
    <x:t xml:space="preserve">计费倍率</x:t>
  </x:si>
  <x:si>
    <x:t xml:space="preserve">付费模式</x:t>
  </x:si>
  <x:si>
    <x:t xml:space="preserve">状态</x:t>
  </x:si>
  <x:si>
    <x:t xml:space="preserve">并发数</x:t>
  </x:si>
  <x:si>
    <x:t xml:space="preserve">严格成本校验</x:t>
  </x:si>
  <x:si>
    <x:t xml:space="preserve">采集日期</x:t>
  </x:si>
  <x:si>
    <x:t xml:space="preserve">技术规格与价格分离。视频 Token 计量使用输出宽、高、帧率和实际输入/输出视频时长。</x:t>
  </x:si>
  <x:si>
    <x:t xml:space="preserve">模型</x:t>
  </x:si>
  <x:si>
    <x:t xml:space="preserve">分辨率档位</x:t>
  </x:si>
  <x:si>
    <x:t xml:space="preserve">输出宽</x:t>
  </x:si>
  <x:si>
    <x:t xml:space="preserve">输出高</x:t>
  </x:si>
  <x:si>
    <x:t xml:space="preserve">帧率</x:t>
  </x:si>
  <x:si>
    <x:t xml:space="preserve">最小时长秒</x:t>
  </x:si>
  <x:si>
    <x:t xml:space="preserve">最大时长秒</x:t>
  </x:si>
  <x:si>
    <x:t xml:space="preserve">比例</x:t>
  </x:si>
  <x:si>
    <x:t xml:space="preserve">支持视频输入</x:t>
  </x:si>
  <x:si>
    <x:t xml:space="preserve">支持真人脸</x:t>
  </x:si>
  <x:si>
    <x:t xml:space="preserve">支持超分</x:t>
  </x:si>
  <x:si>
    <x:t xml:space="preserve">计量方法</x:t>
  </x:si>
  <x:si>
    <x:t xml:space="preserve">每个 SKU 按是否包含输入视频拆成两个定价场景。原币/基准秒和 USD 价格均由公式生成。</x:t>
  </x:si>
  <x:si>
    <x:t xml:space="preserve">客户端模型</x:t>
  </x:si>
  <x:si>
    <x:t xml:space="preserve">定价场景</x:t>
  </x:si>
  <x:si>
    <x:t xml:space="preserve">计费模式</x:t>
  </x:si>
  <x:si>
    <x:t xml:space="preserve">币种</x:t>
  </x:si>
  <x:si>
    <x:t xml:space="preserve">原币/1M</x:t>
  </x:si>
  <x:si>
    <x:t xml:space="preserve">Token/基准秒</x:t>
  </x:si>
  <x:si>
    <x:t xml:space="preserve">原币/基准秒</x:t>
  </x:si>
  <x:si>
    <x:t xml:space="preserve">USD/1M</x:t>
  </x:si>
  <x:si>
    <x:t xml:space="preserve">USD/基准秒</x:t>
  </x:si>
  <x:si>
    <x:t xml:space="preserve">生效时间</x:t>
  </x:si>
  <x:si>
    <x:t xml:space="preserve">失效时间</x:t>
  </x:si>
  <x:si>
    <x:t xml:space="preserve">一行代表一个渠道模型成本规则变体。标准USD单价由原币价格及商务换算参数计算。</x:t>
  </x:si>
  <x:si>
    <x:t xml:space="preserve">上游模型</x:t>
  </x:si>
  <x:si>
    <x:t xml:space="preserve">成本模式</x:t>
  </x:si>
  <x:si>
    <x:t xml:space="preserve">Token子模式</x:t>
  </x:si>
  <x:si>
    <x:t xml:space="preserve">计量来源</x:t>
  </x:si>
  <x:si>
    <x:t xml:space="preserve">Token字段</x:t>
  </x:si>
  <x:si>
    <x:t xml:space="preserve">计费事件</x:t>
  </x:si>
  <x:si>
    <x:t xml:space="preserve">原币按次</x:t>
  </x:si>
  <x:si>
    <x:t xml:space="preserve">原币/秒</x:t>
  </x:si>
  <x:si>
    <x:t xml:space="preserve">原币基础单价</x:t>
  </x:si>
  <x:si>
    <x:t xml:space="preserve">采购折扣</x:t>
  </x:si>
  <x:si>
    <x:t xml:space="preserve">原币兑USD</x:t>
  </x:si>
  <x:si>
    <x:t xml:space="preserve">计价单位</x:t>
  </x:si>
  <x:si>
    <x:t xml:space="preserve">把客户端模型别名映射到指定渠道上游模型和SKU；成本查询仍以实际渠道和上游模型为准。</x:t>
  </x:si>
  <x:si>
    <x:t xml:space="preserve">默认定价场景</x:t>
  </x:si>
  <x:si>
    <x:t xml:space="preserve">启用</x:t>
  </x:si>
  <x:si>
    <x:t xml:space="preserve">黄色列为场景输入；蓝色列根据官方售价和渠道成本规则自动计算。该页用于配置审核，不回写历史利润。</x:t>
  </x:si>
  <x:si>
    <x:t xml:space="preserve">官方售价ID</x:t>
  </x:si>
  <x:si>
    <x:t xml:space="preserve">分组倍率</x:t>
  </x:si>
  <x:si>
    <x:t xml:space="preserve">输入视频秒</x:t>
  </x:si>
  <x:si>
    <x:t xml:space="preserve">输出视频秒</x:t>
  </x:si>
  <x:si>
    <x:t xml:space="preserve">估算Token</x:t>
  </x:si>
  <x:si>
    <x:t xml:space="preserve">官方售价USD</x:t>
  </x:si>
  <x:si>
    <x:t xml:space="preserve">渠道成本USD</x:t>
  </x:si>
  <x:si>
    <x:t xml:space="preserve">用户收入USD</x:t>
  </x:si>
  <x:si>
    <x:t xml:space="preserve">毛利润USD</x:t>
  </x:si>
  <x:si>
    <x:t xml:space="preserve">毛利率</x:t>
  </x:si>
  <x:si>
    <x:t xml:space="preserve">成本状态</x:t>
  </x:si>
  <x:si>
    <x:t xml:space="preserve">记录每项输入的来源、截止日期和审计说明。</x:t>
  </x:si>
  <x:si>
    <x:t xml:space="preserve">数值/范围</x:t>
  </x:si>
  <x:si>
    <x:t xml:space="preserve">截止日期</x:t>
  </x:si>
  <x:si>
    <x:t xml:space="preserve">来源类型</x:t>
  </x:si>
  <x:si>
    <x:t xml:space="preserve">来源名称</x:t>
  </x:si>
  <x:si>
    <x:t xml:space="preserve">引用位置</x:t>
  </x:si>
  <x:si>
    <x:t xml:space="preserve">负责人</x:t>
  </x:si>
  <x:si>
    <x:t xml:space="preserve">访问日期</x:t>
  </x:si>
  <x:si>
    <x:t xml:space="preserve">FAIL必须修复；WARN表示数据已保留但仍需人工补充或确认，相关规则不会自动激活。</x:t>
  </x:si>
  <x:si>
    <x:t xml:space="preserve">错误数</x:t>
  </x:si>
  <x:si>
    <x:t xml:space="preserve">修复位置</x:t>
  </x:si>
  <x:si>
    <x:t xml:space="preserve">渠道!O列</x:t>
  </x:si>
  <x:si>
    <x:t xml:space="preserve">渠道代码重复或商务参数缺失</x:t>
  </x:si>
  <x:si>
    <x:t xml:space="preserve">模型SKU!R列</x:t>
  </x:si>
  <x:si>
    <x:t xml:space="preserve">SKU重复或计量规格缺失</x:t>
  </x:si>
  <x:si>
    <x:t xml:space="preserve">官方售价!T列</x:t>
  </x:si>
  <x:si>
    <x:t xml:space="preserve">售价ID重复或价格规格缺失</x:t>
  </x:si>
  <x:si>
    <x:t xml:space="preserve">渠道成本!AB列</x:t>
  </x:si>
  <x:si>
    <x:t xml:space="preserve">成本规则重复、缺失或换算参数非法</x:t>
  </x:si>
  <x:si>
    <x:t xml:space="preserve">模型映射!L列</x:t>
  </x:si>
  <x:si>
    <x:t xml:space="preserve">映射ID重复或关联字段缺失</x:t>
  </x:si>
  <x:si>
    <x:t xml:space="preserve">利润测算!T列</x:t>
  </x:si>
  <x:si>
    <x:t xml:space="preserve">存在 settlement_failed 场景</x:t>
  </x:si>
  <x:si>
    <x:t xml:space="preserve">来源记录</x:t>
  </x:si>
  <x:si>
    <x:t xml:space="preserve">来源!L列</x:t>
  </x:si>
  <x:si>
    <x:t xml:space="preserve">来源ID重复或审计字段缺失</x:t>
  </x:si>
  <x:si>
    <x:t xml:space="preserve">待映射成本规则</x:t>
  </x:si>
  <x:si>
    <x:t xml:space="preserve">WARN表示原表缺少清晰度，数据已保留但不会激活</x:t>
  </x:si>
  <x:si>
    <x:t xml:space="preserve">待映射模型映射</x:t>
  </x:si>
  <x:si>
    <x:t xml:space="preserve">WARN表示需要人工补充SKU</x:t>
  </x:si>
  <x:si>
    <x:t xml:space="preserve">待确认成本规则</x:t>
  </x:si>
  <x:si>
    <x:t xml:space="preserve">渠道成本!Y列</x:t>
  </x:si>
  <x:si>
    <x:t xml:space="preserve">WARN表示原表状态为空或规则无SKU</x:t>
  </x:si>
  <x:si>
    <x:t xml:space="preserve">负毛利预览</x:t>
  </x:si>
  <x:si>
    <x:t xml:space="preserve">利润测算!S列</x:t>
  </x:si>
  <x:si>
    <x:t xml:space="preserve">WARN表示默认分组倍率下渠道成本高于用户收入</x:t>
  </x:si>
</x:sst>
</file>

<file path=xl/styles.xml><?xml version="1.0" encoding="utf-8"?>
<x:styleSheet xmlns:x="http://schemas.openxmlformats.org/spreadsheetml/2006/main">
  <x:numFmts count="5">
    <x:numFmt numFmtId="176" formatCode="0.0000"/>
    <x:numFmt numFmtId="177" formatCode="yyyy\-mm\-dd"/>
    <x:numFmt numFmtId="178" formatCode="0.000"/>
    <x:numFmt numFmtId="179" formatCode="0.000000"/>
    <x:numFmt numFmtId="180" formatCode="0.0%"/>
  </x:numFmts>
  <x:fonts count="17">
    <x:font>
      <x:sz val="11"/>
      <x:name val="Carlito"/>
    </x:font>
    <x:font>
      <x:b/>
      <x:sz val="18"/>
      <x:color rgb="FFFFFFFF"/>
      <x:name val="Carlito"/>
    </x:font>
    <x:font>
      <x:sz val="10"/>
      <x:color rgb="FF17324D"/>
      <x:name val="Carlito"/>
    </x:font>
    <x:font>
      <x:b/>
      <x:sz val="11"/>
      <x:color rgb="FFFFFFFF"/>
      <x:name val="Carlito"/>
    </x:font>
    <x:font>
      <x:b/>
      <x:sz val="11"/>
      <x:color rgb="FF17324D"/>
      <x:name val="Carlito"/>
    </x:font>
    <x:font>
      <x:b/>
      <x:sz val="11"/>
      <x:color rgb="FFD97706"/>
      <x:name val="Carlito"/>
    </x:font>
    <x:font>
      <x:sz val="11"/>
      <x:color rgb="FF0000FF"/>
      <x:name val="Carlito"/>
    </x:font>
    <x:font>
      <x:sz val="11"/>
      <x:name val="Carlito"/>
    </x:font>
    <x:font>
      <x:sz val="11"/>
      <x:color theme="1"/>
      <x:name val="Carlito"/>
    </x:font>
    <x:font>
      <x:sz val="9"/>
      <x:name val="宋体"/>
    </x:font>
    <x:font>
      <x:sz val="11"/>
      <x:name val="微软雅黑"/>
    </x:font>
    <x:font>
      <x:sz val="11"/>
      <x:name val="宋体"/>
    </x:font>
    <x:font>
      <x:sz val="11"/>
      <x:name val="Noto Sans SC"/>
    </x:font>
    <x:font>
      <x:sz val="11"/>
      <x:name val="Arial"/>
    </x:font>
    <x:font>
      <x:sz val="11"/>
      <x:name val="Carlito"/>
    </x:font>
    <x:font>
      <x:sz val="11"/>
      <x:name val="Calibri"/>
    </x:font>
    <x:font>
      <x:sz val="11"/>
      <x:name val="宋体"/>
    </x:font>
  </x:fonts>
  <x:fills count="8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DDF3EF"/>
      </x:patternFill>
    </x:fill>
    <x:fill>
      <x:patternFill patternType="solid">
        <x:fgColor rgb="FF0F766E"/>
      </x:patternFill>
    </x:fill>
    <x:fill>
      <x:patternFill patternType="solid">
        <x:fgColor rgb="FFF1F5F9"/>
      </x:patternFill>
    </x:fill>
    <x:fill>
      <x:patternFill patternType="solid">
        <x:fgColor rgb="FFFFF4CC"/>
      </x:patternFill>
    </x:fill>
    <x:fill>
      <x:patternFill patternType="solid">
        <x:fgColor rgb="FFE8F1FB"/>
      </x:patternFill>
    </x:fill>
  </x:fills>
  <x:borders count="13">
    <x:border/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  <x:border>
      <x:right style="thin">
        <x:color rgb="FFCBD5E1"/>
      </x:right>
      <x:bottom style="thin">
        <x:color rgb="FFCBD5E1"/>
      </x:bottom>
    </x:border>
    <x:border>
      <x:left style="thin">
        <x:color rgb="FFCBD5E1"/>
      </x:left>
      <x:right style="thin">
        <x:color rgb="FFCBD5E1"/>
      </x:right>
      <x:bottom style="thin">
        <x:color rgb="FFCBD5E1"/>
      </x:bottom>
    </x:border>
    <x:border>
      <x:left style="thin">
        <x:color rgb="FFCBD5E1"/>
      </x:left>
      <x:bottom style="thin">
        <x:color rgb="FFCBD5E1"/>
      </x:bottom>
    </x:border>
    <x:border>
      <x:right style="thin">
        <x:color rgb="FFCBD5E1"/>
      </x:right>
      <x:top style="thin">
        <x:color rgb="FFCBD5E1"/>
      </x:top>
      <x:bottom style="thin">
        <x:color rgb="FFCBD5E1"/>
      </x:bottom>
    </x:border>
    <x:border>
      <x:left style="thin">
        <x:color rgb="FFCBD5E1"/>
      </x:left>
      <x:top style="thin">
        <x:color rgb="FFCBD5E1"/>
      </x:top>
      <x:bottom style="thin">
        <x:color rgb="FFCBD5E1"/>
      </x:bottom>
    </x:border>
    <x:border>
      <x:right style="thin">
        <x:color rgb="FFCBD5E1"/>
      </x:right>
      <x:top style="thin">
        <x:color rgb="FFCBD5E1"/>
      </x:top>
    </x:border>
    <x:border>
      <x:left style="thin">
        <x:color rgb="FFCBD5E1"/>
      </x:left>
      <x:right style="thin">
        <x:color rgb="FFCBD5E1"/>
      </x:right>
      <x:top style="thin">
        <x:color rgb="FFCBD5E1"/>
      </x:top>
    </x:border>
    <x:border>
      <x:left style="thin">
        <x:color rgb="FFCBD5E1"/>
      </x:left>
      <x:top style="thin">
        <x:color rgb="FFCBD5E1"/>
      </x:top>
    </x:border>
    <x:border>
      <x:left style="medium">
        <x:color rgb="FF17324D"/>
      </x:left>
      <x:top style="medium">
        <x:color rgb="FF17324D"/>
      </x:top>
      <x:bottom style="medium">
        <x:color rgb="FF17324D"/>
      </x:bottom>
    </x:border>
    <x:border>
      <x:right style="medium">
        <x:color rgb="FF17324D"/>
      </x:right>
      <x:top style="medium">
        <x:color rgb="FF17324D"/>
      </x:top>
      <x:bottom style="medium">
        <x:color rgb="FF17324D"/>
      </x:bottom>
    </x:border>
    <x:border>
      <x:top style="thin">
        <x:color theme="4" tint="0.39998"/>
      </x:top>
      <x:bottom style="thin">
        <x:color theme="4" tint="0.39998"/>
      </x:bottom>
    </x:border>
  </x:borders>
  <x:cellStyleXfs count="2">
    <x:xf numFmtId="0" fontId="0" fillId="0" borderId="0"/>
    <x:xf numFmtId="0" fontId="7" fillId="0" borderId="0"/>
  </x:cellStyleXfs>
  <x:cellXfs count="46">
    <x:xf numFmtId="0" fontId="0" fillId="0" borderId="0" xfId="0"/>
    <x:xf numFmtId="0" fontId="3" fillId="4" borderId="1" xfId="1" applyFont="1" applyFill="1" applyBorder="1" applyAlignment="1">
      <x:alignment horizontal="center" vertical="center" wrapText="1"/>
    </x:xf>
    <x:xf numFmtId="0" fontId="0" fillId="0" borderId="0" xfId="1" applyFont="1" applyAlignment="1">
      <x:alignment vertical="center"/>
    </x:xf>
    <x:xf numFmtId="0" fontId="0" fillId="5" borderId="2" xfId="1" applyFont="1" applyFill="1" applyBorder="1" applyAlignment="1">
      <x:alignment vertical="center" wrapText="1"/>
    </x:xf>
    <x:xf numFmtId="0" fontId="0" fillId="5" borderId="5" xfId="1" applyFont="1" applyFill="1" applyBorder="1" applyAlignment="1">
      <x:alignment vertical="center" wrapText="1"/>
    </x:xf>
    <x:xf numFmtId="0" fontId="0" fillId="5" borderId="7" xfId="1" applyFont="1" applyFill="1" applyBorder="1" applyAlignment="1">
      <x:alignment vertical="center" wrapText="1"/>
    </x:xf>
    <x:xf numFmtId="0" fontId="5" fillId="0" borderId="0" xfId="1" applyFont="1" applyAlignment="1">
      <x:alignment vertical="center"/>
    </x:xf>
    <x:xf numFmtId="0" fontId="0" fillId="0" borderId="0" xfId="1" applyFont="1" applyAlignment="1">
      <x:alignment vertical="center" wrapText="1"/>
    </x:xf>
    <x:xf numFmtId="0" fontId="0" fillId="0" borderId="2" xfId="1" applyFont="1" applyBorder="1" applyAlignment="1">
      <x:alignment vertical="center" wrapText="1"/>
    </x:xf>
    <x:xf numFmtId="0" fontId="0" fillId="0" borderId="3" xfId="1" applyFont="1" applyBorder="1" applyAlignment="1">
      <x:alignment vertical="center" wrapText="1"/>
    </x:xf>
    <x:xf numFmtId="0" fontId="0" fillId="0" borderId="4" xfId="1" applyFont="1" applyBorder="1" applyAlignment="1">
      <x:alignment vertical="center" wrapText="1"/>
    </x:xf>
    <x:xf numFmtId="0" fontId="0" fillId="0" borderId="5" xfId="1" applyFont="1" applyBorder="1" applyAlignment="1">
      <x:alignment vertical="center" wrapText="1"/>
    </x:xf>
    <x:xf numFmtId="0" fontId="0" fillId="0" borderId="1" xfId="1" applyFont="1" applyBorder="1" applyAlignment="1">
      <x:alignment vertical="center" wrapText="1"/>
    </x:xf>
    <x:xf numFmtId="0" fontId="0" fillId="0" borderId="6" xfId="1" applyFont="1" applyBorder="1" applyAlignment="1">
      <x:alignment vertical="center" wrapText="1"/>
    </x:xf>
    <x:xf numFmtId="0" fontId="0" fillId="0" borderId="7" xfId="1" applyFont="1" applyBorder="1" applyAlignment="1">
      <x:alignment vertical="center" wrapText="1"/>
    </x:xf>
    <x:xf numFmtId="0" fontId="0" fillId="0" borderId="8" xfId="1" applyFont="1" applyBorder="1" applyAlignment="1">
      <x:alignment vertical="center" wrapText="1"/>
    </x:xf>
    <x:xf numFmtId="0" fontId="0" fillId="0" borderId="9" xfId="1" applyFont="1" applyBorder="1" applyAlignment="1">
      <x:alignment vertical="center" wrapText="1"/>
    </x:xf>
    <x:xf numFmtId="176" fontId="6" fillId="6" borderId="0" xfId="1" applyNumberFormat="1" applyFont="1" applyFill="1" applyAlignment="1">
      <x:alignment vertical="center"/>
    </x:xf>
    <x:xf numFmtId="176" fontId="0" fillId="7" borderId="0" xfId="1" applyNumberFormat="1" applyFont="1" applyFill="1" applyAlignment="1">
      <x:alignment vertical="center"/>
    </x:xf>
    <x:xf numFmtId="0" fontId="6" fillId="6" borderId="0" xfId="1" applyFont="1" applyFill="1" applyAlignment="1">
      <x:alignment vertical="center"/>
    </x:xf>
    <x:xf numFmtId="177" fontId="0" fillId="0" borderId="0" xfId="1" applyNumberFormat="1" applyFont="1" applyAlignment="1">
      <x:alignment vertical="center"/>
    </x:xf>
    <x:xf numFmtId="0" fontId="0" fillId="6" borderId="0" xfId="1" applyFont="1" applyFill="1" applyAlignment="1">
      <x:alignment vertical="center"/>
    </x:xf>
    <x:xf numFmtId="10" fontId="0" fillId="6" borderId="0" xfId="1" applyNumberFormat="1" applyFont="1" applyFill="1" applyAlignment="1">
      <x:alignment vertical="center"/>
    </x:xf>
    <x:xf numFmtId="0" fontId="0" fillId="7" borderId="0" xfId="1" applyFont="1" applyFill="1" applyAlignment="1">
      <x:alignment vertical="center"/>
    </x:xf>
    <x:xf numFmtId="178" fontId="0" fillId="0" borderId="0" xfId="1" applyNumberFormat="1" applyFont="1" applyAlignment="1">
      <x:alignment vertical="center"/>
    </x:xf>
    <x:xf numFmtId="4" fontId="0" fillId="7" borderId="0" xfId="1" applyNumberFormat="1" applyFont="1" applyFill="1" applyAlignment="1">
      <x:alignment vertical="center"/>
    </x:xf>
    <x:xf numFmtId="179" fontId="0" fillId="7" borderId="0" xfId="1" applyNumberFormat="1" applyFont="1" applyFill="1" applyAlignment="1">
      <x:alignment vertical="center"/>
    </x:xf>
    <x:xf numFmtId="179" fontId="0" fillId="0" borderId="0" xfId="1" applyNumberFormat="1" applyFont="1" applyAlignment="1">
      <x:alignment vertical="center"/>
    </x:xf>
    <x:xf numFmtId="2" fontId="6" fillId="6" borderId="0" xfId="1" applyNumberFormat="1" applyFont="1" applyFill="1" applyAlignment="1">
      <x:alignment vertical="center"/>
    </x:xf>
    <x:xf numFmtId="180" fontId="0" fillId="7" borderId="0" xfId="1" applyNumberFormat="1" applyFont="1" applyFill="1" applyAlignment="1">
      <x:alignment vertical="center"/>
    </x:xf>
    <x:xf numFmtId="177" fontId="0" fillId="0" borderId="0" xfId="1" applyNumberFormat="1" applyFont="1" applyAlignment="1">
      <x:alignment vertical="center" wrapText="1"/>
    </x:xf>
    <x:xf numFmtId="0" fontId="3" fillId="2" borderId="10" xfId="1" applyFont="1" applyFill="1" applyBorder="1" applyAlignment="1">
      <x:alignment vertical="center"/>
    </x:xf>
    <x:xf numFmtId="0" fontId="3" fillId="2" borderId="11" xfId="1" applyFont="1" applyFill="1" applyBorder="1" applyAlignment="1">
      <x:alignment vertical="center"/>
    </x:xf>
    <x:xf numFmtId="0" fontId="1" fillId="2" borderId="0" xfId="1" applyFont="1" applyFill="1" applyAlignment="1">
      <x:alignment vertical="center"/>
    </x:xf>
    <x:xf numFmtId="0" fontId="2" fillId="3" borderId="0" xfId="1" applyFont="1" applyFill="1" applyAlignment="1">
      <x:alignment vertical="center" wrapText="1"/>
    </x:xf>
    <x:xf numFmtId="0" fontId="3" fillId="2" borderId="0" xfId="1" applyFont="1" applyFill="1" applyAlignment="1">
      <x:alignment vertical="center"/>
    </x:xf>
    <x:xf numFmtId="0" fontId="0" fillId="5" borderId="3" xfId="1" applyFont="1" applyFill="1" applyBorder="1" applyAlignment="1">
      <x:alignment vertical="center" wrapText="1"/>
    </x:xf>
    <x:xf numFmtId="0" fontId="0" fillId="5" borderId="4" xfId="1" applyFont="1" applyFill="1" applyBorder="1" applyAlignment="1">
      <x:alignment vertical="center" wrapText="1"/>
    </x:xf>
    <x:xf numFmtId="0" fontId="0" fillId="5" borderId="1" xfId="1" applyFont="1" applyFill="1" applyBorder="1" applyAlignment="1">
      <x:alignment vertical="center" wrapText="1"/>
    </x:xf>
    <x:xf numFmtId="0" fontId="0" fillId="5" borderId="6" xfId="1" applyFont="1" applyFill="1" applyBorder="1" applyAlignment="1">
      <x:alignment vertical="center" wrapText="1"/>
    </x:xf>
    <x:xf numFmtId="0" fontId="0" fillId="5" borderId="8" xfId="1" applyFont="1" applyFill="1" applyBorder="1" applyAlignment="1">
      <x:alignment vertical="center" wrapText="1"/>
    </x:xf>
    <x:xf numFmtId="0" fontId="0" fillId="5" borderId="9" xfId="1" applyFont="1" applyFill="1" applyBorder="1" applyAlignment="1">
      <x:alignment vertical="center" wrapText="1"/>
    </x:xf>
    <x:xf numFmtId="0" fontId="4" fillId="6" borderId="0" xfId="1" applyFont="1" applyFill="1" applyAlignment="1">
      <x:alignment vertical="center" wrapText="1"/>
    </x:xf>
    <x:xf numFmtId="0" fontId="0" fillId="0" borderId="0" xfId="1" applyFont="1" applyAlignment="1">
      <x:alignment vertical="center" wrapText="1"/>
    </x:xf>
    <x:xf numFmtId="0" fontId="8" fillId="0" borderId="12" xfId="1" applyNumberFormat="1" applyFont="1" applyBorder="1" applyAlignment="1">
      <x:alignment vertical="center"/>
    </x:xf>
    <x:xf numFmtId="0" fontId="14" fillId="0" borderId="0" xfId="1" applyFont="1" applyAlignment="1">
      <x:alignment vertical="center" wrapText="1"/>
    </x:xf>
  </x:cellXfs>
  <x:cellStyles count="2">
    <x:cellStyle name="Normal" xfId="1"/>
    <x:cellStyle name="常规" xfId="0"/>
  </x:cellStyles>
  <x:dxfs count="11">
    <x:dxf>
      <x:font>
        <x:b/>
        <x:color rgb="FF92400E"/>
      </x:font>
      <x:fill>
        <x:patternFill>
          <x:bgColor rgb="FFFFF4CC"/>
        </x:patternFill>
      </x:fill>
    </x:dxf>
    <x:dxf>
      <x:font>
        <x:b/>
        <x:color rgb="FF991B1B"/>
      </x:font>
      <x:fill>
        <x:patternFill>
          <x:bgColor rgb="FFFCE8E6"/>
        </x:patternFill>
      </x:fill>
    </x:dxf>
    <x:dxf>
      <x:font>
        <x:b/>
        <x:color rgb="FF166534"/>
      </x:font>
      <x:fill>
        <x:patternFill>
          <x:bgColor rgb="FFE3F4E8"/>
        </x:patternFill>
      </x:fill>
    </x:dxf>
    <x:dxf>
      <x:font>
        <x:b/>
        <x:color rgb="FF92400E"/>
      </x:font>
      <x:fill>
        <x:patternFill>
          <x:bgColor rgb="FFFFF4CC"/>
        </x:patternFill>
      </x:fill>
    </x:dxf>
    <x:dxf>
      <x:font>
        <x:b/>
        <x:color rgb="FF991B1B"/>
      </x:font>
      <x:fill>
        <x:patternFill>
          <x:bgColor rgb="FFFCE8E6"/>
        </x:patternFill>
      </x:fill>
    </x:dxf>
    <x:dxf>
      <x:font>
        <x:b/>
        <x:color rgb="FF166534"/>
      </x:font>
      <x:fill>
        <x:patternFill>
          <x:bgColor rgb="FFE3F4E8"/>
        </x:patternFill>
      </x:fill>
    </x:dxf>
    <x:dxf>
      <x:font>
        <x:b/>
        <x:color rgb="FF991B1B"/>
      </x:font>
      <x:fill>
        <x:patternFill>
          <x:bgColor rgb="FFFCE8E6"/>
        </x:patternFill>
      </x:fill>
    </x:dxf>
    <x:dxf>
      <x:font>
        <x:b/>
        <x:color rgb="FF92400E"/>
      </x:font>
      <x:fill>
        <x:patternFill>
          <x:bgColor rgb="FFFFF4CC"/>
        </x:patternFill>
      </x:fill>
    </x:dxf>
    <x:dxf>
      <x:font>
        <x:b/>
        <x:color rgb="FF92400E"/>
      </x:font>
      <x:fill>
        <x:patternFill>
          <x:bgColor rgb="FFFFF4CC"/>
        </x:patternFill>
      </x:fill>
    </x:dxf>
    <x:dxf>
      <x:font>
        <x:b/>
        <x:color rgb="FF991B1B"/>
      </x:font>
      <x:fill>
        <x:patternFill>
          <x:bgColor rgb="FFFCE8E6"/>
        </x:patternFill>
      </x:fill>
    </x:dxf>
    <x:dxf>
      <x:font>
        <x:b/>
        <x:color rgb="FF92400E"/>
      </x:font>
      <x:fill>
        <x:patternFill>
          <x:bgColor rgb="FFFFF4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000000000000002" /><Relationship Type="http://schemas.openxmlformats.org/officeDocument/2006/relationships/theme" Target="/xl/theme/theme1.xml" Id="R0000000000000003" /><Relationship Type="http://schemas.openxmlformats.org/officeDocument/2006/relationships/sharedStrings" Target="/xl/sharedStrings.xml" Id="R0000000000000004" /><Relationship Type="http://schemas.openxmlformats.org/officeDocument/2006/relationships/worksheet" Target="/xl/worksheets/sheet1.xml" Id="R0000000000000005" /><Relationship Type="http://schemas.openxmlformats.org/officeDocument/2006/relationships/worksheet" Target="/xl/worksheets/sheet2.xml" Id="R0000000000000006" /><Relationship Type="http://schemas.openxmlformats.org/officeDocument/2006/relationships/worksheet" Target="/xl/worksheets/sheet3.xml" Id="R0000000000000007" /><Relationship Type="http://schemas.openxmlformats.org/officeDocument/2006/relationships/worksheet" Target="/xl/worksheets/sheet4.xml" Id="R0000000000000008" /><Relationship Type="http://schemas.openxmlformats.org/officeDocument/2006/relationships/worksheet" Target="/xl/worksheets/sheet5.xml" Id="R0000000000000009" /><Relationship Type="http://schemas.openxmlformats.org/officeDocument/2006/relationships/worksheet" Target="/xl/worksheets/sheet6.xml" Id="R0000000000000010" /><Relationship Type="http://schemas.openxmlformats.org/officeDocument/2006/relationships/worksheet" Target="/xl/worksheets/sheet7.xml" Id="R0000000000000011" /><Relationship Type="http://schemas.openxmlformats.org/officeDocument/2006/relationships/worksheet" Target="/xl/worksheets/sheet8.xml" Id="R0000000000000012" /><Relationship Type="http://schemas.openxmlformats.org/officeDocument/2006/relationships/worksheet" Target="/xl/worksheets/sheet9.xml" Id="R0000000000000013" /><Relationship Type="http://schemas.openxmlformats.org/officeDocument/2006/relationships/worksheet" Target="/xl/worksheets/sheet10.xml" Id="R0000000000000014" /></Relationships>
</file>

<file path=xl/tables/table1.xml><?xml version="1.0" encoding="utf-8"?>
<x:table xmlns:x="http://schemas.openxmlformats.org/spreadsheetml/2006/main" id="1" name="GuideTable" displayName="GuideTable" ref="A4:H13" totalsRowShown="0">
  <x:autoFilter ref="A4:H13"/>
  <x:tableColumns count="8">
    <x:tableColumn id="1" name="工作表"/>
    <x:tableColumn id="2" name="用途"/>
    <x:tableColumn id="3" name="主键"/>
    <x:tableColumn id="4" name="主要输入"/>
    <x:tableColumn id="5" name="主要输出"/>
    <x:tableColumn id="6" name="是否导入系统"/>
    <x:tableColumn id="7" name="维护频率"/>
    <x:tableColumn id="8" name="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ParametersTable" displayName="ParametersTable" ref="A4:D11" totalsRowShown="0">
  <x:autoFilter ref="A4:D11"/>
  <x:tableColumns count="4">
    <x:tableColumn id="1" name="参数代码"/>
    <x:tableColumn id="2" name="值"/>
    <x:tableColumn id="3" name="单位"/>
    <x:tableColumn id="4" name="说明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11" name="ChannelsTable" displayName="ChannelsTable" ref="A4:O13" headerRowCount="1" totalsRowCount="0" totalsRowShown="0">
  <x:tableColumns count="15">
    <x:tableColumn id="1" name="渠道代码"/>
    <x:tableColumn id="2" name="渠道名称"/>
    <x:tableColumn id="3" name="价格页"/>
    <x:tableColumn id="4" name="默认币种"/>
    <x:tableColumn id="5" name="充值兑换比例"/>
    <x:tableColumn id="6" name="手续费率"/>
    <x:tableColumn id="7" name="计费倍率"/>
    <x:tableColumn id="8" name="付费模式"/>
    <x:tableColumn id="9" name="状态"/>
    <x:tableColumn id="10" name="并发数"/>
    <x:tableColumn id="11" name="严格成本校验"/>
    <x:tableColumn id="12" name="采集日期"/>
    <x:tableColumn id="13" name="来源ID"/>
    <x:tableColumn id="14" name="备注"/>
    <x:tableColumn id="15" name="校验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12" name="ModelSkuTable" displayName="ModelSkuTable" ref="A4:R13" headerRowCount="1" totalsRowCount="0" totalsRowShown="0">
  <x:tableColumns count="18">
    <x:tableColumn id="1" name="SKU代码"/>
    <x:tableColumn id="2" name="模型"/>
    <x:tableColumn id="3" name="版本"/>
    <x:tableColumn id="4" name="分辨率档位"/>
    <x:tableColumn id="5" name="输出宽"/>
    <x:tableColumn id="6" name="输出高"/>
    <x:tableColumn id="7" name="帧率"/>
    <x:tableColumn id="8" name="最小时长秒"/>
    <x:tableColumn id="9" name="最大时长秒"/>
    <x:tableColumn id="10" name="比例"/>
    <x:tableColumn id="11" name="支持视频输入"/>
    <x:tableColumn id="12" name="支持真人脸"/>
    <x:tableColumn id="13" name="支持超分"/>
    <x:tableColumn id="14" name="计量方法"/>
    <x:tableColumn id="15" name="状态"/>
    <x:tableColumn id="16" name="来源ID"/>
    <x:tableColumn id="17" name="备注"/>
    <x:tableColumn id="18" name="校验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13" name="OfficialPricesTable" displayName="OfficialPricesTable" ref="A4:T20" headerRowCount="1" totalsRowCount="0" totalsRowShown="0">
  <x:tableColumns count="20">
    <x:tableColumn id="1" name="售价ID"/>
    <x:tableColumn id="2" name="客户端模型"/>
    <x:tableColumn id="3" name="SKU代码"/>
    <x:tableColumn id="4" name="定价场景"/>
    <x:tableColumn id="5" name="计费模式"/>
    <x:tableColumn id="6" name="币种"/>
    <x:tableColumn id="7" name="原币/1M"/>
    <x:tableColumn id="8" name="输出宽"/>
    <x:tableColumn id="9" name="输出高"/>
    <x:tableColumn id="10" name="帧率"/>
    <x:tableColumn id="11" name="Token/基准秒"/>
    <x:tableColumn id="12" name="原币/基准秒"/>
    <x:tableColumn id="13" name="USD/1M"/>
    <x:tableColumn id="14" name="USD/基准秒"/>
    <x:tableColumn id="15" name="生效时间"/>
    <x:tableColumn id="16" name="失效时间"/>
    <x:tableColumn id="17" name="状态"/>
    <x:tableColumn id="18" name="来源ID"/>
    <x:tableColumn id="19" name="备注"/>
    <x:tableColumn id="20" name="校验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14" name="ChannelCostsTable" displayName="ChannelCostsTable" ref="A4:AB236" headerRowCount="1" totalsRowCount="0" totalsRowShown="0">
  <x:tableColumns count="28">
    <x:tableColumn id="1" name="成本规则ID"/>
    <x:tableColumn id="2" name="渠道代码"/>
    <x:tableColumn id="3" name="上游模型"/>
    <x:tableColumn id="4" name="SKU代码"/>
    <x:tableColumn id="5" name="定价场景"/>
    <x:tableColumn id="6" name="成本模式"/>
    <x:tableColumn id="7" name="Token子模式"/>
    <x:tableColumn id="8" name="计量来源"/>
    <x:tableColumn id="9" name="Token字段"/>
    <x:tableColumn id="10" name="计费事件"/>
    <x:tableColumn id="11" name="币种"/>
    <x:tableColumn id="12" name="原币按次"/>
    <x:tableColumn id="13" name="原币/秒"/>
    <x:tableColumn id="14" name="原币/1M"/>
    <x:tableColumn id="15" name="原币基础单价"/>
    <x:tableColumn id="16" name="计费倍率"/>
    <x:tableColumn id="17" name="采购折扣"/>
    <x:tableColumn id="18" name="充值兑换比例"/>
    <x:tableColumn id="19" name="手续费率"/>
    <x:tableColumn id="20" name="原币兑USD"/>
    <x:tableColumn id="21" name="标准USD单价"/>
    <x:tableColumn id="22" name="计价单位"/>
    <x:tableColumn id="23" name="生效时间"/>
    <x:tableColumn id="24" name="失效时间"/>
    <x:tableColumn id="25" name="状态"/>
    <x:tableColumn id="26" name="来源ID"/>
    <x:tableColumn id="27" name="备注"/>
    <x:tableColumn id="28" name="校验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5" name="ModelMappingsTable" displayName="ModelMappingsTable" ref="A4:L129" headerRowCount="1" totalsRowCount="0" totalsRowShown="0">
  <x:tableColumns count="12">
    <x:tableColumn id="1" name="映射ID"/>
    <x:tableColumn id="2" name="客户端模型"/>
    <x:tableColumn id="3" name="渠道代码"/>
    <x:tableColumn id="4" name="上游模型"/>
    <x:tableColumn id="5" name="SKU代码"/>
    <x:tableColumn id="6" name="默认定价场景"/>
    <x:tableColumn id="7" name="启用"/>
    <x:tableColumn id="8" name="生效时间"/>
    <x:tableColumn id="9" name="失效时间"/>
    <x:tableColumn id="10" name="来源ID"/>
    <x:tableColumn id="11" name="备注"/>
    <x:tableColumn id="12" name="校验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16" name="ProfitScenariosTable" displayName="ProfitScenariosTable" ref="A4:U232" headerRowCount="1" totalsRowCount="0" totalsRowShown="0">
  <x:tableColumns count="21">
    <x:tableColumn id="1" name="场景ID"/>
    <x:tableColumn id="2" name="官方售价ID"/>
    <x:tableColumn id="3" name="成本规则ID"/>
    <x:tableColumn id="4" name="分组倍率"/>
    <x:tableColumn id="5" name="输入视频秒"/>
    <x:tableColumn id="6" name="输出视频秒"/>
    <x:tableColumn id="7" name="SKU代码"/>
    <x:tableColumn id="8" name="定价场景"/>
    <x:tableColumn id="9" name="输出宽"/>
    <x:tableColumn id="10" name="输出高"/>
    <x:tableColumn id="11" name="帧率"/>
    <x:tableColumn id="12" name="估算Token"/>
    <x:tableColumn id="13" name="成本模式"/>
    <x:tableColumn id="14" name="标准USD单价"/>
    <x:tableColumn id="15" name="官方售价USD"/>
    <x:tableColumn id="16" name="渠道成本USD"/>
    <x:tableColumn id="17" name="用户收入USD"/>
    <x:tableColumn id="18" name="毛利润USD"/>
    <x:tableColumn id="19" name="毛利率"/>
    <x:tableColumn id="20" name="成本状态"/>
    <x:tableColumn id="21" name="说明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17" name="SourcesTable" displayName="SourcesTable" ref="A4:L17" headerRowCount="1" totalsRowCount="0" totalsRowShown="0">
  <x:tableColumns count="12">
    <x:tableColumn id="1" name="来源ID"/>
    <x:tableColumn id="2" name="项目"/>
    <x:tableColumn id="3" name="数值/范围"/>
    <x:tableColumn id="4" name="单位"/>
    <x:tableColumn id="5" name="截止日期"/>
    <x:tableColumn id="6" name="来源类型"/>
    <x:tableColumn id="7" name="来源名称"/>
    <x:tableColumn id="8" name="引用位置"/>
    <x:tableColumn id="9" name="负责人"/>
    <x:tableColumn id="10" name="备注"/>
    <x:tableColumn id="11" name="访问日期"/>
    <x:tableColumn id="12" name="校验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ChecksTable" displayName="ChecksTable" ref="A4:E15" totalsRowShown="0">
  <x:autoFilter ref="A4:E15"/>
  <x:tableColumns count="5">
    <x:tableColumn id="1" name="检查项"/>
    <x:tableColumn id="2" name="错误数"/>
    <x:tableColumn id="3" name="状态"/>
    <x:tableColumn id="4" name="修复位置"/>
    <x:tableColumn id="5" name="说明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000000000000001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000000000000001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000000000000001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000000000000001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0000000000000020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0000000000000021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0000000000000022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8.xml" Id="R0000000000000023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9.xml" Id="R0000000000000024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10.xml" Id="R000000000000001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3.5"/>
  <x:cols>
    <x:col min="1" max="1" width="18" customWidth="1"/>
    <x:col min="2" max="2" width="34" customWidth="1"/>
    <x:col min="3" max="3" width="18" customWidth="1"/>
    <x:col min="4" max="4" width="30" customWidth="1"/>
    <x:col min="5" max="5" width="24" customWidth="1"/>
    <x:col min="6" max="7" width="14" customWidth="1"/>
    <x:col min="8" max="8" width="30" customWidth="1"/>
  </x:cols>
  <x:sheetData>
    <x:row r="1" ht="34.04999923706055" customHeight="1">
      <x:c r="A1" s="33" t="s">
        <x:v>0</x:v>
      </x:c>
      <x:c r="B1" s="33"/>
      <x:c r="C1" s="33"/>
      <x:c r="D1" s="33"/>
      <x:c r="E1" s="33"/>
      <x:c r="F1" s="33"/>
      <x:c r="G1" s="33"/>
      <x:c r="H1" s="33"/>
    </x:row>
    <x:row r="2" ht="32" customHeight="1">
      <x:c r="A2" s="34" t="s">
        <x:v>1</x:v>
      </x:c>
      <x:c r="B2" s="34"/>
      <x:c r="C2" s="34"/>
      <x:c r="D2" s="34"/>
      <x:c r="E2" s="34"/>
      <x:c r="F2" s="34"/>
      <x:c r="G2" s="34"/>
      <x:c r="H2" s="34"/>
    </x:row>
    <x:row r="3">
      <x:c r="A3" s="2"/>
      <x:c r="B3" s="2"/>
      <x:c r="C3" s="2"/>
      <x:c r="D3" s="2"/>
      <x:c r="E3" s="2"/>
      <x:c r="F3" s="2"/>
      <x:c r="G3" s="2"/>
      <x:c r="H3" s="2"/>
    </x:row>
    <x:row r="4" ht="34.04999923706055" customHeight="1">
      <x:c r="A4" s="1" t="s">
        <x:v>2</x:v>
      </x:c>
      <x:c r="B4" s="1" t="s">
        <x:v>3</x:v>
      </x:c>
      <x:c r="C4" s="1" t="s">
        <x:v>4</x:v>
      </x:c>
      <x:c r="D4" s="1" t="s">
        <x:v>5</x:v>
      </x:c>
      <x:c r="E4" s="1" t="s">
        <x:v>6</x:v>
      </x:c>
      <x:c r="F4" s="1" t="s">
        <x:v>7</x:v>
      </x:c>
      <x:c r="G4" s="1" t="s">
        <x:v>8</x:v>
      </x:c>
      <x:c r="H4" s="1" t="s">
        <x:v>9</x:v>
      </x:c>
    </x:row>
    <x:row r="5">
      <x:c r="A5" s="2" t="s">
        <x:v>10</x:v>
      </x:c>
      <x:c r="B5" s="2" t="s">
        <x:v>11</x:v>
      </x:c>
      <x:c r="C5" s="2" t="s">
        <x:v>12</x:v>
      </x:c>
      <x:c r="D5" s="2" t="s">
        <x:v>13</x:v>
      </x:c>
      <x:c r="E5" s="2" t="s">
        <x:v>14</x:v>
      </x:c>
      <x:c r="F5" s="2" t="s">
        <x:v>15</x:v>
      </x:c>
      <x:c r="G5" s="2" t="s">
        <x:v>16</x:v>
      </x:c>
      <x:c r="H5" s="2" t="s">
        <x:v>17</x:v>
      </x:c>
    </x:row>
    <x:row r="6">
      <x:c r="A6" s="2" t="s">
        <x:v>18</x:v>
      </x:c>
      <x:c r="B6" s="2" t="s">
        <x:v>19</x:v>
      </x:c>
      <x:c r="C6" s="2" t="s">
        <x:v>20</x:v>
      </x:c>
      <x:c r="D6" s="2" t="s">
        <x:v>21</x:v>
      </x:c>
      <x:c r="E6" s="2" t="s">
        <x:v>22</x:v>
      </x:c>
      <x:c r="F6" s="2" t="s">
        <x:v>23</x:v>
      </x:c>
      <x:c r="G6" s="2" t="s">
        <x:v>24</x:v>
      </x:c>
      <x:c r="H6" s="2" t="s">
        <x:v>25</x:v>
      </x:c>
    </x:row>
    <x:row r="7">
      <x:c r="A7" s="2" t="s">
        <x:v>26</x:v>
      </x:c>
      <x:c r="B7" s="2" t="s">
        <x:v>27</x:v>
      </x:c>
      <x:c r="C7" s="2" t="s">
        <x:v>28</x:v>
      </x:c>
      <x:c r="D7" s="2" t="s">
        <x:v>29</x:v>
      </x:c>
      <x:c r="E7" s="2" t="s">
        <x:v>30</x:v>
      </x:c>
      <x:c r="F7" s="2" t="s">
        <x:v>23</x:v>
      </x:c>
      <x:c r="G7" s="2" t="s">
        <x:v>31</x:v>
      </x:c>
      <x:c r="H7" s="2" t="s">
        <x:v>32</x:v>
      </x:c>
    </x:row>
    <x:row r="8">
      <x:c r="A8" s="2" t="s">
        <x:v>33</x:v>
      </x:c>
      <x:c r="B8" s="2" t="s">
        <x:v>34</x:v>
      </x:c>
      <x:c r="C8" s="2" t="s">
        <x:v>35</x:v>
      </x:c>
      <x:c r="D8" s="2" t="s">
        <x:v>36</x:v>
      </x:c>
      <x:c r="E8" s="2" t="s">
        <x:v>37</x:v>
      </x:c>
      <x:c r="F8" s="2" t="s">
        <x:v>23</x:v>
      </x:c>
      <x:c r="G8" s="2" t="s">
        <x:v>38</x:v>
      </x:c>
      <x:c r="H8" s="2" t="s">
        <x:v>39</x:v>
      </x:c>
    </x:row>
    <x:row r="9">
      <x:c r="A9" s="2" t="s">
        <x:v>40</x:v>
      </x:c>
      <x:c r="B9" s="2" t="s">
        <x:v>41</x:v>
      </x:c>
      <x:c r="C9" s="2" t="s">
        <x:v>42</x:v>
      </x:c>
      <x:c r="D9" s="2" t="s">
        <x:v>43</x:v>
      </x:c>
      <x:c r="E9" s="2" t="s">
        <x:v>44</x:v>
      </x:c>
      <x:c r="F9" s="2" t="s">
        <x:v>23</x:v>
      </x:c>
      <x:c r="G9" s="2" t="s">
        <x:v>45</x:v>
      </x:c>
      <x:c r="H9" s="2" t="s">
        <x:v>46</x:v>
      </x:c>
    </x:row>
    <x:row r="10">
      <x:c r="A10" s="2" t="s">
        <x:v>47</x:v>
      </x:c>
      <x:c r="B10" s="2" t="s">
        <x:v>48</x:v>
      </x:c>
      <x:c r="C10" s="2" t="s">
        <x:v>49</x:v>
      </x:c>
      <x:c r="D10" s="2" t="s">
        <x:v>50</x:v>
      </x:c>
      <x:c r="E10" s="2" t="s">
        <x:v>51</x:v>
      </x:c>
      <x:c r="F10" s="2" t="s">
        <x:v>23</x:v>
      </x:c>
      <x:c r="G10" s="2" t="s">
        <x:v>52</x:v>
      </x:c>
      <x:c r="H10" s="2" t="s">
        <x:v>53</x:v>
      </x:c>
    </x:row>
    <x:row r="11">
      <x:c r="A11" s="2" t="s">
        <x:v>54</x:v>
      </x:c>
      <x:c r="B11" s="2" t="s">
        <x:v>55</x:v>
      </x:c>
      <x:c r="C11" s="2" t="s">
        <x:v>56</x:v>
      </x:c>
      <x:c r="D11" s="2" t="s">
        <x:v>57</x:v>
      </x:c>
      <x:c r="E11" s="2" t="s">
        <x:v>58</x:v>
      </x:c>
      <x:c r="F11" s="2" t="s">
        <x:v>15</x:v>
      </x:c>
      <x:c r="G11" s="2" t="s">
        <x:v>16</x:v>
      </x:c>
      <x:c r="H11" s="2" t="s">
        <x:v>59</x:v>
      </x:c>
    </x:row>
    <x:row r="12">
      <x:c r="A12" s="2" t="s">
        <x:v>60</x:v>
      </x:c>
      <x:c r="B12" s="2" t="s">
        <x:v>61</x:v>
      </x:c>
      <x:c r="C12" s="2" t="s">
        <x:v>62</x:v>
      </x:c>
      <x:c r="D12" s="2" t="s">
        <x:v>63</x:v>
      </x:c>
      <x:c r="E12" s="2" t="s">
        <x:v>64</x:v>
      </x:c>
      <x:c r="F12" s="2" t="s">
        <x:v>23</x:v>
      </x:c>
      <x:c r="G12" s="2" t="s">
        <x:v>65</x:v>
      </x:c>
      <x:c r="H12" s="2" t="s">
        <x:v>66</x:v>
      </x:c>
    </x:row>
    <x:row r="13">
      <x:c r="A13" s="2" t="s">
        <x:v>67</x:v>
      </x:c>
      <x:c r="B13" s="2" t="s">
        <x:v>68</x:v>
      </x:c>
      <x:c r="C13" s="2" t="s">
        <x:v>69</x:v>
      </x:c>
      <x:c r="D13" s="2" t="s">
        <x:v>70</x:v>
      </x:c>
      <x:c r="E13" s="2" t="s">
        <x:v>71</x:v>
      </x:c>
      <x:c r="F13" s="2" t="s">
        <x:v>15</x:v>
      </x:c>
      <x:c r="G13" s="2" t="s">
        <x:v>72</x:v>
      </x:c>
      <x:c r="H13" s="2" t="s">
        <x:v>73</x:v>
      </x:c>
    </x:row>
    <x:row r="14">
      <x:c r="A14" s="2"/>
      <x:c r="B14" s="2"/>
      <x:c r="C14" s="2"/>
      <x:c r="D14" s="2"/>
      <x:c r="E14" s="2"/>
      <x:c r="F14" s="2"/>
      <x:c r="G14" s="2"/>
      <x:c r="H14" s="2"/>
    </x:row>
    <x:row r="15">
      <x:c r="A15" s="2"/>
      <x:c r="B15" s="2"/>
      <x:c r="C15" s="2"/>
      <x:c r="D15" s="2"/>
      <x:c r="E15" s="2"/>
      <x:c r="F15" s="2"/>
      <x:c r="G15" s="2"/>
      <x:c r="H15" s="2"/>
    </x:row>
    <x:row r="16" ht="13.899999618530273">
      <x:c r="A16" s="35" t="s">
        <x:v>74</x:v>
      </x:c>
      <x:c r="B16" s="35"/>
      <x:c r="C16" s="35"/>
      <x:c r="D16" s="35"/>
      <x:c r="E16" s="35"/>
      <x:c r="F16" s="35"/>
      <x:c r="G16" s="35"/>
      <x:c r="H16" s="35"/>
    </x:row>
    <x:row r="17">
      <x:c r="A17" s="3" t="s">
        <x:v>75</x:v>
      </x:c>
      <x:c r="B17" s="36" t="s">
        <x:v>76</x:v>
      </x:c>
      <x:c r="C17" s="36"/>
      <x:c r="D17" s="36"/>
      <x:c r="E17" s="36"/>
      <x:c r="F17" s="36"/>
      <x:c r="G17" s="36"/>
      <x:c r="H17" s="37"/>
    </x:row>
    <x:row r="18">
      <x:c r="A18" s="4" t="s">
        <x:v>77</x:v>
      </x:c>
      <x:c r="B18" s="38" t="s">
        <x:v>78</x:v>
      </x:c>
      <x:c r="C18" s="38"/>
      <x:c r="D18" s="38"/>
      <x:c r="E18" s="38"/>
      <x:c r="F18" s="38"/>
      <x:c r="G18" s="38"/>
      <x:c r="H18" s="39"/>
    </x:row>
    <x:row r="19">
      <x:c r="A19" s="4" t="s">
        <x:v>79</x:v>
      </x:c>
      <x:c r="B19" s="38" t="s">
        <x:v>80</x:v>
      </x:c>
      <x:c r="C19" s="38"/>
      <x:c r="D19" s="38"/>
      <x:c r="E19" s="38"/>
      <x:c r="F19" s="38"/>
      <x:c r="G19" s="38"/>
      <x:c r="H19" s="39"/>
    </x:row>
    <x:row r="20">
      <x:c r="A20" s="5" t="s">
        <x:v>81</x:v>
      </x:c>
      <x:c r="B20" s="40" t="s">
        <x:v>82</x:v>
      </x:c>
      <x:c r="C20" s="40"/>
      <x:c r="D20" s="40"/>
      <x:c r="E20" s="40"/>
      <x:c r="F20" s="40"/>
      <x:c r="G20" s="40"/>
      <x:c r="H20" s="41"/>
    </x:row>
    <x:row r="21">
      <x:c r="A21" s="2"/>
      <x:c r="B21" s="2"/>
      <x:c r="C21" s="2"/>
      <x:c r="D21" s="2"/>
      <x:c r="E21" s="2"/>
      <x:c r="F21" s="2"/>
      <x:c r="G21" s="2"/>
      <x:c r="H21" s="2"/>
    </x:row>
    <x:row r="22" ht="13.899999618530273">
      <x:c r="A22" s="42" t="s">
        <x:v>83</x:v>
      </x:c>
      <x:c r="B22" s="42"/>
      <x:c r="C22" s="42"/>
      <x:c r="D22" s="42"/>
      <x:c r="E22" s="42"/>
      <x:c r="F22" s="42"/>
      <x:c r="G22" s="42"/>
      <x:c r="H22" s="42"/>
    </x:row>
    <x:row r="23">
      <x:c r="A23" s="2"/>
      <x:c r="B23" s="2"/>
      <x:c r="C23" s="2"/>
      <x:c r="D23" s="2"/>
      <x:c r="E23" s="2"/>
      <x:c r="F23" s="2"/>
      <x:c r="G23" s="2"/>
      <x:c r="H23" s="2"/>
    </x:row>
    <x:row r="24" ht="13.899999618530273">
      <x:c r="A24" s="6" t="s">
        <x:v>84</x:v>
      </x:c>
      <x:c r="B24" s="43" t="s">
        <x:v>85</x:v>
      </x:c>
      <x:c r="C24" s="43"/>
      <x:c r="D24" s="43"/>
      <x:c r="E24" s="43"/>
      <x:c r="F24" s="43"/>
      <x:c r="G24" s="43"/>
      <x:c r="H24" s="43"/>
    </x:row>
    <x:row r="25" ht="13.899999618530273">
      <x:c r="A25" s="6" t="s">
        <x:v>86</x:v>
      </x:c>
      <x:c r="B25" s="43" t="s">
        <x:v>87</x:v>
      </x:c>
      <x:c r="C25" s="43"/>
      <x:c r="D25" s="43"/>
      <x:c r="E25" s="43"/>
      <x:c r="F25" s="43"/>
      <x:c r="G25" s="43"/>
      <x:c r="H25" s="43"/>
    </x:row>
    <x:row r="26" ht="13.899999618530273">
      <x:c r="A26" s="6" t="s">
        <x:v>88</x:v>
      </x:c>
      <x:c r="B26" s="43" t="s">
        <x:v>89</x:v>
      </x:c>
      <x:c r="C26" s="43"/>
      <x:c r="D26" s="43"/>
      <x:c r="E26" s="43"/>
      <x:c r="F26" s="43"/>
      <x:c r="G26" s="43"/>
      <x:c r="H26" s="43"/>
    </x:row>
    <x:row r="27">
      <x:c r="A27" s="2"/>
      <x:c r="B27" s="2"/>
      <x:c r="C27" s="2"/>
      <x:c r="D27" s="2"/>
      <x:c r="E27" s="2"/>
      <x:c r="F27" s="2"/>
      <x:c r="G27" s="2"/>
      <x:c r="H27" s="2"/>
    </x:row>
    <x:row r="28" ht="13.899999618530273">
      <x:c r="A28" s="35" t="s">
        <x:v>90</x:v>
      </x:c>
      <x:c r="B28" s="35"/>
      <x:c r="C28" s="35"/>
      <x:c r="D28" s="35"/>
      <x:c r="E28" s="35"/>
      <x:c r="F28" s="35"/>
      <x:c r="G28" s="35"/>
      <x:c r="H28" s="35"/>
    </x:row>
    <x:row r="29" ht="34.04999923706055" customHeight="1">
      <x:c r="A29" s="1" t="s">
        <x:v>91</x:v>
      </x:c>
      <x:c r="B29" s="1" t="s">
        <x:v>92</x:v>
      </x:c>
      <x:c r="C29" s="1" t="s">
        <x:v>93</x:v>
      </x:c>
      <x:c r="D29" s="2"/>
      <x:c r="E29" s="2"/>
      <x:c r="F29" s="2"/>
      <x:c r="G29" s="2"/>
      <x:c r="H29" s="2"/>
    </x:row>
    <x:row r="30" ht="39.599998474121094" customHeight="1">
      <x:c r="A30" s="8" t="s">
        <x:v>94</x:v>
      </x:c>
      <x:c r="B30" s="9" t="n">
        <x:v>115</x:v>
      </x:c>
      <x:c r="C30" s="10" t="s">
        <x:v>95</x:v>
      </x:c>
      <x:c r="D30" s="2"/>
      <x:c r="E30" s="2"/>
      <x:c r="F30" s="2"/>
      <x:c r="G30" s="2"/>
      <x:c r="H30" s="2"/>
    </x:row>
    <x:row r="31" ht="15" customHeight="1">
      <x:c r="A31" s="11" t="s">
        <x:v>18</x:v>
      </x:c>
      <x:c r="B31" s="12" t="n">
        <x:v>9</x:v>
      </x:c>
      <x:c r="C31" s="13" t="s">
        <x:v>96</x:v>
      </x:c>
      <x:c r="D31" s="2"/>
      <x:c r="E31" s="2"/>
      <x:c r="F31" s="2"/>
      <x:c r="G31" s="2"/>
      <x:c r="H31" s="2"/>
    </x:row>
    <x:row r="32" ht="26.350000381469727" customHeight="1">
      <x:c r="A32" s="11" t="s">
        <x:v>26</x:v>
      </x:c>
      <x:c r="B32" s="12" t="n">
        <x:v>9</x:v>
      </x:c>
      <x:c r="C32" s="13" t="s">
        <x:v>97</x:v>
      </x:c>
      <x:c r="D32" s="2"/>
      <x:c r="E32" s="2"/>
      <x:c r="F32" s="2"/>
      <x:c r="G32" s="2"/>
      <x:c r="H32" s="2"/>
    </x:row>
    <x:row r="33" ht="26.350000381469727" customHeight="1">
      <x:c r="A33" s="11" t="s">
        <x:v>33</x:v>
      </x:c>
      <x:c r="B33" s="12" t="n">
        <x:v>16</x:v>
      </x:c>
      <x:c r="C33" s="13" t="s">
        <x:v>98</x:v>
      </x:c>
      <x:c r="D33" s="2"/>
      <x:c r="E33" s="2"/>
      <x:c r="F33" s="2"/>
      <x:c r="G33" s="2"/>
      <x:c r="H33" s="2"/>
    </x:row>
    <x:row r="34" ht="26.350000381469727" customHeight="1">
      <x:c r="A34" s="11" t="s">
        <x:v>99</x:v>
      </x:c>
      <x:c r="B34" s="12" t="n">
        <x:v>232</x:v>
      </x:c>
      <x:c r="C34" s="13" t="s">
        <x:v>100</x:v>
      </x:c>
      <x:c r="D34" s="2"/>
      <x:c r="E34" s="2"/>
      <x:c r="F34" s="2"/>
      <x:c r="G34" s="2"/>
      <x:c r="H34" s="2"/>
    </x:row>
    <x:row r="35" ht="26.350000381469727" customHeight="1">
      <x:c r="A35" s="11" t="s">
        <x:v>47</x:v>
      </x:c>
      <x:c r="B35" s="12" t="n">
        <x:v>125</x:v>
      </x:c>
      <x:c r="C35" s="13" t="s">
        <x:v>101</x:v>
      </x:c>
      <x:c r="D35" s="2"/>
      <x:c r="E35" s="2"/>
      <x:c r="F35" s="2"/>
      <x:c r="G35" s="2"/>
      <x:c r="H35" s="2"/>
    </x:row>
    <x:row r="36" ht="26.350000381469727" customHeight="1">
      <x:c r="A36" s="11" t="s">
        <x:v>102</x:v>
      </x:c>
      <x:c r="B36" s="12" t="n">
        <x:v>228</x:v>
      </x:c>
      <x:c r="C36" s="13" t="s">
        <x:v>103</x:v>
      </x:c>
      <x:c r="D36" s="2"/>
      <x:c r="E36" s="2"/>
      <x:c r="F36" s="2"/>
      <x:c r="G36" s="2"/>
      <x:c r="H36" s="2"/>
    </x:row>
    <x:row r="37" ht="39.599998474121094" customHeight="1">
      <x:c r="A37" s="11" t="s">
        <x:v>104</x:v>
      </x:c>
      <x:c r="B37" s="12" t="s">
        <x:v>105</x:v>
      </x:c>
      <x:c r="C37" s="13" t="s">
        <x:v>106</x:v>
      </x:c>
      <x:c r="D37" s="2"/>
      <x:c r="E37" s="2"/>
      <x:c r="F37" s="2"/>
      <x:c r="G37" s="2"/>
      <x:c r="H37" s="2"/>
    </x:row>
    <x:row r="38" ht="39.599998474121094" customHeight="1">
      <x:c r="A38" s="14" t="s">
        <x:v>107</x:v>
      </x:c>
      <x:c r="B38" s="15" t="s">
        <x:v>108</x:v>
      </x:c>
      <x:c r="C38" s="16" t="s">
        <x:v>109</x:v>
      </x:c>
      <x:c r="D38" s="2"/>
      <x:c r="E38" s="2"/>
      <x:c r="F38" s="2"/>
      <x:c r="G38" s="2"/>
      <x:c r="H38" s="2"/>
    </x:row>
  </x:sheetData>
  <x:mergeCells>
    <x:mergeCell ref="B26:H26"/>
    <x:mergeCell ref="A28:H28"/>
    <x:mergeCell ref="B19:H19"/>
    <x:mergeCell ref="B20:H20"/>
    <x:mergeCell ref="A22:H22"/>
    <x:mergeCell ref="B24:H24"/>
    <x:mergeCell ref="B25:H25"/>
    <x:mergeCell ref="A1:H1"/>
    <x:mergeCell ref="A2:H2"/>
    <x:mergeCell ref="A16:H16"/>
    <x:mergeCell ref="B17:H17"/>
    <x:mergeCell ref="B18:H18"/>
  </x:mergeCells>
  <x:pageMargins left="0.7" right="0.7" top="0.75" bottom="0.75" header="0.3" footer="0.3"/>
  <x:tableParts count="1">
    <x:tablePart xmlns:r="http://schemas.openxmlformats.org/officeDocument/2006/relationships" r:id="R0000000000000015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3.5"/>
  <x:cols>
    <x:col min="1" max="1" width="25" customWidth="1"/>
    <x:col min="2" max="3" width="18" customWidth="1"/>
    <x:col min="4" max="4" width="58" customWidth="1"/>
  </x:cols>
  <x:sheetData>
    <x:row r="1" ht="34.04999923706055" customHeight="1">
      <x:c r="A1" s="33" t="s">
        <x:v>10</x:v>
      </x:c>
      <x:c r="B1" s="33"/>
      <x:c r="C1" s="33"/>
      <x:c r="D1" s="33"/>
    </x:row>
    <x:row r="2" ht="32" customHeight="1">
      <x:c r="A2" s="34" t="s">
        <x:v>110</x:v>
      </x:c>
      <x:c r="B2" s="34"/>
      <x:c r="C2" s="34"/>
      <x:c r="D2" s="34"/>
    </x:row>
    <x:row r="3">
      <x:c r="A3" s="2"/>
      <x:c r="B3" s="2"/>
      <x:c r="C3" s="2"/>
      <x:c r="D3" s="2"/>
    </x:row>
    <x:row r="4" ht="34.04999923706055" customHeight="1">
      <x:c r="A4" s="1" t="s">
        <x:v>12</x:v>
      </x:c>
      <x:c r="B4" s="1" t="s">
        <x:v>111</x:v>
      </x:c>
      <x:c r="C4" s="1" t="s">
        <x:v>112</x:v>
      </x:c>
      <x:c r="D4" s="1" t="s">
        <x:v>93</x:v>
      </x:c>
    </x:row>
    <x:row r="5">
      <x:c r="A5" s="2" t="s">
        <x:v>113</x:v>
      </x:c>
      <x:c r="B5" s="17">
        <x:v>7.3</x:v>
      </x:c>
      <x:c r="C5" s="2" t="s">
        <x:v>114</x:v>
      </x:c>
      <x:c r="D5" s="7" t="s">
        <x:v>115</x:v>
      </x:c>
    </x:row>
    <x:row r="6">
      <x:c r="A6" s="2" t="s">
        <x:v>116</x:v>
      </x:c>
      <x:c r="B6" s="18" t="n">
        <x:f>1/B5</x:f>
        <x:v>0.136986301369863</x:v>
      </x:c>
      <x:c r="C6" s="2" t="s">
        <x:v>117</x:v>
      </x:c>
      <x:c r="D6" s="7" t="s">
        <x:v>118</x:v>
      </x:c>
    </x:row>
    <x:row r="7">
      <x:c r="A7" s="2" t="s">
        <x:v>119</x:v>
      </x:c>
      <x:c r="B7" s="19">
        <x:v>1024</x:v>
      </x:c>
      <x:c r="C7" s="2" t="s">
        <x:v>120</x:v>
      </x:c>
      <x:c r="D7" s="7" t="s">
        <x:v>121</x:v>
      </x:c>
    </x:row>
    <x:row r="8">
      <x:c r="A8" s="2" t="s">
        <x:v>122</x:v>
      </x:c>
      <x:c r="B8" s="19">
        <x:v>1000000</x:v>
      </x:c>
      <x:c r="C8" s="2" t="s">
        <x:v>123</x:v>
      </x:c>
      <x:c r="D8" s="7" t="s">
        <x:v>124</x:v>
      </x:c>
    </x:row>
    <x:row r="9">
      <x:c r="A9" s="2" t="s">
        <x:v>125</x:v>
      </x:c>
      <x:c r="B9" s="19" t="n">
        <x:v>1</x:v>
      </x:c>
      <x:c r="C9" s="2" t="s">
        <x:v>126</x:v>
      </x:c>
      <x:c r="D9" s="7" t="s">
        <x:v>127</x:v>
      </x:c>
    </x:row>
    <x:row r="10">
      <x:c r="A10" s="2" t="s">
        <x:v>128</x:v>
      </x:c>
      <x:c r="B10" s="2" t="str">
        <x:v>v1.2-import</x:v>
      </x:c>
      <x:c r="C10" s="2" t="s">
        <x:v>129</x:v>
      </x:c>
      <x:c r="D10" s="7" t="s">
        <x:v>130</x:v>
      </x:c>
    </x:row>
    <x:row r="11">
      <x:c r="A11" s="2" t="s">
        <x:v>131</x:v>
      </x:c>
      <x:c r="B11" s="20" t="n">
        <x:v>46229.4538624537</x:v>
      </x:c>
      <x:c r="C11" s="2" t="s">
        <x:v>132</x:v>
      </x:c>
      <x:c r="D11" s="7" t="s">
        <x:v>133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0000000000000017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3.5"/>
  <x:cols>
    <x:col min="1" max="1" width="16" customWidth="1"/>
    <x:col min="2" max="2" width="18" customWidth="1"/>
    <x:col min="3" max="3" width="34" customWidth="1"/>
    <x:col min="4" max="4" width="14" customWidth="1"/>
    <x:col min="5" max="5" width="16" customWidth="1"/>
    <x:col min="6" max="8" width="14" customWidth="1"/>
    <x:col min="9" max="10" width="12" customWidth="1"/>
    <x:col min="11" max="11" width="16" customWidth="1"/>
    <x:col min="12" max="13" width="14" customWidth="1"/>
    <x:col min="14" max="14" width="44" customWidth="1"/>
    <x:col min="15" max="15" width="22" customWidth="1"/>
  </x:cols>
  <x:sheetData>
    <x:row r="1" ht="34.04999923706055" customHeight="1">
      <x:c r="A1" s="33" t="s">
        <x:v>18</x:v>
      </x:c>
      <x:c r="B1" s="33"/>
      <x:c r="C1" s="33"/>
      <x:c r="D1" s="33"/>
      <x:c r="E1" s="33"/>
      <x:c r="F1" s="33"/>
      <x:c r="G1" s="33"/>
      <x:c r="H1" s="33"/>
      <x:c r="I1" s="33"/>
      <x:c r="J1" s="33"/>
      <x:c r="K1" s="33"/>
      <x:c r="L1" s="33"/>
      <x:c r="M1" s="33"/>
      <x:c r="N1" s="33"/>
      <x:c r="O1" s="33"/>
    </x:row>
    <x:row r="2" ht="32" customHeight="1">
      <x:c r="A2" s="34" t="s">
        <x:v>134</x:v>
      </x:c>
      <x:c r="B2" s="34"/>
      <x:c r="C2" s="34"/>
      <x:c r="D2" s="34"/>
      <x:c r="E2" s="34"/>
      <x:c r="F2" s="34"/>
      <x:c r="G2" s="34"/>
      <x:c r="H2" s="34"/>
      <x:c r="I2" s="34"/>
      <x:c r="J2" s="34"/>
      <x:c r="K2" s="34"/>
      <x:c r="L2" s="34"/>
      <x:c r="M2" s="34"/>
      <x:c r="N2" s="34"/>
      <x:c r="O2" s="34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</x:row>
    <x:row r="4" ht="34.04999923706055" customHeight="1">
      <x:c r="A4" s="1" t="s">
        <x:v>20</x:v>
      </x:c>
      <x:c r="B4" s="1" t="s">
        <x:v>135</x:v>
      </x:c>
      <x:c r="C4" s="1" t="s">
        <x:v>136</x:v>
      </x:c>
      <x:c r="D4" s="1" t="s">
        <x:v>137</x:v>
      </x:c>
      <x:c r="E4" s="1" t="s">
        <x:v>138</x:v>
      </x:c>
      <x:c r="F4" s="1" t="s">
        <x:v>139</x:v>
      </x:c>
      <x:c r="G4" s="1" t="s">
        <x:v>140</x:v>
      </x:c>
      <x:c r="H4" s="1" t="s">
        <x:v>141</x:v>
      </x:c>
      <x:c r="I4" s="1" t="s">
        <x:v>142</x:v>
      </x:c>
      <x:c r="J4" s="1" t="s">
        <x:v>143</x:v>
      </x:c>
      <x:c r="K4" s="1" t="s">
        <x:v>144</x:v>
      </x:c>
      <x:c r="L4" s="1" t="s">
        <x:v>145</x:v>
      </x:c>
      <x:c r="M4" s="1" t="s">
        <x:v>62</x:v>
      </x:c>
      <x:c r="N4" s="1" t="s">
        <x:v>9</x:v>
      </x:c>
      <x:c r="O4" s="1" t="s">
        <x:v>67</x:v>
      </x:c>
    </x:row>
    <x:row r="5" ht="39.599998474121094" customHeight="1">
      <x:c r="A5" s="2" t="str">
        <x:v>CH-CLMM</x:v>
      </x:c>
      <x:c r="B5" s="2" t="str">
        <x:v>clmm</x:v>
      </x:c>
      <x:c r="C5" s="2" t="str">
        <x:v>https://clmm-mall.top/pricing</x:v>
      </x:c>
      <x:c r="D5" s="2" t="str">
        <x:v>CNY</x:v>
      </x:c>
      <x:c r="E5" s="21" t="n">
        <x:v>1</x:v>
      </x:c>
      <x:c r="F5" s="22" t="n">
        <x:v>0</x:v>
      </x:c>
      <x:c r="G5" s="21" t="n">
        <x:v>1</x:v>
      </x:c>
      <x:c r="H5" s="2" t="str">
        <x:v>余额</x:v>
      </x:c>
      <x:c r="I5" s="2" t="str">
        <x:v>正常</x:v>
      </x:c>
      <x:c r="J5" s="2"/>
      <x:c r="K5" s="2" t="str">
        <x:v>是</x:v>
      </x:c>
      <x:c r="L5" s="20" t="n">
        <x:v>46229.393565162034</x:v>
      </x:c>
      <x:c r="M5" s="2" t="str">
        <x:v>SRC-CH-01</x:v>
      </x:c>
      <x:c r="N5" s="7" t="str">
        <x:v>原表渠道编号=1；Base URL=https://clmm-mall.top；模型级空状态已按 draft 导入</x:v>
      </x:c>
      <x:c r="O5" s="23" t="str">
        <x:f t="shared" ref="O5:O12" si="0">IF(A5="","",IF(COUNTIF($A$5:$A$204,A5)&gt;1,"错误:重复渠道代码",IF(OR(B5="",C5="",D5="",E5&lt;=0,F5&lt;0,G5&lt;=0,H5="",I5=""),"错误:必填项","OK")))</x:f>
        <x:v>OK</x:v>
      </x:c>
    </x:row>
    <x:row r="6" ht="39.599998474121094" customHeight="1">
      <x:c r="A6" s="2" t="str">
        <x:v>CH-PAIPU</x:v>
      </x:c>
      <x:c r="B6" s="2" t="str">
        <x:v>paipu</x:v>
      </x:c>
      <x:c r="C6" s="2" t="str">
        <x:v>https://api.paipu.net/pricing</x:v>
      </x:c>
      <x:c r="D6" s="2" t="str">
        <x:v>CNY</x:v>
      </x:c>
      <x:c r="E6" s="21" t="n">
        <x:v>1</x:v>
      </x:c>
      <x:c r="F6" s="22" t="n">
        <x:v>0</x:v>
      </x:c>
      <x:c r="G6" s="21" t="n">
        <x:v>1</x:v>
      </x:c>
      <x:c r="H6" s="2" t="str">
        <x:v>余额</x:v>
      </x:c>
      <x:c r="I6" s="2" t="str">
        <x:v>正常</x:v>
      </x:c>
      <x:c r="J6" s="2"/>
      <x:c r="K6" s="2" t="str">
        <x:v>是</x:v>
      </x:c>
      <x:c r="L6" s="20" t="n">
        <x:v>46229.393565162034</x:v>
      </x:c>
      <x:c r="M6" s="2" t="str">
        <x:v>SRC-CH-02</x:v>
      </x:c>
      <x:c r="N6" s="7" t="str">
        <x:v>原表渠道编号=2；Base URL=https://api.paipu.net；模型级空状态已按 draft 导入</x:v>
      </x:c>
      <x:c r="O6" s="23" t="str">
        <x:f t="shared" si="0">IF(A6="","",IF(COUNTIF($A$5:$A$204,A6)&gt;1,"错误:重复渠道代码",IF(OR(B6="",C6="",D6="",E6&lt;=0,F6&lt;0,G6&lt;=0,H6="",I6=""),"错误:必填项","OK")))</x:f>
        <x:v>OK</x:v>
      </x:c>
    </x:row>
    <x:row r="7" ht="26.350000381469727" customHeight="1">
      <x:c r="A7" s="2" t="str">
        <x:v>CH-LUCEN</x:v>
      </x:c>
      <x:c r="B7" s="2" t="str">
        <x:v>lucen</x:v>
      </x:c>
      <x:c r="C7" s="2" t="str">
        <x:v>https://lucen.asia/pricing</x:v>
      </x:c>
      <x:c r="D7" s="2" t="str">
        <x:v>CNY</x:v>
      </x:c>
      <x:c r="E7" s="21" t="n">
        <x:v>1</x:v>
      </x:c>
      <x:c r="F7" s="22" t="n">
        <x:v>0</x:v>
      </x:c>
      <x:c r="G7" s="21" t="n">
        <x:v>1</x:v>
      </x:c>
      <x:c r="H7" s="2" t="str">
        <x:v>余额</x:v>
      </x:c>
      <x:c r="I7" s="2" t="str">
        <x:v>正常</x:v>
      </x:c>
      <x:c r="J7" s="2"/>
      <x:c r="K7" s="2" t="str">
        <x:v>是</x:v>
      </x:c>
      <x:c r="L7" s="20" t="n">
        <x:v>46229.393565162034</x:v>
      </x:c>
      <x:c r="M7" s="2" t="str">
        <x:v>SRC-CH-03</x:v>
      </x:c>
      <x:c r="N7" s="7" t="str">
        <x:v>原表渠道编号=3；Base URL=https://lucen.asia；模型级空状态已按 draft 导入</x:v>
      </x:c>
      <x:c r="O7" s="23" t="str">
        <x:f t="shared" si="0">IF(A7="","",IF(COUNTIF($A$5:$A$204,A7)&gt;1,"错误:重复渠道代码",IF(OR(B7="",C7="",D7="",E7&lt;=0,F7&lt;0,G7&lt;=0,H7="",I7=""),"错误:必填项","OK")))</x:f>
        <x:v>OK</x:v>
      </x:c>
    </x:row>
    <x:row r="8" ht="26.350000381469727" customHeight="1">
      <x:c r="A8" s="2" t="str">
        <x:v>CH-8YES</x:v>
      </x:c>
      <x:c r="B8" s="2" t="str">
        <x:v>8yes</x:v>
      </x:c>
      <x:c r="C8" s="2" t="str">
        <x:v>https://8yes.cc/pricing</x:v>
      </x:c>
      <x:c r="D8" s="2" t="str">
        <x:v>CNY</x:v>
      </x:c>
      <x:c r="E8" s="21" t="n">
        <x:v>1</x:v>
      </x:c>
      <x:c r="F8" s="22" t="n">
        <x:v>0.01</x:v>
      </x:c>
      <x:c r="G8" s="21" t="n">
        <x:v>1</x:v>
      </x:c>
      <x:c r="H8" s="2" t="str">
        <x:v>余额</x:v>
      </x:c>
      <x:c r="I8" s="2" t="str">
        <x:v>正常</x:v>
      </x:c>
      <x:c r="J8" s="2"/>
      <x:c r="K8" s="2" t="str">
        <x:v>是</x:v>
      </x:c>
      <x:c r="L8" s="20" t="n">
        <x:v>46229.393565162034</x:v>
      </x:c>
      <x:c r="M8" s="2" t="str">
        <x:v>SRC-CH-04</x:v>
      </x:c>
      <x:c r="N8" s="7" t="str">
        <x:v>原表渠道编号=4；Base URL=https://8yes.cc；模型级空状态已按 draft 导入</x:v>
      </x:c>
      <x:c r="O8" s="23" t="str">
        <x:f t="shared" si="0">IF(A8="","",IF(COUNTIF($A$5:$A$204,A8)&gt;1,"错误:重复渠道代码",IF(OR(B8="",C8="",D8="",E8&lt;=0,F8&lt;0,G8&lt;=0,H8="",I8=""),"错误:必填项","OK")))</x:f>
        <x:v>OK</x:v>
      </x:c>
    </x:row>
    <x:row r="9" ht="39.599998474121094" customHeight="1">
      <x:c r="A9" s="2" t="str">
        <x:v>CH-SECURE</x:v>
      </x:c>
      <x:c r="B9" s="2" t="str">
        <x:v>secure</x:v>
      </x:c>
      <x:c r="C9" s="2" t="str">
        <x:v>https://token.secure-skill.com/pricing</x:v>
      </x:c>
      <x:c r="D9" s="2" t="str">
        <x:v>CNY</x:v>
      </x:c>
      <x:c r="E9" s="21" t="n">
        <x:v>1</x:v>
      </x:c>
      <x:c r="F9" s="22" t="n">
        <x:v>0.03</x:v>
      </x:c>
      <x:c r="G9" s="21" t="n">
        <x:v>1</x:v>
      </x:c>
      <x:c r="H9" s="2" t="str">
        <x:v>余额</x:v>
      </x:c>
      <x:c r="I9" s="2" t="str">
        <x:v>正常</x:v>
      </x:c>
      <x:c r="J9" s="2"/>
      <x:c r="K9" s="2" t="str">
        <x:v>是</x:v>
      </x:c>
      <x:c r="L9" s="20" t="n">
        <x:v>46229.393565162034</x:v>
      </x:c>
      <x:c r="M9" s="2" t="str">
        <x:v>SRC-CH-05</x:v>
      </x:c>
      <x:c r="N9" s="7" t="str">
        <x:v>原表渠道编号=5；Base URL=https://token.secure-skill.com；模型级空状态已按 draft 导入</x:v>
      </x:c>
      <x:c r="O9" s="23" t="str">
        <x:f t="shared" si="0">IF(A9="","",IF(COUNTIF($A$5:$A$204,A9)&gt;1,"错误:重复渠道代码",IF(OR(B9="",C9="",D9="",E9&lt;=0,F9&lt;0,G9&lt;=0,H9="",I9=""),"错误:必填项","OK")))</x:f>
        <x:v>OK</x:v>
      </x:c>
    </x:row>
    <x:row r="10" ht="39.599998474121094" customHeight="1">
      <x:c r="A10" s="2" t="str">
        <x:v>CH-CANGYUANSUANLI</x:v>
      </x:c>
      <x:c r="B10" s="2" t="str">
        <x:v>cangyuansuanli</x:v>
      </x:c>
      <x:c r="C10" s="2" t="str">
        <x:v>https://ai.cangyuansuanli.cn/pricing</x:v>
      </x:c>
      <x:c r="D10" s="2" t="str">
        <x:v>CNY</x:v>
      </x:c>
      <x:c r="E10" s="21" t="n">
        <x:v>1</x:v>
      </x:c>
      <x:c r="F10" s="22" t="n">
        <x:v>0</x:v>
      </x:c>
      <x:c r="G10" s="21" t="n">
        <x:v>1</x:v>
      </x:c>
      <x:c r="H10" s="2" t="str">
        <x:v>余额</x:v>
      </x:c>
      <x:c r="I10" s="2" t="str">
        <x:v>正常</x:v>
      </x:c>
      <x:c r="J10" s="2"/>
      <x:c r="K10" s="2" t="str">
        <x:v>是</x:v>
      </x:c>
      <x:c r="L10" s="20" t="n">
        <x:v>46229.393565162034</x:v>
      </x:c>
      <x:c r="M10" s="2" t="str">
        <x:v>SRC-CH-06</x:v>
      </x:c>
      <x:c r="N10" s="7" t="str">
        <x:v>原表渠道编号=6；Base URL=https://ai.cangyuansuanli.cn；模型级空状态已按 draft 导入</x:v>
      </x:c>
      <x:c r="O10" s="23" t="str">
        <x:f t="shared" si="0">IF(A10="","",IF(COUNTIF($A$5:$A$204,A10)&gt;1,"错误:重复渠道代码",IF(OR(B10="",C10="",D10="",E10&lt;=0,F10&lt;0,G10&lt;=0,H10="",I10=""),"错误:必填项","OK")))</x:f>
        <x:v>OK</x:v>
      </x:c>
    </x:row>
    <x:row r="11" ht="39.599998474121094" customHeight="1">
      <x:c r="A11" s="2" t="str">
        <x:v>CH-DIMENSIO</x:v>
      </x:c>
      <x:c r="B11" s="2" t="str">
        <x:v>dimensio</x:v>
      </x:c>
      <x:c r="C11" s="2" t="str">
        <x:v>https://jimeng.dimensio.cn/</x:v>
      </x:c>
      <x:c r="D11" s="2" t="str">
        <x:v>CNY</x:v>
      </x:c>
      <x:c r="E11" s="21" t="n">
        <x:v>1</x:v>
      </x:c>
      <x:c r="F11" s="22" t="n">
        <x:v>0</x:v>
      </x:c>
      <x:c r="G11" s="21" t="n">
        <x:v>1</x:v>
      </x:c>
      <x:c r="H11" s="2" t="str">
        <x:v>余额</x:v>
      </x:c>
      <x:c r="I11" s="2" t="str">
        <x:v>正常</x:v>
      </x:c>
      <x:c r="J11" s="2"/>
      <x:c r="K11" s="2" t="str">
        <x:v>是</x:v>
      </x:c>
      <x:c r="L11" s="20" t="n">
        <x:v>46229.393565162034</x:v>
      </x:c>
      <x:c r="M11" s="2" t="str">
        <x:v>SRC-CH-07</x:v>
      </x:c>
      <x:c r="N11" s="7" t="str">
        <x:v>原表渠道编号=7；Base URL=https://jimeng.dimensio.cn；模型级空状态已按 draft 导入</x:v>
      </x:c>
      <x:c r="O11" s="23" t="str">
        <x:f t="shared" si="0">IF(A11="","",IF(COUNTIF($A$5:$A$204,A11)&gt;1,"错误:重复渠道代码",IF(OR(B11="",C11="",D11="",E11&lt;=0,F11&lt;0,G11&lt;=0,H11="",I11=""),"错误:必填项","OK")))</x:f>
        <x:v>OK</x:v>
      </x:c>
    </x:row>
    <x:row r="12" ht="39.599998474121094" customHeight="1">
      <x:c r="A12" s="2" t="str">
        <x:v>CH-MEGABYAI</x:v>
      </x:c>
      <x:c r="B12" s="2" t="str">
        <x:v>megabyai</x:v>
      </x:c>
      <x:c r="C12" s="2" t="str">
        <x:v>https://newapi.megabyai.cc/pricing</x:v>
      </x:c>
      <x:c r="D12" s="2" t="str">
        <x:v>CNY</x:v>
      </x:c>
      <x:c r="E12" s="21" t="n">
        <x:v>1</x:v>
      </x:c>
      <x:c r="F12" s="22" t="n">
        <x:v>0</x:v>
      </x:c>
      <x:c r="G12" s="21" t="n">
        <x:v>1</x:v>
      </x:c>
      <x:c r="H12" s="2" t="str">
        <x:v>余额</x:v>
      </x:c>
      <x:c r="I12" s="2" t="str">
        <x:v>正常</x:v>
      </x:c>
      <x:c r="J12" s="2"/>
      <x:c r="K12" s="2" t="str">
        <x:v>是</x:v>
      </x:c>
      <x:c r="L12" s="20" t="n">
        <x:v>46229.393565162034</x:v>
      </x:c>
      <x:c r="M12" s="2" t="str">
        <x:v>SRC-CH-08</x:v>
      </x:c>
      <x:c r="N12" s="7" t="str">
        <x:v>原表渠道编号=8；Base URL=https://newapi.megabyai.cc；模型级空状态已按 draft 导入</x:v>
      </x:c>
      <x:c r="O12" s="23" t="str">
        <x:f t="shared" si="0">IF(A12="","",IF(COUNTIF($A$5:$A$204,A12)&gt;1,"错误:重复渠道代码",IF(OR(B12="",C12="",D12="",E12&lt;=0,F12&lt;0,G12&lt;=0,H12="",I12=""),"错误:必填项","OK")))</x:f>
        <x:v>OK</x:v>
      </x:c>
    </x:row>
    <x:row r="13">
      <x:c r="A13" s="2" t="str">
        <x:v>CH-4STOKEN</x:v>
      </x:c>
      <x:c r="B13" s="2" t="str">
        <x:v>4stoken</x:v>
      </x:c>
      <x:c r="C13" s="2" t="str">
        <x:v>https://www.4stoken.cn/models</x:v>
      </x:c>
      <x:c r="D13" s="2" t="str">
        <x:v>CNY</x:v>
      </x:c>
      <x:c r="E13" s="21" t="n">
        <x:v>1</x:v>
      </x:c>
      <x:c r="F13" s="22" t="n">
        <x:v>0</x:v>
      </x:c>
      <x:c r="G13" s="21" t="n">
        <x:v>1</x:v>
      </x:c>
      <x:c r="H13" s="2" t="str">
        <x:v>余额</x:v>
      </x:c>
      <x:c r="I13" s="2" t="str">
        <x:v>正常</x:v>
      </x:c>
      <x:c r="J13" s="2"/>
      <x:c r="K13" s="2" t="str">
        <x:v>是</x:v>
      </x:c>
      <x:c r="L13" s="20" t="n">
        <x:v>46229.393565162034</x:v>
      </x:c>
      <x:c r="M13" s="2" t="str">
        <x:v>SRC-CH-09</x:v>
      </x:c>
      <x:c r="N13" s="2" t="str">
        <x:v>原表渠道编号=9；Base URL=https://api.4stoken.cn；模型级空状态已按 draft 导入</x:v>
      </x:c>
      <x:c r="O13" s="23" t="str">
        <x:f>IF(A13="","",IF(COUNTIF($A$5:$A$204,A13)&gt;1,"错误:重复渠道代码",IF(OR(B13="",C13="",D13="",E13&lt;=0,F13&lt;0,G13&lt;=0,H13="",I13=""),"错误:必填项","OK")))</x:f>
        <x:v>OK</x:v>
      </x:c>
    </x:row>
    <x:row r="14">
      <x:c r="A14" s="2"/>
      <x:c r="B14" s="2"/>
      <x:c r="C14" s="2"/>
      <x:c r="D14" s="2"/>
      <x:c r="E14" s="21"/>
      <x:c r="F14" s="22"/>
      <x:c r="G14" s="21"/>
      <x:c r="H14" s="2"/>
      <x:c r="I14" s="2"/>
      <x:c r="J14" s="2"/>
      <x:c r="K14" s="2"/>
      <x:c r="L14" s="20"/>
      <x:c r="M14" s="2"/>
      <x:c r="N14" s="2"/>
      <x:c r="O14" s="23"/>
    </x:row>
    <x:row r="15">
      <x:c r="A15" s="2"/>
      <x:c r="B15" s="2"/>
      <x:c r="C15" s="2"/>
      <x:c r="D15" s="2"/>
      <x:c r="E15" s="21"/>
      <x:c r="F15" s="22"/>
      <x:c r="G15" s="21"/>
      <x:c r="H15" s="2"/>
      <x:c r="I15" s="2"/>
      <x:c r="J15" s="2"/>
      <x:c r="K15" s="2"/>
      <x:c r="L15" s="20"/>
      <x:c r="M15" s="2"/>
      <x:c r="N15" s="2"/>
      <x:c r="O15" s="23"/>
    </x:row>
    <x:row r="16">
      <x:c r="A16" s="2"/>
      <x:c r="B16" s="2"/>
      <x:c r="C16" s="2"/>
      <x:c r="D16" s="2"/>
      <x:c r="E16" s="21"/>
      <x:c r="F16" s="22"/>
      <x:c r="G16" s="21"/>
      <x:c r="H16" s="2"/>
      <x:c r="I16" s="2"/>
      <x:c r="J16" s="2"/>
      <x:c r="K16" s="2"/>
      <x:c r="L16" s="20"/>
      <x:c r="M16" s="2"/>
      <x:c r="N16" s="2"/>
      <x:c r="O16" s="23"/>
    </x:row>
    <x:row r="17">
      <x:c r="A17" s="2"/>
      <x:c r="B17" s="2"/>
      <x:c r="C17" s="2"/>
      <x:c r="D17" s="2"/>
      <x:c r="E17" s="21"/>
      <x:c r="F17" s="22"/>
      <x:c r="G17" s="21"/>
      <x:c r="H17" s="2"/>
      <x:c r="I17" s="2"/>
      <x:c r="J17" s="2"/>
      <x:c r="K17" s="2"/>
      <x:c r="L17" s="20"/>
      <x:c r="M17" s="2"/>
      <x:c r="N17" s="2"/>
      <x:c r="O17" s="23"/>
    </x:row>
    <x:row r="18">
      <x:c r="A18" s="2"/>
      <x:c r="B18" s="2"/>
      <x:c r="C18" s="2"/>
      <x:c r="D18" s="2"/>
      <x:c r="E18" s="21"/>
      <x:c r="F18" s="22"/>
      <x:c r="G18" s="21"/>
      <x:c r="H18" s="2"/>
      <x:c r="I18" s="2"/>
      <x:c r="J18" s="2"/>
      <x:c r="K18" s="2"/>
      <x:c r="L18" s="20"/>
      <x:c r="M18" s="2"/>
      <x:c r="N18" s="2"/>
      <x:c r="O18" s="23"/>
    </x:row>
    <x:row r="19">
      <x:c r="A19" s="2"/>
      <x:c r="B19" s="2"/>
      <x:c r="C19" s="2"/>
      <x:c r="D19" s="2"/>
      <x:c r="E19" s="21"/>
      <x:c r="F19" s="22"/>
      <x:c r="G19" s="21"/>
      <x:c r="H19" s="2"/>
      <x:c r="I19" s="2"/>
      <x:c r="J19" s="2"/>
      <x:c r="K19" s="2"/>
      <x:c r="L19" s="20"/>
      <x:c r="M19" s="2"/>
      <x:c r="N19" s="2"/>
      <x:c r="O19" s="23"/>
    </x:row>
    <x:row r="20">
      <x:c r="A20" s="2"/>
      <x:c r="B20" s="2"/>
      <x:c r="C20" s="2"/>
      <x:c r="D20" s="2"/>
      <x:c r="E20" s="21"/>
      <x:c r="F20" s="22"/>
      <x:c r="G20" s="21"/>
      <x:c r="H20" s="2"/>
      <x:c r="I20" s="2"/>
      <x:c r="J20" s="2"/>
      <x:c r="K20" s="2"/>
      <x:c r="L20" s="20"/>
      <x:c r="M20" s="2"/>
      <x:c r="N20" s="2"/>
      <x:c r="O20" s="23"/>
    </x:row>
    <x:row r="21">
      <x:c r="A21" s="2"/>
      <x:c r="B21" s="2"/>
      <x:c r="C21" s="2"/>
      <x:c r="D21" s="2"/>
      <x:c r="E21" s="21"/>
      <x:c r="F21" s="22"/>
      <x:c r="G21" s="21"/>
      <x:c r="H21" s="2"/>
      <x:c r="I21" s="2"/>
      <x:c r="J21" s="2"/>
      <x:c r="K21" s="2"/>
      <x:c r="L21" s="20"/>
      <x:c r="M21" s="2"/>
      <x:c r="N21" s="2"/>
      <x:c r="O21" s="23"/>
    </x:row>
    <x:row r="22">
      <x:c r="A22" s="2"/>
      <x:c r="B22" s="2"/>
      <x:c r="C22" s="2"/>
      <x:c r="D22" s="2"/>
      <x:c r="E22" s="21"/>
      <x:c r="F22" s="22"/>
      <x:c r="G22" s="21"/>
      <x:c r="H22" s="2"/>
      <x:c r="I22" s="2"/>
      <x:c r="J22" s="2"/>
      <x:c r="K22" s="2"/>
      <x:c r="L22" s="20"/>
      <x:c r="M22" s="2"/>
      <x:c r="N22" s="2"/>
      <x:c r="O22" s="23"/>
    </x:row>
    <x:row r="23">
      <x:c r="A23" s="2"/>
      <x:c r="B23" s="2"/>
      <x:c r="C23" s="2"/>
      <x:c r="D23" s="2"/>
      <x:c r="E23" s="21"/>
      <x:c r="F23" s="22"/>
      <x:c r="G23" s="21"/>
      <x:c r="H23" s="2"/>
      <x:c r="I23" s="2"/>
      <x:c r="J23" s="2"/>
      <x:c r="K23" s="2"/>
      <x:c r="L23" s="20"/>
      <x:c r="M23" s="2"/>
      <x:c r="N23" s="2"/>
      <x:c r="O23" s="23"/>
    </x:row>
    <x:row r="24">
      <x:c r="A24" s="2"/>
      <x:c r="B24" s="2"/>
      <x:c r="C24" s="2"/>
      <x:c r="D24" s="2"/>
      <x:c r="E24" s="21"/>
      <x:c r="F24" s="22"/>
      <x:c r="G24" s="21"/>
      <x:c r="H24" s="2"/>
      <x:c r="I24" s="2"/>
      <x:c r="J24" s="2"/>
      <x:c r="K24" s="2"/>
      <x:c r="L24" s="20"/>
      <x:c r="M24" s="2"/>
      <x:c r="N24" s="2"/>
      <x:c r="O24" s="23"/>
    </x:row>
    <x:row r="25">
      <x:c r="A25" s="2"/>
      <x:c r="B25" s="2"/>
      <x:c r="C25" s="2"/>
      <x:c r="D25" s="2"/>
      <x:c r="E25" s="21"/>
      <x:c r="F25" s="22"/>
      <x:c r="G25" s="21"/>
      <x:c r="H25" s="2"/>
      <x:c r="I25" s="2"/>
      <x:c r="J25" s="2"/>
      <x:c r="K25" s="2"/>
      <x:c r="L25" s="20"/>
      <x:c r="M25" s="2"/>
      <x:c r="N25" s="2"/>
      <x:c r="O25" s="23"/>
    </x:row>
    <x:row r="26">
      <x:c r="A26" s="2"/>
      <x:c r="B26" s="2"/>
      <x:c r="C26" s="2"/>
      <x:c r="D26" s="2"/>
      <x:c r="E26" s="21"/>
      <x:c r="F26" s="22"/>
      <x:c r="G26" s="21"/>
      <x:c r="H26" s="2"/>
      <x:c r="I26" s="2"/>
      <x:c r="J26" s="2"/>
      <x:c r="K26" s="2"/>
      <x:c r="L26" s="20"/>
      <x:c r="M26" s="2"/>
      <x:c r="N26" s="2"/>
      <x:c r="O26" s="23"/>
    </x:row>
    <x:row r="27">
      <x:c r="A27" s="2"/>
      <x:c r="B27" s="2"/>
      <x:c r="C27" s="2"/>
      <x:c r="D27" s="2"/>
      <x:c r="E27" s="21"/>
      <x:c r="F27" s="22"/>
      <x:c r="G27" s="21"/>
      <x:c r="H27" s="2"/>
      <x:c r="I27" s="2"/>
      <x:c r="J27" s="2"/>
      <x:c r="K27" s="2"/>
      <x:c r="L27" s="20"/>
      <x:c r="M27" s="2"/>
      <x:c r="N27" s="2"/>
      <x:c r="O27" s="23"/>
    </x:row>
    <x:row r="28">
      <x:c r="A28" s="2"/>
      <x:c r="B28" s="2"/>
      <x:c r="C28" s="2"/>
      <x:c r="D28" s="2"/>
      <x:c r="E28" s="21"/>
      <x:c r="F28" s="22"/>
      <x:c r="G28" s="21"/>
      <x:c r="H28" s="2"/>
      <x:c r="I28" s="2"/>
      <x:c r="J28" s="2"/>
      <x:c r="K28" s="2"/>
      <x:c r="L28" s="20"/>
      <x:c r="M28" s="2"/>
      <x:c r="N28" s="2"/>
      <x:c r="O28" s="23"/>
    </x:row>
    <x:row r="29">
      <x:c r="A29" s="2"/>
      <x:c r="B29" s="2"/>
      <x:c r="C29" s="2"/>
      <x:c r="D29" s="2"/>
      <x:c r="E29" s="21"/>
      <x:c r="F29" s="22"/>
      <x:c r="G29" s="21"/>
      <x:c r="H29" s="2"/>
      <x:c r="I29" s="2"/>
      <x:c r="J29" s="2"/>
      <x:c r="K29" s="2"/>
      <x:c r="L29" s="20"/>
      <x:c r="M29" s="2"/>
      <x:c r="N29" s="2"/>
      <x:c r="O29" s="23"/>
    </x:row>
    <x:row r="30">
      <x:c r="A30" s="2"/>
      <x:c r="B30" s="2"/>
      <x:c r="C30" s="2"/>
      <x:c r="D30" s="2"/>
      <x:c r="E30" s="21"/>
      <x:c r="F30" s="22"/>
      <x:c r="G30" s="21"/>
      <x:c r="H30" s="2"/>
      <x:c r="I30" s="2"/>
      <x:c r="J30" s="2"/>
      <x:c r="K30" s="2"/>
      <x:c r="L30" s="20"/>
      <x:c r="M30" s="2"/>
      <x:c r="N30" s="2"/>
      <x:c r="O30" s="23"/>
    </x:row>
    <x:row r="31">
      <x:c r="A31" s="2"/>
      <x:c r="B31" s="2"/>
      <x:c r="C31" s="2"/>
      <x:c r="D31" s="2"/>
      <x:c r="E31" s="21"/>
      <x:c r="F31" s="22"/>
      <x:c r="G31" s="21"/>
      <x:c r="H31" s="2"/>
      <x:c r="I31" s="2"/>
      <x:c r="J31" s="2"/>
      <x:c r="K31" s="2"/>
      <x:c r="L31" s="20"/>
      <x:c r="M31" s="2"/>
      <x:c r="N31" s="2"/>
      <x:c r="O31" s="23"/>
    </x:row>
    <x:row r="32">
      <x:c r="A32" s="2"/>
      <x:c r="B32" s="2"/>
      <x:c r="C32" s="2"/>
      <x:c r="D32" s="2"/>
      <x:c r="E32" s="21"/>
      <x:c r="F32" s="22"/>
      <x:c r="G32" s="21"/>
      <x:c r="H32" s="2"/>
      <x:c r="I32" s="2"/>
      <x:c r="J32" s="2"/>
      <x:c r="K32" s="2"/>
      <x:c r="L32" s="20"/>
      <x:c r="M32" s="2"/>
      <x:c r="N32" s="2"/>
      <x:c r="O32" s="23"/>
    </x:row>
    <x:row r="33">
      <x:c r="A33" s="2"/>
      <x:c r="B33" s="2"/>
      <x:c r="C33" s="2"/>
      <x:c r="D33" s="2"/>
      <x:c r="E33" s="21"/>
      <x:c r="F33" s="22"/>
      <x:c r="G33" s="21"/>
      <x:c r="H33" s="2"/>
      <x:c r="I33" s="2"/>
      <x:c r="J33" s="2"/>
      <x:c r="K33" s="2"/>
      <x:c r="L33" s="20"/>
      <x:c r="M33" s="2"/>
      <x:c r="N33" s="2"/>
      <x:c r="O33" s="23"/>
    </x:row>
    <x:row r="34">
      <x:c r="A34" s="2"/>
      <x:c r="B34" s="2"/>
      <x:c r="C34" s="2"/>
      <x:c r="D34" s="2"/>
      <x:c r="E34" s="21"/>
      <x:c r="F34" s="22"/>
      <x:c r="G34" s="21"/>
      <x:c r="H34" s="2"/>
      <x:c r="I34" s="2"/>
      <x:c r="J34" s="2"/>
      <x:c r="K34" s="2"/>
      <x:c r="L34" s="20"/>
      <x:c r="M34" s="2"/>
      <x:c r="N34" s="2"/>
      <x:c r="O34" s="23"/>
    </x:row>
    <x:row r="35">
      <x:c r="A35" s="2"/>
      <x:c r="B35" s="2"/>
      <x:c r="C35" s="2"/>
      <x:c r="D35" s="2"/>
      <x:c r="E35" s="21"/>
      <x:c r="F35" s="22"/>
      <x:c r="G35" s="21"/>
      <x:c r="H35" s="2"/>
      <x:c r="I35" s="2"/>
      <x:c r="J35" s="2"/>
      <x:c r="K35" s="2"/>
      <x:c r="L35" s="20"/>
      <x:c r="M35" s="2"/>
      <x:c r="N35" s="2"/>
      <x:c r="O35" s="23"/>
    </x:row>
    <x:row r="36">
      <x:c r="A36" s="2"/>
      <x:c r="B36" s="2"/>
      <x:c r="C36" s="2"/>
      <x:c r="D36" s="2"/>
      <x:c r="E36" s="21"/>
      <x:c r="F36" s="22"/>
      <x:c r="G36" s="21"/>
      <x:c r="H36" s="2"/>
      <x:c r="I36" s="2"/>
      <x:c r="J36" s="2"/>
      <x:c r="K36" s="2"/>
      <x:c r="L36" s="20"/>
      <x:c r="M36" s="2"/>
      <x:c r="N36" s="2"/>
      <x:c r="O36" s="23"/>
    </x:row>
    <x:row r="37">
      <x:c r="A37" s="2"/>
      <x:c r="B37" s="2"/>
      <x:c r="C37" s="2"/>
      <x:c r="D37" s="2"/>
      <x:c r="E37" s="21"/>
      <x:c r="F37" s="22"/>
      <x:c r="G37" s="21"/>
      <x:c r="H37" s="2"/>
      <x:c r="I37" s="2"/>
      <x:c r="J37" s="2"/>
      <x:c r="K37" s="2"/>
      <x:c r="L37" s="20"/>
      <x:c r="M37" s="2"/>
      <x:c r="N37" s="2"/>
      <x:c r="O37" s="23"/>
    </x:row>
    <x:row r="38">
      <x:c r="A38" s="2"/>
      <x:c r="B38" s="2"/>
      <x:c r="C38" s="2"/>
      <x:c r="D38" s="2"/>
      <x:c r="E38" s="21"/>
      <x:c r="F38" s="22"/>
      <x:c r="G38" s="21"/>
      <x:c r="H38" s="2"/>
      <x:c r="I38" s="2"/>
      <x:c r="J38" s="2"/>
      <x:c r="K38" s="2"/>
      <x:c r="L38" s="20"/>
      <x:c r="M38" s="2"/>
      <x:c r="N38" s="2"/>
      <x:c r="O38" s="23"/>
    </x:row>
    <x:row r="39">
      <x:c r="A39" s="2"/>
      <x:c r="B39" s="2"/>
      <x:c r="C39" s="2"/>
      <x:c r="D39" s="2"/>
      <x:c r="E39" s="21"/>
      <x:c r="F39" s="22"/>
      <x:c r="G39" s="21"/>
      <x:c r="H39" s="2"/>
      <x:c r="I39" s="2"/>
      <x:c r="J39" s="2"/>
      <x:c r="K39" s="2"/>
      <x:c r="L39" s="20"/>
      <x:c r="M39" s="2"/>
      <x:c r="N39" s="2"/>
      <x:c r="O39" s="23"/>
    </x:row>
    <x:row r="40">
      <x:c r="A40" s="2"/>
      <x:c r="B40" s="2"/>
      <x:c r="C40" s="2"/>
      <x:c r="D40" s="2"/>
      <x:c r="E40" s="21"/>
      <x:c r="F40" s="22"/>
      <x:c r="G40" s="21"/>
      <x:c r="H40" s="2"/>
      <x:c r="I40" s="2"/>
      <x:c r="J40" s="2"/>
      <x:c r="K40" s="2"/>
      <x:c r="L40" s="20"/>
      <x:c r="M40" s="2"/>
      <x:c r="N40" s="2"/>
      <x:c r="O40" s="23"/>
    </x:row>
    <x:row r="41">
      <x:c r="A41" s="2"/>
      <x:c r="B41" s="2"/>
      <x:c r="C41" s="2"/>
      <x:c r="D41" s="2"/>
      <x:c r="E41" s="21"/>
      <x:c r="F41" s="22"/>
      <x:c r="G41" s="21"/>
      <x:c r="H41" s="2"/>
      <x:c r="I41" s="2"/>
      <x:c r="J41" s="2"/>
      <x:c r="K41" s="2"/>
      <x:c r="L41" s="20"/>
      <x:c r="M41" s="2"/>
      <x:c r="N41" s="2"/>
      <x:c r="O41" s="23"/>
    </x:row>
    <x:row r="42">
      <x:c r="A42" s="2"/>
      <x:c r="B42" s="2"/>
      <x:c r="C42" s="2"/>
      <x:c r="D42" s="2"/>
      <x:c r="E42" s="21"/>
      <x:c r="F42" s="22"/>
      <x:c r="G42" s="21"/>
      <x:c r="H42" s="2"/>
      <x:c r="I42" s="2"/>
      <x:c r="J42" s="2"/>
      <x:c r="K42" s="2"/>
      <x:c r="L42" s="20"/>
      <x:c r="M42" s="2"/>
      <x:c r="N42" s="2"/>
      <x:c r="O42" s="23"/>
    </x:row>
    <x:row r="43">
      <x:c r="A43" s="2"/>
      <x:c r="B43" s="2"/>
      <x:c r="C43" s="2"/>
      <x:c r="D43" s="2"/>
      <x:c r="E43" s="21"/>
      <x:c r="F43" s="22"/>
      <x:c r="G43" s="21"/>
      <x:c r="H43" s="2"/>
      <x:c r="I43" s="2"/>
      <x:c r="J43" s="2"/>
      <x:c r="K43" s="2"/>
      <x:c r="L43" s="20"/>
      <x:c r="M43" s="2"/>
      <x:c r="N43" s="2"/>
      <x:c r="O43" s="23"/>
    </x:row>
    <x:row r="44">
      <x:c r="A44" s="2"/>
      <x:c r="B44" s="2"/>
      <x:c r="C44" s="2"/>
      <x:c r="D44" s="2"/>
      <x:c r="E44" s="21"/>
      <x:c r="F44" s="22"/>
      <x:c r="G44" s="21"/>
      <x:c r="H44" s="2"/>
      <x:c r="I44" s="2"/>
      <x:c r="J44" s="2"/>
      <x:c r="K44" s="2"/>
      <x:c r="L44" s="20"/>
      <x:c r="M44" s="2"/>
      <x:c r="N44" s="2"/>
      <x:c r="O44" s="23"/>
    </x:row>
    <x:row r="45">
      <x:c r="A45" s="2"/>
      <x:c r="B45" s="2"/>
      <x:c r="C45" s="2"/>
      <x:c r="D45" s="2"/>
      <x:c r="E45" s="21"/>
      <x:c r="F45" s="22"/>
      <x:c r="G45" s="21"/>
      <x:c r="H45" s="2"/>
      <x:c r="I45" s="2"/>
      <x:c r="J45" s="2"/>
      <x:c r="K45" s="2"/>
      <x:c r="L45" s="20"/>
      <x:c r="M45" s="2"/>
      <x:c r="N45" s="2"/>
      <x:c r="O45" s="23"/>
    </x:row>
    <x:row r="46">
      <x:c r="A46" s="2"/>
      <x:c r="B46" s="2"/>
      <x:c r="C46" s="2"/>
      <x:c r="D46" s="2"/>
      <x:c r="E46" s="21"/>
      <x:c r="F46" s="22"/>
      <x:c r="G46" s="21"/>
      <x:c r="H46" s="2"/>
      <x:c r="I46" s="2"/>
      <x:c r="J46" s="2"/>
      <x:c r="K46" s="2"/>
      <x:c r="L46" s="20"/>
      <x:c r="M46" s="2"/>
      <x:c r="N46" s="2"/>
      <x:c r="O46" s="23"/>
    </x:row>
    <x:row r="47">
      <x:c r="A47" s="2"/>
      <x:c r="B47" s="2"/>
      <x:c r="C47" s="2"/>
      <x:c r="D47" s="2"/>
      <x:c r="E47" s="21"/>
      <x:c r="F47" s="22"/>
      <x:c r="G47" s="21"/>
      <x:c r="H47" s="2"/>
      <x:c r="I47" s="2"/>
      <x:c r="J47" s="2"/>
      <x:c r="K47" s="2"/>
      <x:c r="L47" s="20"/>
      <x:c r="M47" s="2"/>
      <x:c r="N47" s="2"/>
      <x:c r="O47" s="23"/>
    </x:row>
    <x:row r="48">
      <x:c r="A48" s="2"/>
      <x:c r="B48" s="2"/>
      <x:c r="C48" s="2"/>
      <x:c r="D48" s="2"/>
      <x:c r="E48" s="21"/>
      <x:c r="F48" s="22"/>
      <x:c r="G48" s="21"/>
      <x:c r="H48" s="2"/>
      <x:c r="I48" s="2"/>
      <x:c r="J48" s="2"/>
      <x:c r="K48" s="2"/>
      <x:c r="L48" s="20"/>
      <x:c r="M48" s="2"/>
      <x:c r="N48" s="2"/>
      <x:c r="O48" s="23"/>
    </x:row>
    <x:row r="49">
      <x:c r="A49" s="2"/>
      <x:c r="B49" s="2"/>
      <x:c r="C49" s="2"/>
      <x:c r="D49" s="2"/>
      <x:c r="E49" s="21"/>
      <x:c r="F49" s="22"/>
      <x:c r="G49" s="21"/>
      <x:c r="H49" s="2"/>
      <x:c r="I49" s="2"/>
      <x:c r="J49" s="2"/>
      <x:c r="K49" s="2"/>
      <x:c r="L49" s="20"/>
      <x:c r="M49" s="2"/>
      <x:c r="N49" s="2"/>
      <x:c r="O49" s="23"/>
    </x:row>
    <x:row r="50">
      <x:c r="A50" s="2"/>
      <x:c r="B50" s="2"/>
      <x:c r="C50" s="2"/>
      <x:c r="D50" s="2"/>
      <x:c r="E50" s="21"/>
      <x:c r="F50" s="22"/>
      <x:c r="G50" s="21"/>
      <x:c r="H50" s="2"/>
      <x:c r="I50" s="2"/>
      <x:c r="J50" s="2"/>
      <x:c r="K50" s="2"/>
      <x:c r="L50" s="20"/>
      <x:c r="M50" s="2"/>
      <x:c r="N50" s="2"/>
      <x:c r="O50" s="23"/>
    </x:row>
    <x:row r="51">
      <x:c r="A51" s="2"/>
      <x:c r="B51" s="2"/>
      <x:c r="C51" s="2"/>
      <x:c r="D51" s="2"/>
      <x:c r="E51" s="21"/>
      <x:c r="F51" s="22"/>
      <x:c r="G51" s="21"/>
      <x:c r="H51" s="2"/>
      <x:c r="I51" s="2"/>
      <x:c r="J51" s="2"/>
      <x:c r="K51" s="2"/>
      <x:c r="L51" s="20"/>
      <x:c r="M51" s="2"/>
      <x:c r="N51" s="2"/>
      <x:c r="O51" s="23"/>
    </x:row>
    <x:row r="52">
      <x:c r="A52" s="2"/>
      <x:c r="B52" s="2"/>
      <x:c r="C52" s="2"/>
      <x:c r="D52" s="2"/>
      <x:c r="E52" s="21"/>
      <x:c r="F52" s="22"/>
      <x:c r="G52" s="21"/>
      <x:c r="H52" s="2"/>
      <x:c r="I52" s="2"/>
      <x:c r="J52" s="2"/>
      <x:c r="K52" s="2"/>
      <x:c r="L52" s="20"/>
      <x:c r="M52" s="2"/>
      <x:c r="N52" s="2"/>
      <x:c r="O52" s="23"/>
    </x:row>
    <x:row r="53">
      <x:c r="A53" s="2"/>
      <x:c r="B53" s="2"/>
      <x:c r="C53" s="2"/>
      <x:c r="D53" s="2"/>
      <x:c r="E53" s="21"/>
      <x:c r="F53" s="22"/>
      <x:c r="G53" s="21"/>
      <x:c r="H53" s="2"/>
      <x:c r="I53" s="2"/>
      <x:c r="J53" s="2"/>
      <x:c r="K53" s="2"/>
      <x:c r="L53" s="20"/>
      <x:c r="M53" s="2"/>
      <x:c r="N53" s="2"/>
      <x:c r="O53" s="23"/>
    </x:row>
    <x:row r="54">
      <x:c r="A54" s="2"/>
      <x:c r="B54" s="2"/>
      <x:c r="C54" s="2"/>
      <x:c r="D54" s="2"/>
      <x:c r="E54" s="21"/>
      <x:c r="F54" s="22"/>
      <x:c r="G54" s="21"/>
      <x:c r="H54" s="2"/>
      <x:c r="I54" s="2"/>
      <x:c r="J54" s="2"/>
      <x:c r="K54" s="2"/>
      <x:c r="L54" s="20"/>
      <x:c r="M54" s="2"/>
      <x:c r="N54" s="2"/>
      <x:c r="O54" s="23"/>
    </x:row>
    <x:row r="55">
      <x:c r="A55" s="2"/>
      <x:c r="B55" s="2"/>
      <x:c r="C55" s="2"/>
      <x:c r="D55" s="2"/>
      <x:c r="E55" s="21"/>
      <x:c r="F55" s="22"/>
      <x:c r="G55" s="21"/>
      <x:c r="H55" s="2"/>
      <x:c r="I55" s="2"/>
      <x:c r="J55" s="2"/>
      <x:c r="K55" s="2"/>
      <x:c r="L55" s="20"/>
      <x:c r="M55" s="2"/>
      <x:c r="N55" s="2"/>
      <x:c r="O55" s="23"/>
    </x:row>
    <x:row r="56">
      <x:c r="A56" s="2"/>
      <x:c r="B56" s="2"/>
      <x:c r="C56" s="2"/>
      <x:c r="D56" s="2"/>
      <x:c r="E56" s="21"/>
      <x:c r="F56" s="22"/>
      <x:c r="G56" s="21"/>
      <x:c r="H56" s="2"/>
      <x:c r="I56" s="2"/>
      <x:c r="J56" s="2"/>
      <x:c r="K56" s="2"/>
      <x:c r="L56" s="20"/>
      <x:c r="M56" s="2"/>
      <x:c r="N56" s="2"/>
      <x:c r="O56" s="23"/>
    </x:row>
    <x:row r="57">
      <x:c r="A57" s="2"/>
      <x:c r="B57" s="2"/>
      <x:c r="C57" s="2"/>
      <x:c r="D57" s="2"/>
      <x:c r="E57" s="21"/>
      <x:c r="F57" s="22"/>
      <x:c r="G57" s="21"/>
      <x:c r="H57" s="2"/>
      <x:c r="I57" s="2"/>
      <x:c r="J57" s="2"/>
      <x:c r="K57" s="2"/>
      <x:c r="L57" s="20"/>
      <x:c r="M57" s="2"/>
      <x:c r="N57" s="2"/>
      <x:c r="O57" s="23"/>
    </x:row>
    <x:row r="58">
      <x:c r="A58" s="2"/>
      <x:c r="B58" s="2"/>
      <x:c r="C58" s="2"/>
      <x:c r="D58" s="2"/>
      <x:c r="E58" s="21"/>
      <x:c r="F58" s="22"/>
      <x:c r="G58" s="21"/>
      <x:c r="H58" s="2"/>
      <x:c r="I58" s="2"/>
      <x:c r="J58" s="2"/>
      <x:c r="K58" s="2"/>
      <x:c r="L58" s="20"/>
      <x:c r="M58" s="2"/>
      <x:c r="N58" s="2"/>
      <x:c r="O58" s="23"/>
    </x:row>
    <x:row r="59">
      <x:c r="A59" s="2"/>
      <x:c r="B59" s="2"/>
      <x:c r="C59" s="2"/>
      <x:c r="D59" s="2"/>
      <x:c r="E59" s="21"/>
      <x:c r="F59" s="22"/>
      <x:c r="G59" s="21"/>
      <x:c r="H59" s="2"/>
      <x:c r="I59" s="2"/>
      <x:c r="J59" s="2"/>
      <x:c r="K59" s="2"/>
      <x:c r="L59" s="20"/>
      <x:c r="M59" s="2"/>
      <x:c r="N59" s="2"/>
      <x:c r="O59" s="23"/>
    </x:row>
    <x:row r="60">
      <x:c r="A60" s="2"/>
      <x:c r="B60" s="2"/>
      <x:c r="C60" s="2"/>
      <x:c r="D60" s="2"/>
      <x:c r="E60" s="21"/>
      <x:c r="F60" s="22"/>
      <x:c r="G60" s="21"/>
      <x:c r="H60" s="2"/>
      <x:c r="I60" s="2"/>
      <x:c r="J60" s="2"/>
      <x:c r="K60" s="2"/>
      <x:c r="L60" s="20"/>
      <x:c r="M60" s="2"/>
      <x:c r="N60" s="2"/>
      <x:c r="O60" s="23"/>
    </x:row>
    <x:row r="61">
      <x:c r="A61" s="2"/>
      <x:c r="B61" s="2"/>
      <x:c r="C61" s="2"/>
      <x:c r="D61" s="2"/>
      <x:c r="E61" s="21"/>
      <x:c r="F61" s="22"/>
      <x:c r="G61" s="21"/>
      <x:c r="H61" s="2"/>
      <x:c r="I61" s="2"/>
      <x:c r="J61" s="2"/>
      <x:c r="K61" s="2"/>
      <x:c r="L61" s="20"/>
      <x:c r="M61" s="2"/>
      <x:c r="N61" s="2"/>
      <x:c r="O61" s="23"/>
    </x:row>
    <x:row r="62">
      <x:c r="A62" s="2"/>
      <x:c r="B62" s="2"/>
      <x:c r="C62" s="2"/>
      <x:c r="D62" s="2"/>
      <x:c r="E62" s="21"/>
      <x:c r="F62" s="22"/>
      <x:c r="G62" s="21"/>
      <x:c r="H62" s="2"/>
      <x:c r="I62" s="2"/>
      <x:c r="J62" s="2"/>
      <x:c r="K62" s="2"/>
      <x:c r="L62" s="20"/>
      <x:c r="M62" s="2"/>
      <x:c r="N62" s="2"/>
      <x:c r="O62" s="23"/>
    </x:row>
    <x:row r="63">
      <x:c r="A63" s="2"/>
      <x:c r="B63" s="2"/>
      <x:c r="C63" s="2"/>
      <x:c r="D63" s="2"/>
      <x:c r="E63" s="21"/>
      <x:c r="F63" s="22"/>
      <x:c r="G63" s="21"/>
      <x:c r="H63" s="2"/>
      <x:c r="I63" s="2"/>
      <x:c r="J63" s="2"/>
      <x:c r="K63" s="2"/>
      <x:c r="L63" s="20"/>
      <x:c r="M63" s="2"/>
      <x:c r="N63" s="2"/>
      <x:c r="O63" s="23"/>
    </x:row>
    <x:row r="64">
      <x:c r="A64" s="2"/>
      <x:c r="B64" s="2"/>
      <x:c r="C64" s="2"/>
      <x:c r="D64" s="2"/>
      <x:c r="E64" s="21"/>
      <x:c r="F64" s="22"/>
      <x:c r="G64" s="21"/>
      <x:c r="H64" s="2"/>
      <x:c r="I64" s="2"/>
      <x:c r="J64" s="2"/>
      <x:c r="K64" s="2"/>
      <x:c r="L64" s="20"/>
      <x:c r="M64" s="2"/>
      <x:c r="N64" s="2"/>
      <x:c r="O64" s="23"/>
    </x:row>
    <x:row r="65">
      <x:c r="A65" s="2"/>
      <x:c r="B65" s="2"/>
      <x:c r="C65" s="2"/>
      <x:c r="D65" s="2"/>
      <x:c r="E65" s="21"/>
      <x:c r="F65" s="22"/>
      <x:c r="G65" s="21"/>
      <x:c r="H65" s="2"/>
      <x:c r="I65" s="2"/>
      <x:c r="J65" s="2"/>
      <x:c r="K65" s="2"/>
      <x:c r="L65" s="20"/>
      <x:c r="M65" s="2"/>
      <x:c r="N65" s="2"/>
      <x:c r="O65" s="23"/>
    </x:row>
    <x:row r="66">
      <x:c r="A66" s="2"/>
      <x:c r="B66" s="2"/>
      <x:c r="C66" s="2"/>
      <x:c r="D66" s="2"/>
      <x:c r="E66" s="21"/>
      <x:c r="F66" s="22"/>
      <x:c r="G66" s="21"/>
      <x:c r="H66" s="2"/>
      <x:c r="I66" s="2"/>
      <x:c r="J66" s="2"/>
      <x:c r="K66" s="2"/>
      <x:c r="L66" s="20"/>
      <x:c r="M66" s="2"/>
      <x:c r="N66" s="2"/>
      <x:c r="O66" s="23"/>
    </x:row>
    <x:row r="67">
      <x:c r="A67" s="2"/>
      <x:c r="B67" s="2"/>
      <x:c r="C67" s="2"/>
      <x:c r="D67" s="2"/>
      <x:c r="E67" s="21"/>
      <x:c r="F67" s="22"/>
      <x:c r="G67" s="21"/>
      <x:c r="H67" s="2"/>
      <x:c r="I67" s="2"/>
      <x:c r="J67" s="2"/>
      <x:c r="K67" s="2"/>
      <x:c r="L67" s="20"/>
      <x:c r="M67" s="2"/>
      <x:c r="N67" s="2"/>
      <x:c r="O67" s="23"/>
    </x:row>
    <x:row r="68">
      <x:c r="A68" s="2"/>
      <x:c r="B68" s="2"/>
      <x:c r="C68" s="2"/>
      <x:c r="D68" s="2"/>
      <x:c r="E68" s="21"/>
      <x:c r="F68" s="22"/>
      <x:c r="G68" s="21"/>
      <x:c r="H68" s="2"/>
      <x:c r="I68" s="2"/>
      <x:c r="J68" s="2"/>
      <x:c r="K68" s="2"/>
      <x:c r="L68" s="20"/>
      <x:c r="M68" s="2"/>
      <x:c r="N68" s="2"/>
      <x:c r="O68" s="23"/>
    </x:row>
    <x:row r="69">
      <x:c r="A69" s="2"/>
      <x:c r="B69" s="2"/>
      <x:c r="C69" s="2"/>
      <x:c r="D69" s="2"/>
      <x:c r="E69" s="21"/>
      <x:c r="F69" s="22"/>
      <x:c r="G69" s="21"/>
      <x:c r="H69" s="2"/>
      <x:c r="I69" s="2"/>
      <x:c r="J69" s="2"/>
      <x:c r="K69" s="2"/>
      <x:c r="L69" s="20"/>
      <x:c r="M69" s="2"/>
      <x:c r="N69" s="2"/>
      <x:c r="O69" s="23"/>
    </x:row>
    <x:row r="70">
      <x:c r="A70" s="2"/>
      <x:c r="B70" s="2"/>
      <x:c r="C70" s="2"/>
      <x:c r="D70" s="2"/>
      <x:c r="E70" s="21"/>
      <x:c r="F70" s="22"/>
      <x:c r="G70" s="21"/>
      <x:c r="H70" s="2"/>
      <x:c r="I70" s="2"/>
      <x:c r="J70" s="2"/>
      <x:c r="K70" s="2"/>
      <x:c r="L70" s="20"/>
      <x:c r="M70" s="2"/>
      <x:c r="N70" s="2"/>
      <x:c r="O70" s="23"/>
    </x:row>
    <x:row r="71">
      <x:c r="A71" s="2"/>
      <x:c r="B71" s="2"/>
      <x:c r="C71" s="2"/>
      <x:c r="D71" s="2"/>
      <x:c r="E71" s="21"/>
      <x:c r="F71" s="22"/>
      <x:c r="G71" s="21"/>
      <x:c r="H71" s="2"/>
      <x:c r="I71" s="2"/>
      <x:c r="J71" s="2"/>
      <x:c r="K71" s="2"/>
      <x:c r="L71" s="20"/>
      <x:c r="M71" s="2"/>
      <x:c r="N71" s="2"/>
      <x:c r="O71" s="23"/>
    </x:row>
    <x:row r="72">
      <x:c r="A72" s="2"/>
      <x:c r="B72" s="2"/>
      <x:c r="C72" s="2"/>
      <x:c r="D72" s="2"/>
      <x:c r="E72" s="21"/>
      <x:c r="F72" s="22"/>
      <x:c r="G72" s="21"/>
      <x:c r="H72" s="2"/>
      <x:c r="I72" s="2"/>
      <x:c r="J72" s="2"/>
      <x:c r="K72" s="2"/>
      <x:c r="L72" s="20"/>
      <x:c r="M72" s="2"/>
      <x:c r="N72" s="2"/>
      <x:c r="O72" s="23"/>
    </x:row>
    <x:row r="73">
      <x:c r="A73" s="2"/>
      <x:c r="B73" s="2"/>
      <x:c r="C73" s="2"/>
      <x:c r="D73" s="2"/>
      <x:c r="E73" s="21"/>
      <x:c r="F73" s="22"/>
      <x:c r="G73" s="21"/>
      <x:c r="H73" s="2"/>
      <x:c r="I73" s="2"/>
      <x:c r="J73" s="2"/>
      <x:c r="K73" s="2"/>
      <x:c r="L73" s="20"/>
      <x:c r="M73" s="2"/>
      <x:c r="N73" s="2"/>
      <x:c r="O73" s="23"/>
    </x:row>
    <x:row r="74">
      <x:c r="A74" s="2"/>
      <x:c r="B74" s="2"/>
      <x:c r="C74" s="2"/>
      <x:c r="D74" s="2"/>
      <x:c r="E74" s="21"/>
      <x:c r="F74" s="22"/>
      <x:c r="G74" s="21"/>
      <x:c r="H74" s="2"/>
      <x:c r="I74" s="2"/>
      <x:c r="J74" s="2"/>
      <x:c r="K74" s="2"/>
      <x:c r="L74" s="20"/>
      <x:c r="M74" s="2"/>
      <x:c r="N74" s="2"/>
      <x:c r="O74" s="23"/>
    </x:row>
    <x:row r="75">
      <x:c r="A75" s="2"/>
      <x:c r="B75" s="2"/>
      <x:c r="C75" s="2"/>
      <x:c r="D75" s="2"/>
      <x:c r="E75" s="21"/>
      <x:c r="F75" s="22"/>
      <x:c r="G75" s="21"/>
      <x:c r="H75" s="2"/>
      <x:c r="I75" s="2"/>
      <x:c r="J75" s="2"/>
      <x:c r="K75" s="2"/>
      <x:c r="L75" s="20"/>
      <x:c r="M75" s="2"/>
      <x:c r="N75" s="2"/>
      <x:c r="O75" s="23"/>
    </x:row>
    <x:row r="76">
      <x:c r="A76" s="2"/>
      <x:c r="B76" s="2"/>
      <x:c r="C76" s="2"/>
      <x:c r="D76" s="2"/>
      <x:c r="E76" s="21"/>
      <x:c r="F76" s="22"/>
      <x:c r="G76" s="21"/>
      <x:c r="H76" s="2"/>
      <x:c r="I76" s="2"/>
      <x:c r="J76" s="2"/>
      <x:c r="K76" s="2"/>
      <x:c r="L76" s="20"/>
      <x:c r="M76" s="2"/>
      <x:c r="N76" s="2"/>
      <x:c r="O76" s="23"/>
    </x:row>
    <x:row r="77">
      <x:c r="A77" s="2"/>
      <x:c r="B77" s="2"/>
      <x:c r="C77" s="2"/>
      <x:c r="D77" s="2"/>
      <x:c r="E77" s="21"/>
      <x:c r="F77" s="22"/>
      <x:c r="G77" s="21"/>
      <x:c r="H77" s="2"/>
      <x:c r="I77" s="2"/>
      <x:c r="J77" s="2"/>
      <x:c r="K77" s="2"/>
      <x:c r="L77" s="20"/>
      <x:c r="M77" s="2"/>
      <x:c r="N77" s="2"/>
      <x:c r="O77" s="23"/>
    </x:row>
    <x:row r="78">
      <x:c r="A78" s="2"/>
      <x:c r="B78" s="2"/>
      <x:c r="C78" s="2"/>
      <x:c r="D78" s="2"/>
      <x:c r="E78" s="21"/>
      <x:c r="F78" s="22"/>
      <x:c r="G78" s="21"/>
      <x:c r="H78" s="2"/>
      <x:c r="I78" s="2"/>
      <x:c r="J78" s="2"/>
      <x:c r="K78" s="2"/>
      <x:c r="L78" s="20"/>
      <x:c r="M78" s="2"/>
      <x:c r="N78" s="2"/>
      <x:c r="O78" s="23"/>
    </x:row>
    <x:row r="79">
      <x:c r="A79" s="2"/>
      <x:c r="B79" s="2"/>
      <x:c r="C79" s="2"/>
      <x:c r="D79" s="2"/>
      <x:c r="E79" s="21"/>
      <x:c r="F79" s="22"/>
      <x:c r="G79" s="21"/>
      <x:c r="H79" s="2"/>
      <x:c r="I79" s="2"/>
      <x:c r="J79" s="2"/>
      <x:c r="K79" s="2"/>
      <x:c r="L79" s="20"/>
      <x:c r="M79" s="2"/>
      <x:c r="N79" s="2"/>
      <x:c r="O79" s="23"/>
    </x:row>
    <x:row r="80">
      <x:c r="A80" s="2"/>
      <x:c r="B80" s="2"/>
      <x:c r="C80" s="2"/>
      <x:c r="D80" s="2"/>
      <x:c r="E80" s="21"/>
      <x:c r="F80" s="22"/>
      <x:c r="G80" s="21"/>
      <x:c r="H80" s="2"/>
      <x:c r="I80" s="2"/>
      <x:c r="J80" s="2"/>
      <x:c r="K80" s="2"/>
      <x:c r="L80" s="20"/>
      <x:c r="M80" s="2"/>
      <x:c r="N80" s="2"/>
      <x:c r="O80" s="23"/>
    </x:row>
    <x:row r="81">
      <x:c r="A81" s="2"/>
      <x:c r="B81" s="2"/>
      <x:c r="C81" s="2"/>
      <x:c r="D81" s="2"/>
      <x:c r="E81" s="21"/>
      <x:c r="F81" s="22"/>
      <x:c r="G81" s="21"/>
      <x:c r="H81" s="2"/>
      <x:c r="I81" s="2"/>
      <x:c r="J81" s="2"/>
      <x:c r="K81" s="2"/>
      <x:c r="L81" s="20"/>
      <x:c r="M81" s="2"/>
      <x:c r="N81" s="2"/>
      <x:c r="O81" s="23"/>
    </x:row>
    <x:row r="82">
      <x:c r="A82" s="2"/>
      <x:c r="B82" s="2"/>
      <x:c r="C82" s="2"/>
      <x:c r="D82" s="2"/>
      <x:c r="E82" s="21"/>
      <x:c r="F82" s="22"/>
      <x:c r="G82" s="21"/>
      <x:c r="H82" s="2"/>
      <x:c r="I82" s="2"/>
      <x:c r="J82" s="2"/>
      <x:c r="K82" s="2"/>
      <x:c r="L82" s="20"/>
      <x:c r="M82" s="2"/>
      <x:c r="N82" s="2"/>
      <x:c r="O82" s="23"/>
    </x:row>
    <x:row r="83">
      <x:c r="A83" s="2"/>
      <x:c r="B83" s="2"/>
      <x:c r="C83" s="2"/>
      <x:c r="D83" s="2"/>
      <x:c r="E83" s="21"/>
      <x:c r="F83" s="22"/>
      <x:c r="G83" s="21"/>
      <x:c r="H83" s="2"/>
      <x:c r="I83" s="2"/>
      <x:c r="J83" s="2"/>
      <x:c r="K83" s="2"/>
      <x:c r="L83" s="20"/>
      <x:c r="M83" s="2"/>
      <x:c r="N83" s="2"/>
      <x:c r="O83" s="23"/>
    </x:row>
    <x:row r="84">
      <x:c r="A84" s="2"/>
      <x:c r="B84" s="2"/>
      <x:c r="C84" s="2"/>
      <x:c r="D84" s="2"/>
      <x:c r="E84" s="21"/>
      <x:c r="F84" s="22"/>
      <x:c r="G84" s="21"/>
      <x:c r="H84" s="2"/>
      <x:c r="I84" s="2"/>
      <x:c r="J84" s="2"/>
      <x:c r="K84" s="2"/>
      <x:c r="L84" s="20"/>
      <x:c r="M84" s="2"/>
      <x:c r="N84" s="2"/>
      <x:c r="O84" s="23"/>
    </x:row>
    <x:row r="85">
      <x:c r="A85" s="2"/>
      <x:c r="B85" s="2"/>
      <x:c r="C85" s="2"/>
      <x:c r="D85" s="2"/>
      <x:c r="E85" s="21"/>
      <x:c r="F85" s="22"/>
      <x:c r="G85" s="21"/>
      <x:c r="H85" s="2"/>
      <x:c r="I85" s="2"/>
      <x:c r="J85" s="2"/>
      <x:c r="K85" s="2"/>
      <x:c r="L85" s="20"/>
      <x:c r="M85" s="2"/>
      <x:c r="N85" s="2"/>
      <x:c r="O85" s="23"/>
    </x:row>
    <x:row r="86">
      <x:c r="A86" s="2"/>
      <x:c r="B86" s="2"/>
      <x:c r="C86" s="2"/>
      <x:c r="D86" s="2"/>
      <x:c r="E86" s="21"/>
      <x:c r="F86" s="22"/>
      <x:c r="G86" s="21"/>
      <x:c r="H86" s="2"/>
      <x:c r="I86" s="2"/>
      <x:c r="J86" s="2"/>
      <x:c r="K86" s="2"/>
      <x:c r="L86" s="20"/>
      <x:c r="M86" s="2"/>
      <x:c r="N86" s="2"/>
      <x:c r="O86" s="23"/>
    </x:row>
    <x:row r="87">
      <x:c r="A87" s="2"/>
      <x:c r="B87" s="2"/>
      <x:c r="C87" s="2"/>
      <x:c r="D87" s="2"/>
      <x:c r="E87" s="21"/>
      <x:c r="F87" s="22"/>
      <x:c r="G87" s="21"/>
      <x:c r="H87" s="2"/>
      <x:c r="I87" s="2"/>
      <x:c r="J87" s="2"/>
      <x:c r="K87" s="2"/>
      <x:c r="L87" s="20"/>
      <x:c r="M87" s="2"/>
      <x:c r="N87" s="2"/>
      <x:c r="O87" s="23"/>
    </x:row>
    <x:row r="88">
      <x:c r="A88" s="2"/>
      <x:c r="B88" s="2"/>
      <x:c r="C88" s="2"/>
      <x:c r="D88" s="2"/>
      <x:c r="E88" s="21"/>
      <x:c r="F88" s="22"/>
      <x:c r="G88" s="21"/>
      <x:c r="H88" s="2"/>
      <x:c r="I88" s="2"/>
      <x:c r="J88" s="2"/>
      <x:c r="K88" s="2"/>
      <x:c r="L88" s="20"/>
      <x:c r="M88" s="2"/>
      <x:c r="N88" s="2"/>
      <x:c r="O88" s="23"/>
    </x:row>
    <x:row r="89">
      <x:c r="A89" s="2"/>
      <x:c r="B89" s="2"/>
      <x:c r="C89" s="2"/>
      <x:c r="D89" s="2"/>
      <x:c r="E89" s="21"/>
      <x:c r="F89" s="22"/>
      <x:c r="G89" s="21"/>
      <x:c r="H89" s="2"/>
      <x:c r="I89" s="2"/>
      <x:c r="J89" s="2"/>
      <x:c r="K89" s="2"/>
      <x:c r="L89" s="20"/>
      <x:c r="M89" s="2"/>
      <x:c r="N89" s="2"/>
      <x:c r="O89" s="23"/>
    </x:row>
    <x:row r="90">
      <x:c r="A90" s="2"/>
      <x:c r="B90" s="2"/>
      <x:c r="C90" s="2"/>
      <x:c r="D90" s="2"/>
      <x:c r="E90" s="21"/>
      <x:c r="F90" s="22"/>
      <x:c r="G90" s="21"/>
      <x:c r="H90" s="2"/>
      <x:c r="I90" s="2"/>
      <x:c r="J90" s="2"/>
      <x:c r="K90" s="2"/>
      <x:c r="L90" s="20"/>
      <x:c r="M90" s="2"/>
      <x:c r="N90" s="2"/>
      <x:c r="O90" s="23"/>
    </x:row>
    <x:row r="91">
      <x:c r="A91" s="2"/>
      <x:c r="B91" s="2"/>
      <x:c r="C91" s="2"/>
      <x:c r="D91" s="2"/>
      <x:c r="E91" s="21"/>
      <x:c r="F91" s="22"/>
      <x:c r="G91" s="21"/>
      <x:c r="H91" s="2"/>
      <x:c r="I91" s="2"/>
      <x:c r="J91" s="2"/>
      <x:c r="K91" s="2"/>
      <x:c r="L91" s="20"/>
      <x:c r="M91" s="2"/>
      <x:c r="N91" s="2"/>
      <x:c r="O91" s="23"/>
    </x:row>
    <x:row r="92">
      <x:c r="A92" s="2"/>
      <x:c r="B92" s="2"/>
      <x:c r="C92" s="2"/>
      <x:c r="D92" s="2"/>
      <x:c r="E92" s="21"/>
      <x:c r="F92" s="22"/>
      <x:c r="G92" s="21"/>
      <x:c r="H92" s="2"/>
      <x:c r="I92" s="2"/>
      <x:c r="J92" s="2"/>
      <x:c r="K92" s="2"/>
      <x:c r="L92" s="20"/>
      <x:c r="M92" s="2"/>
      <x:c r="N92" s="2"/>
      <x:c r="O92" s="23"/>
    </x:row>
    <x:row r="93">
      <x:c r="A93" s="2"/>
      <x:c r="B93" s="2"/>
      <x:c r="C93" s="2"/>
      <x:c r="D93" s="2"/>
      <x:c r="E93" s="21"/>
      <x:c r="F93" s="22"/>
      <x:c r="G93" s="21"/>
      <x:c r="H93" s="2"/>
      <x:c r="I93" s="2"/>
      <x:c r="J93" s="2"/>
      <x:c r="K93" s="2"/>
      <x:c r="L93" s="20"/>
      <x:c r="M93" s="2"/>
      <x:c r="N93" s="2"/>
      <x:c r="O93" s="23"/>
    </x:row>
    <x:row r="94">
      <x:c r="A94" s="2"/>
      <x:c r="B94" s="2"/>
      <x:c r="C94" s="2"/>
      <x:c r="D94" s="2"/>
      <x:c r="E94" s="21"/>
      <x:c r="F94" s="22"/>
      <x:c r="G94" s="21"/>
      <x:c r="H94" s="2"/>
      <x:c r="I94" s="2"/>
      <x:c r="J94" s="2"/>
      <x:c r="K94" s="2"/>
      <x:c r="L94" s="20"/>
      <x:c r="M94" s="2"/>
      <x:c r="N94" s="2"/>
      <x:c r="O94" s="23"/>
    </x:row>
    <x:row r="95">
      <x:c r="A95" s="2"/>
      <x:c r="B95" s="2"/>
      <x:c r="C95" s="2"/>
      <x:c r="D95" s="2"/>
      <x:c r="E95" s="21"/>
      <x:c r="F95" s="22"/>
      <x:c r="G95" s="21"/>
      <x:c r="H95" s="2"/>
      <x:c r="I95" s="2"/>
      <x:c r="J95" s="2"/>
      <x:c r="K95" s="2"/>
      <x:c r="L95" s="20"/>
      <x:c r="M95" s="2"/>
      <x:c r="N95" s="2"/>
      <x:c r="O95" s="23"/>
    </x:row>
    <x:row r="96">
      <x:c r="A96" s="2"/>
      <x:c r="B96" s="2"/>
      <x:c r="C96" s="2"/>
      <x:c r="D96" s="2"/>
      <x:c r="E96" s="21"/>
      <x:c r="F96" s="22"/>
      <x:c r="G96" s="21"/>
      <x:c r="H96" s="2"/>
      <x:c r="I96" s="2"/>
      <x:c r="J96" s="2"/>
      <x:c r="K96" s="2"/>
      <x:c r="L96" s="20"/>
      <x:c r="M96" s="2"/>
      <x:c r="N96" s="2"/>
      <x:c r="O96" s="23"/>
    </x:row>
    <x:row r="97">
      <x:c r="A97" s="2"/>
      <x:c r="B97" s="2"/>
      <x:c r="C97" s="2"/>
      <x:c r="D97" s="2"/>
      <x:c r="E97" s="21"/>
      <x:c r="F97" s="22"/>
      <x:c r="G97" s="21"/>
      <x:c r="H97" s="2"/>
      <x:c r="I97" s="2"/>
      <x:c r="J97" s="2"/>
      <x:c r="K97" s="2"/>
      <x:c r="L97" s="20"/>
      <x:c r="M97" s="2"/>
      <x:c r="N97" s="2"/>
      <x:c r="O97" s="23"/>
    </x:row>
    <x:row r="98">
      <x:c r="A98" s="2"/>
      <x:c r="B98" s="2"/>
      <x:c r="C98" s="2"/>
      <x:c r="D98" s="2"/>
      <x:c r="E98" s="21"/>
      <x:c r="F98" s="22"/>
      <x:c r="G98" s="21"/>
      <x:c r="H98" s="2"/>
      <x:c r="I98" s="2"/>
      <x:c r="J98" s="2"/>
      <x:c r="K98" s="2"/>
      <x:c r="L98" s="20"/>
      <x:c r="M98" s="2"/>
      <x:c r="N98" s="2"/>
      <x:c r="O98" s="23"/>
    </x:row>
    <x:row r="99">
      <x:c r="A99" s="2"/>
      <x:c r="B99" s="2"/>
      <x:c r="C99" s="2"/>
      <x:c r="D99" s="2"/>
      <x:c r="E99" s="21"/>
      <x:c r="F99" s="22"/>
      <x:c r="G99" s="21"/>
      <x:c r="H99" s="2"/>
      <x:c r="I99" s="2"/>
      <x:c r="J99" s="2"/>
      <x:c r="K99" s="2"/>
      <x:c r="L99" s="20"/>
      <x:c r="M99" s="2"/>
      <x:c r="N99" s="2"/>
      <x:c r="O99" s="23"/>
    </x:row>
    <x:row r="100">
      <x:c r="A100" s="2"/>
      <x:c r="B100" s="2"/>
      <x:c r="C100" s="2"/>
      <x:c r="D100" s="2"/>
      <x:c r="E100" s="21"/>
      <x:c r="F100" s="22"/>
      <x:c r="G100" s="21"/>
      <x:c r="H100" s="2"/>
      <x:c r="I100" s="2"/>
      <x:c r="J100" s="2"/>
      <x:c r="K100" s="2"/>
      <x:c r="L100" s="20"/>
      <x:c r="M100" s="2"/>
      <x:c r="N100" s="2"/>
      <x:c r="O100" s="23"/>
    </x:row>
    <x:row r="101">
      <x:c r="A101" s="2"/>
      <x:c r="B101" s="2"/>
      <x:c r="C101" s="2"/>
      <x:c r="D101" s="2"/>
      <x:c r="E101" s="21"/>
      <x:c r="F101" s="22"/>
      <x:c r="G101" s="21"/>
      <x:c r="H101" s="2"/>
      <x:c r="I101" s="2"/>
      <x:c r="J101" s="2"/>
      <x:c r="K101" s="2"/>
      <x:c r="L101" s="20"/>
      <x:c r="M101" s="2"/>
      <x:c r="N101" s="2"/>
      <x:c r="O101" s="23"/>
    </x:row>
    <x:row r="102">
      <x:c r="A102" s="2"/>
      <x:c r="B102" s="2"/>
      <x:c r="C102" s="2"/>
      <x:c r="D102" s="2"/>
      <x:c r="E102" s="21"/>
      <x:c r="F102" s="22"/>
      <x:c r="G102" s="21"/>
      <x:c r="H102" s="2"/>
      <x:c r="I102" s="2"/>
      <x:c r="J102" s="2"/>
      <x:c r="K102" s="2"/>
      <x:c r="L102" s="20"/>
      <x:c r="M102" s="2"/>
      <x:c r="N102" s="2"/>
      <x:c r="O102" s="23"/>
    </x:row>
    <x:row r="103">
      <x:c r="A103" s="2"/>
      <x:c r="B103" s="2"/>
      <x:c r="C103" s="2"/>
      <x:c r="D103" s="2"/>
      <x:c r="E103" s="21"/>
      <x:c r="F103" s="22"/>
      <x:c r="G103" s="21"/>
      <x:c r="H103" s="2"/>
      <x:c r="I103" s="2"/>
      <x:c r="J103" s="2"/>
      <x:c r="K103" s="2"/>
      <x:c r="L103" s="20"/>
      <x:c r="M103" s="2"/>
      <x:c r="N103" s="2"/>
      <x:c r="O103" s="23"/>
    </x:row>
    <x:row r="104">
      <x:c r="A104" s="2"/>
      <x:c r="B104" s="2"/>
      <x:c r="C104" s="2"/>
      <x:c r="D104" s="2"/>
      <x:c r="E104" s="21"/>
      <x:c r="F104" s="22"/>
      <x:c r="G104" s="21"/>
      <x:c r="H104" s="2"/>
      <x:c r="I104" s="2"/>
      <x:c r="J104" s="2"/>
      <x:c r="K104" s="2"/>
      <x:c r="L104" s="20"/>
      <x:c r="M104" s="2"/>
      <x:c r="N104" s="2"/>
      <x:c r="O104" s="23"/>
    </x:row>
    <x:row r="105">
      <x:c r="A105" s="2"/>
      <x:c r="B105" s="2"/>
      <x:c r="C105" s="2"/>
      <x:c r="D105" s="2"/>
      <x:c r="E105" s="21"/>
      <x:c r="F105" s="22"/>
      <x:c r="G105" s="21"/>
      <x:c r="H105" s="2"/>
      <x:c r="I105" s="2"/>
      <x:c r="J105" s="2"/>
      <x:c r="K105" s="2"/>
      <x:c r="L105" s="20"/>
      <x:c r="M105" s="2"/>
      <x:c r="N105" s="2"/>
      <x:c r="O105" s="23"/>
    </x:row>
    <x:row r="106">
      <x:c r="A106" s="2"/>
      <x:c r="B106" s="2"/>
      <x:c r="C106" s="2"/>
      <x:c r="D106" s="2"/>
      <x:c r="E106" s="21"/>
      <x:c r="F106" s="22"/>
      <x:c r="G106" s="21"/>
      <x:c r="H106" s="2"/>
      <x:c r="I106" s="2"/>
      <x:c r="J106" s="2"/>
      <x:c r="K106" s="2"/>
      <x:c r="L106" s="20"/>
      <x:c r="M106" s="2"/>
      <x:c r="N106" s="2"/>
      <x:c r="O106" s="23"/>
    </x:row>
    <x:row r="107">
      <x:c r="A107" s="2"/>
      <x:c r="B107" s="2"/>
      <x:c r="C107" s="2"/>
      <x:c r="D107" s="2"/>
      <x:c r="E107" s="21"/>
      <x:c r="F107" s="22"/>
      <x:c r="G107" s="21"/>
      <x:c r="H107" s="2"/>
      <x:c r="I107" s="2"/>
      <x:c r="J107" s="2"/>
      <x:c r="K107" s="2"/>
      <x:c r="L107" s="20"/>
      <x:c r="M107" s="2"/>
      <x:c r="N107" s="2"/>
      <x:c r="O107" s="23"/>
    </x:row>
    <x:row r="108">
      <x:c r="A108" s="2"/>
      <x:c r="B108" s="2"/>
      <x:c r="C108" s="2"/>
      <x:c r="D108" s="2"/>
      <x:c r="E108" s="21"/>
      <x:c r="F108" s="22"/>
      <x:c r="G108" s="21"/>
      <x:c r="H108" s="2"/>
      <x:c r="I108" s="2"/>
      <x:c r="J108" s="2"/>
      <x:c r="K108" s="2"/>
      <x:c r="L108" s="20"/>
      <x:c r="M108" s="2"/>
      <x:c r="N108" s="2"/>
      <x:c r="O108" s="23"/>
    </x:row>
    <x:row r="109">
      <x:c r="A109" s="2"/>
      <x:c r="B109" s="2"/>
      <x:c r="C109" s="2"/>
      <x:c r="D109" s="2"/>
      <x:c r="E109" s="21"/>
      <x:c r="F109" s="22"/>
      <x:c r="G109" s="21"/>
      <x:c r="H109" s="2"/>
      <x:c r="I109" s="2"/>
      <x:c r="J109" s="2"/>
      <x:c r="K109" s="2"/>
      <x:c r="L109" s="20"/>
      <x:c r="M109" s="2"/>
      <x:c r="N109" s="2"/>
      <x:c r="O109" s="23"/>
    </x:row>
    <x:row r="110">
      <x:c r="A110" s="2"/>
      <x:c r="B110" s="2"/>
      <x:c r="C110" s="2"/>
      <x:c r="D110" s="2"/>
      <x:c r="E110" s="21"/>
      <x:c r="F110" s="22"/>
      <x:c r="G110" s="21"/>
      <x:c r="H110" s="2"/>
      <x:c r="I110" s="2"/>
      <x:c r="J110" s="2"/>
      <x:c r="K110" s="2"/>
      <x:c r="L110" s="20"/>
      <x:c r="M110" s="2"/>
      <x:c r="N110" s="2"/>
      <x:c r="O110" s="23"/>
    </x:row>
    <x:row r="111">
      <x:c r="A111" s="2"/>
      <x:c r="B111" s="2"/>
      <x:c r="C111" s="2"/>
      <x:c r="D111" s="2"/>
      <x:c r="E111" s="21"/>
      <x:c r="F111" s="22"/>
      <x:c r="G111" s="21"/>
      <x:c r="H111" s="2"/>
      <x:c r="I111" s="2"/>
      <x:c r="J111" s="2"/>
      <x:c r="K111" s="2"/>
      <x:c r="L111" s="20"/>
      <x:c r="M111" s="2"/>
      <x:c r="N111" s="2"/>
      <x:c r="O111" s="23"/>
    </x:row>
    <x:row r="112">
      <x:c r="A112" s="2"/>
      <x:c r="B112" s="2"/>
      <x:c r="C112" s="2"/>
      <x:c r="D112" s="2"/>
      <x:c r="E112" s="21"/>
      <x:c r="F112" s="22"/>
      <x:c r="G112" s="21"/>
      <x:c r="H112" s="2"/>
      <x:c r="I112" s="2"/>
      <x:c r="J112" s="2"/>
      <x:c r="K112" s="2"/>
      <x:c r="L112" s="20"/>
      <x:c r="M112" s="2"/>
      <x:c r="N112" s="2"/>
      <x:c r="O112" s="23"/>
    </x:row>
    <x:row r="113">
      <x:c r="A113" s="2"/>
      <x:c r="B113" s="2"/>
      <x:c r="C113" s="2"/>
      <x:c r="D113" s="2"/>
      <x:c r="E113" s="21"/>
      <x:c r="F113" s="22"/>
      <x:c r="G113" s="21"/>
      <x:c r="H113" s="2"/>
      <x:c r="I113" s="2"/>
      <x:c r="J113" s="2"/>
      <x:c r="K113" s="2"/>
      <x:c r="L113" s="20"/>
      <x:c r="M113" s="2"/>
      <x:c r="N113" s="2"/>
      <x:c r="O113" s="23"/>
    </x:row>
    <x:row r="114">
      <x:c r="A114" s="2"/>
      <x:c r="B114" s="2"/>
      <x:c r="C114" s="2"/>
      <x:c r="D114" s="2"/>
      <x:c r="E114" s="21"/>
      <x:c r="F114" s="22"/>
      <x:c r="G114" s="21"/>
      <x:c r="H114" s="2"/>
      <x:c r="I114" s="2"/>
      <x:c r="J114" s="2"/>
      <x:c r="K114" s="2"/>
      <x:c r="L114" s="20"/>
      <x:c r="M114" s="2"/>
      <x:c r="N114" s="2"/>
      <x:c r="O114" s="23"/>
    </x:row>
    <x:row r="115">
      <x:c r="A115" s="2"/>
      <x:c r="B115" s="2"/>
      <x:c r="C115" s="2"/>
      <x:c r="D115" s="2"/>
      <x:c r="E115" s="21"/>
      <x:c r="F115" s="22"/>
      <x:c r="G115" s="21"/>
      <x:c r="H115" s="2"/>
      <x:c r="I115" s="2"/>
      <x:c r="J115" s="2"/>
      <x:c r="K115" s="2"/>
      <x:c r="L115" s="20"/>
      <x:c r="M115" s="2"/>
      <x:c r="N115" s="2"/>
      <x:c r="O115" s="23"/>
    </x:row>
    <x:row r="116">
      <x:c r="A116" s="2"/>
      <x:c r="B116" s="2"/>
      <x:c r="C116" s="2"/>
      <x:c r="D116" s="2"/>
      <x:c r="E116" s="21"/>
      <x:c r="F116" s="22"/>
      <x:c r="G116" s="21"/>
      <x:c r="H116" s="2"/>
      <x:c r="I116" s="2"/>
      <x:c r="J116" s="2"/>
      <x:c r="K116" s="2"/>
      <x:c r="L116" s="20"/>
      <x:c r="M116" s="2"/>
      <x:c r="N116" s="2"/>
      <x:c r="O116" s="23"/>
    </x:row>
    <x:row r="117">
      <x:c r="A117" s="2"/>
      <x:c r="B117" s="2"/>
      <x:c r="C117" s="2"/>
      <x:c r="D117" s="2"/>
      <x:c r="E117" s="21"/>
      <x:c r="F117" s="22"/>
      <x:c r="G117" s="21"/>
      <x:c r="H117" s="2"/>
      <x:c r="I117" s="2"/>
      <x:c r="J117" s="2"/>
      <x:c r="K117" s="2"/>
      <x:c r="L117" s="20"/>
      <x:c r="M117" s="2"/>
      <x:c r="N117" s="2"/>
      <x:c r="O117" s="23"/>
    </x:row>
    <x:row r="118">
      <x:c r="A118" s="2"/>
      <x:c r="B118" s="2"/>
      <x:c r="C118" s="2"/>
      <x:c r="D118" s="2"/>
      <x:c r="E118" s="21"/>
      <x:c r="F118" s="22"/>
      <x:c r="G118" s="21"/>
      <x:c r="H118" s="2"/>
      <x:c r="I118" s="2"/>
      <x:c r="J118" s="2"/>
      <x:c r="K118" s="2"/>
      <x:c r="L118" s="20"/>
      <x:c r="M118" s="2"/>
      <x:c r="N118" s="2"/>
      <x:c r="O118" s="23"/>
    </x:row>
    <x:row r="119">
      <x:c r="A119" s="2"/>
      <x:c r="B119" s="2"/>
      <x:c r="C119" s="2"/>
      <x:c r="D119" s="2"/>
      <x:c r="E119" s="21"/>
      <x:c r="F119" s="22"/>
      <x:c r="G119" s="21"/>
      <x:c r="H119" s="2"/>
      <x:c r="I119" s="2"/>
      <x:c r="J119" s="2"/>
      <x:c r="K119" s="2"/>
      <x:c r="L119" s="20"/>
      <x:c r="M119" s="2"/>
      <x:c r="N119" s="2"/>
      <x:c r="O119" s="23"/>
    </x:row>
    <x:row r="120">
      <x:c r="A120" s="2"/>
      <x:c r="B120" s="2"/>
      <x:c r="C120" s="2"/>
      <x:c r="D120" s="2"/>
      <x:c r="E120" s="21"/>
      <x:c r="F120" s="22"/>
      <x:c r="G120" s="21"/>
      <x:c r="H120" s="2"/>
      <x:c r="I120" s="2"/>
      <x:c r="J120" s="2"/>
      <x:c r="K120" s="2"/>
      <x:c r="L120" s="20"/>
      <x:c r="M120" s="2"/>
      <x:c r="N120" s="2"/>
      <x:c r="O120" s="23"/>
    </x:row>
    <x:row r="121">
      <x:c r="A121" s="2"/>
      <x:c r="B121" s="2"/>
      <x:c r="C121" s="2"/>
      <x:c r="D121" s="2"/>
      <x:c r="E121" s="21"/>
      <x:c r="F121" s="22"/>
      <x:c r="G121" s="21"/>
      <x:c r="H121" s="2"/>
      <x:c r="I121" s="2"/>
      <x:c r="J121" s="2"/>
      <x:c r="K121" s="2"/>
      <x:c r="L121" s="20"/>
      <x:c r="M121" s="2"/>
      <x:c r="N121" s="2"/>
      <x:c r="O121" s="23"/>
    </x:row>
    <x:row r="122">
      <x:c r="A122" s="2"/>
      <x:c r="B122" s="2"/>
      <x:c r="C122" s="2"/>
      <x:c r="D122" s="2"/>
      <x:c r="E122" s="21"/>
      <x:c r="F122" s="22"/>
      <x:c r="G122" s="21"/>
      <x:c r="H122" s="2"/>
      <x:c r="I122" s="2"/>
      <x:c r="J122" s="2"/>
      <x:c r="K122" s="2"/>
      <x:c r="L122" s="20"/>
      <x:c r="M122" s="2"/>
      <x:c r="N122" s="2"/>
      <x:c r="O122" s="23"/>
    </x:row>
    <x:row r="123">
      <x:c r="A123" s="2"/>
      <x:c r="B123" s="2"/>
      <x:c r="C123" s="2"/>
      <x:c r="D123" s="2"/>
      <x:c r="E123" s="21"/>
      <x:c r="F123" s="22"/>
      <x:c r="G123" s="21"/>
      <x:c r="H123" s="2"/>
      <x:c r="I123" s="2"/>
      <x:c r="J123" s="2"/>
      <x:c r="K123" s="2"/>
      <x:c r="L123" s="20"/>
      <x:c r="M123" s="2"/>
      <x:c r="N123" s="2"/>
      <x:c r="O123" s="23"/>
    </x:row>
    <x:row r="124">
      <x:c r="A124" s="2"/>
      <x:c r="B124" s="2"/>
      <x:c r="C124" s="2"/>
      <x:c r="D124" s="2"/>
      <x:c r="E124" s="21"/>
      <x:c r="F124" s="22"/>
      <x:c r="G124" s="21"/>
      <x:c r="H124" s="2"/>
      <x:c r="I124" s="2"/>
      <x:c r="J124" s="2"/>
      <x:c r="K124" s="2"/>
      <x:c r="L124" s="20"/>
      <x:c r="M124" s="2"/>
      <x:c r="N124" s="2"/>
      <x:c r="O124" s="23"/>
    </x:row>
    <x:row r="125">
      <x:c r="A125" s="2"/>
      <x:c r="B125" s="2"/>
      <x:c r="C125" s="2"/>
      <x:c r="D125" s="2"/>
      <x:c r="E125" s="21"/>
      <x:c r="F125" s="22"/>
      <x:c r="G125" s="21"/>
      <x:c r="H125" s="2"/>
      <x:c r="I125" s="2"/>
      <x:c r="J125" s="2"/>
      <x:c r="K125" s="2"/>
      <x:c r="L125" s="20"/>
      <x:c r="M125" s="2"/>
      <x:c r="N125" s="2"/>
      <x:c r="O125" s="23"/>
    </x:row>
    <x:row r="126">
      <x:c r="A126" s="2"/>
      <x:c r="B126" s="2"/>
      <x:c r="C126" s="2"/>
      <x:c r="D126" s="2"/>
      <x:c r="E126" s="21"/>
      <x:c r="F126" s="22"/>
      <x:c r="G126" s="21"/>
      <x:c r="H126" s="2"/>
      <x:c r="I126" s="2"/>
      <x:c r="J126" s="2"/>
      <x:c r="K126" s="2"/>
      <x:c r="L126" s="20"/>
      <x:c r="M126" s="2"/>
      <x:c r="N126" s="2"/>
      <x:c r="O126" s="23"/>
    </x:row>
    <x:row r="127">
      <x:c r="A127" s="2"/>
      <x:c r="B127" s="2"/>
      <x:c r="C127" s="2"/>
      <x:c r="D127" s="2"/>
      <x:c r="E127" s="21"/>
      <x:c r="F127" s="22"/>
      <x:c r="G127" s="21"/>
      <x:c r="H127" s="2"/>
      <x:c r="I127" s="2"/>
      <x:c r="J127" s="2"/>
      <x:c r="K127" s="2"/>
      <x:c r="L127" s="20"/>
      <x:c r="M127" s="2"/>
      <x:c r="N127" s="2"/>
      <x:c r="O127" s="23"/>
    </x:row>
    <x:row r="128">
      <x:c r="A128" s="2"/>
      <x:c r="B128" s="2"/>
      <x:c r="C128" s="2"/>
      <x:c r="D128" s="2"/>
      <x:c r="E128" s="21"/>
      <x:c r="F128" s="22"/>
      <x:c r="G128" s="21"/>
      <x:c r="H128" s="2"/>
      <x:c r="I128" s="2"/>
      <x:c r="J128" s="2"/>
      <x:c r="K128" s="2"/>
      <x:c r="L128" s="20"/>
      <x:c r="M128" s="2"/>
      <x:c r="N128" s="2"/>
      <x:c r="O128" s="23"/>
    </x:row>
    <x:row r="129">
      <x:c r="A129" s="2"/>
      <x:c r="B129" s="2"/>
      <x:c r="C129" s="2"/>
      <x:c r="D129" s="2"/>
      <x:c r="E129" s="21"/>
      <x:c r="F129" s="22"/>
      <x:c r="G129" s="21"/>
      <x:c r="H129" s="2"/>
      <x:c r="I129" s="2"/>
      <x:c r="J129" s="2"/>
      <x:c r="K129" s="2"/>
      <x:c r="L129" s="20"/>
      <x:c r="M129" s="2"/>
      <x:c r="N129" s="2"/>
      <x:c r="O129" s="23"/>
    </x:row>
    <x:row r="130">
      <x:c r="A130" s="2"/>
      <x:c r="B130" s="2"/>
      <x:c r="C130" s="2"/>
      <x:c r="D130" s="2"/>
      <x:c r="E130" s="21"/>
      <x:c r="F130" s="22"/>
      <x:c r="G130" s="21"/>
      <x:c r="H130" s="2"/>
      <x:c r="I130" s="2"/>
      <x:c r="J130" s="2"/>
      <x:c r="K130" s="2"/>
      <x:c r="L130" s="20"/>
      <x:c r="M130" s="2"/>
      <x:c r="N130" s="2"/>
      <x:c r="O130" s="23"/>
    </x:row>
    <x:row r="131">
      <x:c r="A131" s="2"/>
      <x:c r="B131" s="2"/>
      <x:c r="C131" s="2"/>
      <x:c r="D131" s="2"/>
      <x:c r="E131" s="21"/>
      <x:c r="F131" s="22"/>
      <x:c r="G131" s="21"/>
      <x:c r="H131" s="2"/>
      <x:c r="I131" s="2"/>
      <x:c r="J131" s="2"/>
      <x:c r="K131" s="2"/>
      <x:c r="L131" s="20"/>
      <x:c r="M131" s="2"/>
      <x:c r="N131" s="2"/>
      <x:c r="O131" s="23"/>
    </x:row>
    <x:row r="132">
      <x:c r="A132" s="2"/>
      <x:c r="B132" s="2"/>
      <x:c r="C132" s="2"/>
      <x:c r="D132" s="2"/>
      <x:c r="E132" s="21"/>
      <x:c r="F132" s="22"/>
      <x:c r="G132" s="21"/>
      <x:c r="H132" s="2"/>
      <x:c r="I132" s="2"/>
      <x:c r="J132" s="2"/>
      <x:c r="K132" s="2"/>
      <x:c r="L132" s="20"/>
      <x:c r="M132" s="2"/>
      <x:c r="N132" s="2"/>
      <x:c r="O132" s="23"/>
    </x:row>
    <x:row r="133">
      <x:c r="A133" s="2"/>
      <x:c r="B133" s="2"/>
      <x:c r="C133" s="2"/>
      <x:c r="D133" s="2"/>
      <x:c r="E133" s="21"/>
      <x:c r="F133" s="22"/>
      <x:c r="G133" s="21"/>
      <x:c r="H133" s="2"/>
      <x:c r="I133" s="2"/>
      <x:c r="J133" s="2"/>
      <x:c r="K133" s="2"/>
      <x:c r="L133" s="20"/>
      <x:c r="M133" s="2"/>
      <x:c r="N133" s="2"/>
      <x:c r="O133" s="23"/>
    </x:row>
    <x:row r="134">
      <x:c r="A134" s="2"/>
      <x:c r="B134" s="2"/>
      <x:c r="C134" s="2"/>
      <x:c r="D134" s="2"/>
      <x:c r="E134" s="21"/>
      <x:c r="F134" s="22"/>
      <x:c r="G134" s="21"/>
      <x:c r="H134" s="2"/>
      <x:c r="I134" s="2"/>
      <x:c r="J134" s="2"/>
      <x:c r="K134" s="2"/>
      <x:c r="L134" s="20"/>
      <x:c r="M134" s="2"/>
      <x:c r="N134" s="2"/>
      <x:c r="O134" s="23"/>
    </x:row>
    <x:row r="135">
      <x:c r="A135" s="2"/>
      <x:c r="B135" s="2"/>
      <x:c r="C135" s="2"/>
      <x:c r="D135" s="2"/>
      <x:c r="E135" s="21"/>
      <x:c r="F135" s="22"/>
      <x:c r="G135" s="21"/>
      <x:c r="H135" s="2"/>
      <x:c r="I135" s="2"/>
      <x:c r="J135" s="2"/>
      <x:c r="K135" s="2"/>
      <x:c r="L135" s="20"/>
      <x:c r="M135" s="2"/>
      <x:c r="N135" s="2"/>
      <x:c r="O135" s="23"/>
    </x:row>
    <x:row r="136">
      <x:c r="A136" s="2"/>
      <x:c r="B136" s="2"/>
      <x:c r="C136" s="2"/>
      <x:c r="D136" s="2"/>
      <x:c r="E136" s="21"/>
      <x:c r="F136" s="22"/>
      <x:c r="G136" s="21"/>
      <x:c r="H136" s="2"/>
      <x:c r="I136" s="2"/>
      <x:c r="J136" s="2"/>
      <x:c r="K136" s="2"/>
      <x:c r="L136" s="20"/>
      <x:c r="M136" s="2"/>
      <x:c r="N136" s="2"/>
      <x:c r="O136" s="23"/>
    </x:row>
    <x:row r="137">
      <x:c r="A137" s="2"/>
      <x:c r="B137" s="2"/>
      <x:c r="C137" s="2"/>
      <x:c r="D137" s="2"/>
      <x:c r="E137" s="21"/>
      <x:c r="F137" s="22"/>
      <x:c r="G137" s="21"/>
      <x:c r="H137" s="2"/>
      <x:c r="I137" s="2"/>
      <x:c r="J137" s="2"/>
      <x:c r="K137" s="2"/>
      <x:c r="L137" s="20"/>
      <x:c r="M137" s="2"/>
      <x:c r="N137" s="2"/>
      <x:c r="O137" s="23"/>
    </x:row>
    <x:row r="138">
      <x:c r="A138" s="2"/>
      <x:c r="B138" s="2"/>
      <x:c r="C138" s="2"/>
      <x:c r="D138" s="2"/>
      <x:c r="E138" s="21"/>
      <x:c r="F138" s="22"/>
      <x:c r="G138" s="21"/>
      <x:c r="H138" s="2"/>
      <x:c r="I138" s="2"/>
      <x:c r="J138" s="2"/>
      <x:c r="K138" s="2"/>
      <x:c r="L138" s="20"/>
      <x:c r="M138" s="2"/>
      <x:c r="N138" s="2"/>
      <x:c r="O138" s="23"/>
    </x:row>
    <x:row r="139">
      <x:c r="A139" s="2"/>
      <x:c r="B139" s="2"/>
      <x:c r="C139" s="2"/>
      <x:c r="D139" s="2"/>
      <x:c r="E139" s="21"/>
      <x:c r="F139" s="22"/>
      <x:c r="G139" s="21"/>
      <x:c r="H139" s="2"/>
      <x:c r="I139" s="2"/>
      <x:c r="J139" s="2"/>
      <x:c r="K139" s="2"/>
      <x:c r="L139" s="20"/>
      <x:c r="M139" s="2"/>
      <x:c r="N139" s="2"/>
      <x:c r="O139" s="23"/>
    </x:row>
    <x:row r="140">
      <x:c r="A140" s="2"/>
      <x:c r="B140" s="2"/>
      <x:c r="C140" s="2"/>
      <x:c r="D140" s="2"/>
      <x:c r="E140" s="21"/>
      <x:c r="F140" s="22"/>
      <x:c r="G140" s="21"/>
      <x:c r="H140" s="2"/>
      <x:c r="I140" s="2"/>
      <x:c r="J140" s="2"/>
      <x:c r="K140" s="2"/>
      <x:c r="L140" s="20"/>
      <x:c r="M140" s="2"/>
      <x:c r="N140" s="2"/>
      <x:c r="O140" s="23"/>
    </x:row>
    <x:row r="141">
      <x:c r="A141" s="2"/>
      <x:c r="B141" s="2"/>
      <x:c r="C141" s="2"/>
      <x:c r="D141" s="2"/>
      <x:c r="E141" s="21"/>
      <x:c r="F141" s="22"/>
      <x:c r="G141" s="21"/>
      <x:c r="H141" s="2"/>
      <x:c r="I141" s="2"/>
      <x:c r="J141" s="2"/>
      <x:c r="K141" s="2"/>
      <x:c r="L141" s="20"/>
      <x:c r="M141" s="2"/>
      <x:c r="N141" s="2"/>
      <x:c r="O141" s="23"/>
    </x:row>
    <x:row r="142">
      <x:c r="A142" s="2"/>
      <x:c r="B142" s="2"/>
      <x:c r="C142" s="2"/>
      <x:c r="D142" s="2"/>
      <x:c r="E142" s="21"/>
      <x:c r="F142" s="22"/>
      <x:c r="G142" s="21"/>
      <x:c r="H142" s="2"/>
      <x:c r="I142" s="2"/>
      <x:c r="J142" s="2"/>
      <x:c r="K142" s="2"/>
      <x:c r="L142" s="20"/>
      <x:c r="M142" s="2"/>
      <x:c r="N142" s="2"/>
      <x:c r="O142" s="23"/>
    </x:row>
    <x:row r="143">
      <x:c r="A143" s="2"/>
      <x:c r="B143" s="2"/>
      <x:c r="C143" s="2"/>
      <x:c r="D143" s="2"/>
      <x:c r="E143" s="21"/>
      <x:c r="F143" s="22"/>
      <x:c r="G143" s="21"/>
      <x:c r="H143" s="2"/>
      <x:c r="I143" s="2"/>
      <x:c r="J143" s="2"/>
      <x:c r="K143" s="2"/>
      <x:c r="L143" s="20"/>
      <x:c r="M143" s="2"/>
      <x:c r="N143" s="2"/>
      <x:c r="O143" s="23"/>
    </x:row>
    <x:row r="144">
      <x:c r="A144" s="2"/>
      <x:c r="B144" s="2"/>
      <x:c r="C144" s="2"/>
      <x:c r="D144" s="2"/>
      <x:c r="E144" s="21"/>
      <x:c r="F144" s="22"/>
      <x:c r="G144" s="21"/>
      <x:c r="H144" s="2"/>
      <x:c r="I144" s="2"/>
      <x:c r="J144" s="2"/>
      <x:c r="K144" s="2"/>
      <x:c r="L144" s="20"/>
      <x:c r="M144" s="2"/>
      <x:c r="N144" s="2"/>
      <x:c r="O144" s="23"/>
    </x:row>
    <x:row r="145">
      <x:c r="A145" s="2"/>
      <x:c r="B145" s="2"/>
      <x:c r="C145" s="2"/>
      <x:c r="D145" s="2"/>
      <x:c r="E145" s="21"/>
      <x:c r="F145" s="22"/>
      <x:c r="G145" s="21"/>
      <x:c r="H145" s="2"/>
      <x:c r="I145" s="2"/>
      <x:c r="J145" s="2"/>
      <x:c r="K145" s="2"/>
      <x:c r="L145" s="20"/>
      <x:c r="M145" s="2"/>
      <x:c r="N145" s="2"/>
      <x:c r="O145" s="23"/>
    </x:row>
    <x:row r="146">
      <x:c r="A146" s="2"/>
      <x:c r="B146" s="2"/>
      <x:c r="C146" s="2"/>
      <x:c r="D146" s="2"/>
      <x:c r="E146" s="21"/>
      <x:c r="F146" s="22"/>
      <x:c r="G146" s="21"/>
      <x:c r="H146" s="2"/>
      <x:c r="I146" s="2"/>
      <x:c r="J146" s="2"/>
      <x:c r="K146" s="2"/>
      <x:c r="L146" s="20"/>
      <x:c r="M146" s="2"/>
      <x:c r="N146" s="2"/>
      <x:c r="O146" s="23"/>
    </x:row>
    <x:row r="147">
      <x:c r="A147" s="2"/>
      <x:c r="B147" s="2"/>
      <x:c r="C147" s="2"/>
      <x:c r="D147" s="2"/>
      <x:c r="E147" s="21"/>
      <x:c r="F147" s="22"/>
      <x:c r="G147" s="21"/>
      <x:c r="H147" s="2"/>
      <x:c r="I147" s="2"/>
      <x:c r="J147" s="2"/>
      <x:c r="K147" s="2"/>
      <x:c r="L147" s="20"/>
      <x:c r="M147" s="2"/>
      <x:c r="N147" s="2"/>
      <x:c r="O147" s="23"/>
    </x:row>
    <x:row r="148">
      <x:c r="A148" s="2"/>
      <x:c r="B148" s="2"/>
      <x:c r="C148" s="2"/>
      <x:c r="D148" s="2"/>
      <x:c r="E148" s="21"/>
      <x:c r="F148" s="22"/>
      <x:c r="G148" s="21"/>
      <x:c r="H148" s="2"/>
      <x:c r="I148" s="2"/>
      <x:c r="J148" s="2"/>
      <x:c r="K148" s="2"/>
      <x:c r="L148" s="20"/>
      <x:c r="M148" s="2"/>
      <x:c r="N148" s="2"/>
      <x:c r="O148" s="23"/>
    </x:row>
    <x:row r="149">
      <x:c r="A149" s="2"/>
      <x:c r="B149" s="2"/>
      <x:c r="C149" s="2"/>
      <x:c r="D149" s="2"/>
      <x:c r="E149" s="21"/>
      <x:c r="F149" s="22"/>
      <x:c r="G149" s="21"/>
      <x:c r="H149" s="2"/>
      <x:c r="I149" s="2"/>
      <x:c r="J149" s="2"/>
      <x:c r="K149" s="2"/>
      <x:c r="L149" s="20"/>
      <x:c r="M149" s="2"/>
      <x:c r="N149" s="2"/>
      <x:c r="O149" s="23"/>
    </x:row>
    <x:row r="150">
      <x:c r="A150" s="2"/>
      <x:c r="B150" s="2"/>
      <x:c r="C150" s="2"/>
      <x:c r="D150" s="2"/>
      <x:c r="E150" s="21"/>
      <x:c r="F150" s="22"/>
      <x:c r="G150" s="21"/>
      <x:c r="H150" s="2"/>
      <x:c r="I150" s="2"/>
      <x:c r="J150" s="2"/>
      <x:c r="K150" s="2"/>
      <x:c r="L150" s="20"/>
      <x:c r="M150" s="2"/>
      <x:c r="N150" s="2"/>
      <x:c r="O150" s="23"/>
    </x:row>
    <x:row r="151">
      <x:c r="A151" s="2"/>
      <x:c r="B151" s="2"/>
      <x:c r="C151" s="2"/>
      <x:c r="D151" s="2"/>
      <x:c r="E151" s="21"/>
      <x:c r="F151" s="22"/>
      <x:c r="G151" s="21"/>
      <x:c r="H151" s="2"/>
      <x:c r="I151" s="2"/>
      <x:c r="J151" s="2"/>
      <x:c r="K151" s="2"/>
      <x:c r="L151" s="20"/>
      <x:c r="M151" s="2"/>
      <x:c r="N151" s="2"/>
      <x:c r="O151" s="23"/>
    </x:row>
    <x:row r="152">
      <x:c r="A152" s="2"/>
      <x:c r="B152" s="2"/>
      <x:c r="C152" s="2"/>
      <x:c r="D152" s="2"/>
      <x:c r="E152" s="21"/>
      <x:c r="F152" s="22"/>
      <x:c r="G152" s="21"/>
      <x:c r="H152" s="2"/>
      <x:c r="I152" s="2"/>
      <x:c r="J152" s="2"/>
      <x:c r="K152" s="2"/>
      <x:c r="L152" s="20"/>
      <x:c r="M152" s="2"/>
      <x:c r="N152" s="2"/>
      <x:c r="O152" s="23"/>
    </x:row>
    <x:row r="153">
      <x:c r="A153" s="2"/>
      <x:c r="B153" s="2"/>
      <x:c r="C153" s="2"/>
      <x:c r="D153" s="2"/>
      <x:c r="E153" s="21"/>
      <x:c r="F153" s="22"/>
      <x:c r="G153" s="21"/>
      <x:c r="H153" s="2"/>
      <x:c r="I153" s="2"/>
      <x:c r="J153" s="2"/>
      <x:c r="K153" s="2"/>
      <x:c r="L153" s="20"/>
      <x:c r="M153" s="2"/>
      <x:c r="N153" s="2"/>
      <x:c r="O153" s="23"/>
    </x:row>
    <x:row r="154">
      <x:c r="A154" s="2"/>
      <x:c r="B154" s="2"/>
      <x:c r="C154" s="2"/>
      <x:c r="D154" s="2"/>
      <x:c r="E154" s="21"/>
      <x:c r="F154" s="22"/>
      <x:c r="G154" s="21"/>
      <x:c r="H154" s="2"/>
      <x:c r="I154" s="2"/>
      <x:c r="J154" s="2"/>
      <x:c r="K154" s="2"/>
      <x:c r="L154" s="20"/>
      <x:c r="M154" s="2"/>
      <x:c r="N154" s="2"/>
      <x:c r="O154" s="23"/>
    </x:row>
    <x:row r="155">
      <x:c r="A155" s="2"/>
      <x:c r="B155" s="2"/>
      <x:c r="C155" s="2"/>
      <x:c r="D155" s="2"/>
      <x:c r="E155" s="21"/>
      <x:c r="F155" s="22"/>
      <x:c r="G155" s="21"/>
      <x:c r="H155" s="2"/>
      <x:c r="I155" s="2"/>
      <x:c r="J155" s="2"/>
      <x:c r="K155" s="2"/>
      <x:c r="L155" s="20"/>
      <x:c r="M155" s="2"/>
      <x:c r="N155" s="2"/>
      <x:c r="O155" s="23"/>
    </x:row>
    <x:row r="156">
      <x:c r="A156" s="2"/>
      <x:c r="B156" s="2"/>
      <x:c r="C156" s="2"/>
      <x:c r="D156" s="2"/>
      <x:c r="E156" s="21"/>
      <x:c r="F156" s="22"/>
      <x:c r="G156" s="21"/>
      <x:c r="H156" s="2"/>
      <x:c r="I156" s="2"/>
      <x:c r="J156" s="2"/>
      <x:c r="K156" s="2"/>
      <x:c r="L156" s="20"/>
      <x:c r="M156" s="2"/>
      <x:c r="N156" s="2"/>
      <x:c r="O156" s="23"/>
    </x:row>
    <x:row r="157">
      <x:c r="A157" s="2"/>
      <x:c r="B157" s="2"/>
      <x:c r="C157" s="2"/>
      <x:c r="D157" s="2"/>
      <x:c r="E157" s="21"/>
      <x:c r="F157" s="22"/>
      <x:c r="G157" s="21"/>
      <x:c r="H157" s="2"/>
      <x:c r="I157" s="2"/>
      <x:c r="J157" s="2"/>
      <x:c r="K157" s="2"/>
      <x:c r="L157" s="20"/>
      <x:c r="M157" s="2"/>
      <x:c r="N157" s="2"/>
      <x:c r="O157" s="23"/>
    </x:row>
    <x:row r="158">
      <x:c r="A158" s="2"/>
      <x:c r="B158" s="2"/>
      <x:c r="C158" s="2"/>
      <x:c r="D158" s="2"/>
      <x:c r="E158" s="21"/>
      <x:c r="F158" s="22"/>
      <x:c r="G158" s="21"/>
      <x:c r="H158" s="2"/>
      <x:c r="I158" s="2"/>
      <x:c r="J158" s="2"/>
      <x:c r="K158" s="2"/>
      <x:c r="L158" s="20"/>
      <x:c r="M158" s="2"/>
      <x:c r="N158" s="2"/>
      <x:c r="O158" s="23"/>
    </x:row>
    <x:row r="159">
      <x:c r="A159" s="2"/>
      <x:c r="B159" s="2"/>
      <x:c r="C159" s="2"/>
      <x:c r="D159" s="2"/>
      <x:c r="E159" s="21"/>
      <x:c r="F159" s="22"/>
      <x:c r="G159" s="21"/>
      <x:c r="H159" s="2"/>
      <x:c r="I159" s="2"/>
      <x:c r="J159" s="2"/>
      <x:c r="K159" s="2"/>
      <x:c r="L159" s="20"/>
      <x:c r="M159" s="2"/>
      <x:c r="N159" s="2"/>
      <x:c r="O159" s="23"/>
    </x:row>
    <x:row r="160">
      <x:c r="A160" s="2"/>
      <x:c r="B160" s="2"/>
      <x:c r="C160" s="2"/>
      <x:c r="D160" s="2"/>
      <x:c r="E160" s="21"/>
      <x:c r="F160" s="22"/>
      <x:c r="G160" s="21"/>
      <x:c r="H160" s="2"/>
      <x:c r="I160" s="2"/>
      <x:c r="J160" s="2"/>
      <x:c r="K160" s="2"/>
      <x:c r="L160" s="20"/>
      <x:c r="M160" s="2"/>
      <x:c r="N160" s="2"/>
      <x:c r="O160" s="23"/>
    </x:row>
    <x:row r="161">
      <x:c r="A161" s="2"/>
      <x:c r="B161" s="2"/>
      <x:c r="C161" s="2"/>
      <x:c r="D161" s="2"/>
      <x:c r="E161" s="21"/>
      <x:c r="F161" s="22"/>
      <x:c r="G161" s="21"/>
      <x:c r="H161" s="2"/>
      <x:c r="I161" s="2"/>
      <x:c r="J161" s="2"/>
      <x:c r="K161" s="2"/>
      <x:c r="L161" s="20"/>
      <x:c r="M161" s="2"/>
      <x:c r="N161" s="2"/>
      <x:c r="O161" s="23"/>
    </x:row>
    <x:row r="162">
      <x:c r="A162" s="2"/>
      <x:c r="B162" s="2"/>
      <x:c r="C162" s="2"/>
      <x:c r="D162" s="2"/>
      <x:c r="E162" s="21"/>
      <x:c r="F162" s="22"/>
      <x:c r="G162" s="21"/>
      <x:c r="H162" s="2"/>
      <x:c r="I162" s="2"/>
      <x:c r="J162" s="2"/>
      <x:c r="K162" s="2"/>
      <x:c r="L162" s="20"/>
      <x:c r="M162" s="2"/>
      <x:c r="N162" s="2"/>
      <x:c r="O162" s="23"/>
    </x:row>
    <x:row r="163">
      <x:c r="A163" s="2"/>
      <x:c r="B163" s="2"/>
      <x:c r="C163" s="2"/>
      <x:c r="D163" s="2"/>
      <x:c r="E163" s="21"/>
      <x:c r="F163" s="22"/>
      <x:c r="G163" s="21"/>
      <x:c r="H163" s="2"/>
      <x:c r="I163" s="2"/>
      <x:c r="J163" s="2"/>
      <x:c r="K163" s="2"/>
      <x:c r="L163" s="20"/>
      <x:c r="M163" s="2"/>
      <x:c r="N163" s="2"/>
      <x:c r="O163" s="23"/>
    </x:row>
    <x:row r="164">
      <x:c r="A164" s="2"/>
      <x:c r="B164" s="2"/>
      <x:c r="C164" s="2"/>
      <x:c r="D164" s="2"/>
      <x:c r="E164" s="21"/>
      <x:c r="F164" s="22"/>
      <x:c r="G164" s="21"/>
      <x:c r="H164" s="2"/>
      <x:c r="I164" s="2"/>
      <x:c r="J164" s="2"/>
      <x:c r="K164" s="2"/>
      <x:c r="L164" s="20"/>
      <x:c r="M164" s="2"/>
      <x:c r="N164" s="2"/>
      <x:c r="O164" s="23"/>
    </x:row>
    <x:row r="165">
      <x:c r="A165" s="2"/>
      <x:c r="B165" s="2"/>
      <x:c r="C165" s="2"/>
      <x:c r="D165" s="2"/>
      <x:c r="E165" s="21"/>
      <x:c r="F165" s="22"/>
      <x:c r="G165" s="21"/>
      <x:c r="H165" s="2"/>
      <x:c r="I165" s="2"/>
      <x:c r="J165" s="2"/>
      <x:c r="K165" s="2"/>
      <x:c r="L165" s="20"/>
      <x:c r="M165" s="2"/>
      <x:c r="N165" s="2"/>
      <x:c r="O165" s="23"/>
    </x:row>
    <x:row r="166">
      <x:c r="A166" s="2"/>
      <x:c r="B166" s="2"/>
      <x:c r="C166" s="2"/>
      <x:c r="D166" s="2"/>
      <x:c r="E166" s="21"/>
      <x:c r="F166" s="22"/>
      <x:c r="G166" s="21"/>
      <x:c r="H166" s="2"/>
      <x:c r="I166" s="2"/>
      <x:c r="J166" s="2"/>
      <x:c r="K166" s="2"/>
      <x:c r="L166" s="20"/>
      <x:c r="M166" s="2"/>
      <x:c r="N166" s="2"/>
      <x:c r="O166" s="23"/>
    </x:row>
    <x:row r="167">
      <x:c r="A167" s="2"/>
      <x:c r="B167" s="2"/>
      <x:c r="C167" s="2"/>
      <x:c r="D167" s="2"/>
      <x:c r="E167" s="21"/>
      <x:c r="F167" s="22"/>
      <x:c r="G167" s="21"/>
      <x:c r="H167" s="2"/>
      <x:c r="I167" s="2"/>
      <x:c r="J167" s="2"/>
      <x:c r="K167" s="2"/>
      <x:c r="L167" s="20"/>
      <x:c r="M167" s="2"/>
      <x:c r="N167" s="2"/>
      <x:c r="O167" s="23"/>
    </x:row>
    <x:row r="168">
      <x:c r="A168" s="2"/>
      <x:c r="B168" s="2"/>
      <x:c r="C168" s="2"/>
      <x:c r="D168" s="2"/>
      <x:c r="E168" s="21"/>
      <x:c r="F168" s="22"/>
      <x:c r="G168" s="21"/>
      <x:c r="H168" s="2"/>
      <x:c r="I168" s="2"/>
      <x:c r="J168" s="2"/>
      <x:c r="K168" s="2"/>
      <x:c r="L168" s="20"/>
      <x:c r="M168" s="2"/>
      <x:c r="N168" s="2"/>
      <x:c r="O168" s="23"/>
    </x:row>
    <x:row r="169">
      <x:c r="A169" s="2"/>
      <x:c r="B169" s="2"/>
      <x:c r="C169" s="2"/>
      <x:c r="D169" s="2"/>
      <x:c r="E169" s="21"/>
      <x:c r="F169" s="22"/>
      <x:c r="G169" s="21"/>
      <x:c r="H169" s="2"/>
      <x:c r="I169" s="2"/>
      <x:c r="J169" s="2"/>
      <x:c r="K169" s="2"/>
      <x:c r="L169" s="20"/>
      <x:c r="M169" s="2"/>
      <x:c r="N169" s="2"/>
      <x:c r="O169" s="23"/>
    </x:row>
    <x:row r="170">
      <x:c r="A170" s="2"/>
      <x:c r="B170" s="2"/>
      <x:c r="C170" s="2"/>
      <x:c r="D170" s="2"/>
      <x:c r="E170" s="21"/>
      <x:c r="F170" s="22"/>
      <x:c r="G170" s="21"/>
      <x:c r="H170" s="2"/>
      <x:c r="I170" s="2"/>
      <x:c r="J170" s="2"/>
      <x:c r="K170" s="2"/>
      <x:c r="L170" s="20"/>
      <x:c r="M170" s="2"/>
      <x:c r="N170" s="2"/>
      <x:c r="O170" s="23"/>
    </x:row>
    <x:row r="171">
      <x:c r="A171" s="2"/>
      <x:c r="B171" s="2"/>
      <x:c r="C171" s="2"/>
      <x:c r="D171" s="2"/>
      <x:c r="E171" s="21"/>
      <x:c r="F171" s="22"/>
      <x:c r="G171" s="21"/>
      <x:c r="H171" s="2"/>
      <x:c r="I171" s="2"/>
      <x:c r="J171" s="2"/>
      <x:c r="K171" s="2"/>
      <x:c r="L171" s="20"/>
      <x:c r="M171" s="2"/>
      <x:c r="N171" s="2"/>
      <x:c r="O171" s="23"/>
    </x:row>
    <x:row r="172">
      <x:c r="A172" s="2"/>
      <x:c r="B172" s="2"/>
      <x:c r="C172" s="2"/>
      <x:c r="D172" s="2"/>
      <x:c r="E172" s="21"/>
      <x:c r="F172" s="22"/>
      <x:c r="G172" s="21"/>
      <x:c r="H172" s="2"/>
      <x:c r="I172" s="2"/>
      <x:c r="J172" s="2"/>
      <x:c r="K172" s="2"/>
      <x:c r="L172" s="20"/>
      <x:c r="M172" s="2"/>
      <x:c r="N172" s="2"/>
      <x:c r="O172" s="23"/>
    </x:row>
    <x:row r="173">
      <x:c r="A173" s="2"/>
      <x:c r="B173" s="2"/>
      <x:c r="C173" s="2"/>
      <x:c r="D173" s="2"/>
      <x:c r="E173" s="21"/>
      <x:c r="F173" s="22"/>
      <x:c r="G173" s="21"/>
      <x:c r="H173" s="2"/>
      <x:c r="I173" s="2"/>
      <x:c r="J173" s="2"/>
      <x:c r="K173" s="2"/>
      <x:c r="L173" s="20"/>
      <x:c r="M173" s="2"/>
      <x:c r="N173" s="2"/>
      <x:c r="O173" s="23"/>
    </x:row>
    <x:row r="174">
      <x:c r="A174" s="2"/>
      <x:c r="B174" s="2"/>
      <x:c r="C174" s="2"/>
      <x:c r="D174" s="2"/>
      <x:c r="E174" s="21"/>
      <x:c r="F174" s="22"/>
      <x:c r="G174" s="21"/>
      <x:c r="H174" s="2"/>
      <x:c r="I174" s="2"/>
      <x:c r="J174" s="2"/>
      <x:c r="K174" s="2"/>
      <x:c r="L174" s="20"/>
      <x:c r="M174" s="2"/>
      <x:c r="N174" s="2"/>
      <x:c r="O174" s="23"/>
    </x:row>
    <x:row r="175">
      <x:c r="A175" s="2"/>
      <x:c r="B175" s="2"/>
      <x:c r="C175" s="2"/>
      <x:c r="D175" s="2"/>
      <x:c r="E175" s="21"/>
      <x:c r="F175" s="22"/>
      <x:c r="G175" s="21"/>
      <x:c r="H175" s="2"/>
      <x:c r="I175" s="2"/>
      <x:c r="J175" s="2"/>
      <x:c r="K175" s="2"/>
      <x:c r="L175" s="20"/>
      <x:c r="M175" s="2"/>
      <x:c r="N175" s="2"/>
      <x:c r="O175" s="23"/>
    </x:row>
    <x:row r="176">
      <x:c r="A176" s="2"/>
      <x:c r="B176" s="2"/>
      <x:c r="C176" s="2"/>
      <x:c r="D176" s="2"/>
      <x:c r="E176" s="21"/>
      <x:c r="F176" s="22"/>
      <x:c r="G176" s="21"/>
      <x:c r="H176" s="2"/>
      <x:c r="I176" s="2"/>
      <x:c r="J176" s="2"/>
      <x:c r="K176" s="2"/>
      <x:c r="L176" s="20"/>
      <x:c r="M176" s="2"/>
      <x:c r="N176" s="2"/>
      <x:c r="O176" s="23"/>
    </x:row>
    <x:row r="177">
      <x:c r="A177" s="2"/>
      <x:c r="B177" s="2"/>
      <x:c r="C177" s="2"/>
      <x:c r="D177" s="2"/>
      <x:c r="E177" s="21"/>
      <x:c r="F177" s="22"/>
      <x:c r="G177" s="21"/>
      <x:c r="H177" s="2"/>
      <x:c r="I177" s="2"/>
      <x:c r="J177" s="2"/>
      <x:c r="K177" s="2"/>
      <x:c r="L177" s="20"/>
      <x:c r="M177" s="2"/>
      <x:c r="N177" s="2"/>
      <x:c r="O177" s="23"/>
    </x:row>
    <x:row r="178">
      <x:c r="A178" s="2"/>
      <x:c r="B178" s="2"/>
      <x:c r="C178" s="2"/>
      <x:c r="D178" s="2"/>
      <x:c r="E178" s="21"/>
      <x:c r="F178" s="22"/>
      <x:c r="G178" s="21"/>
      <x:c r="H178" s="2"/>
      <x:c r="I178" s="2"/>
      <x:c r="J178" s="2"/>
      <x:c r="K178" s="2"/>
      <x:c r="L178" s="20"/>
      <x:c r="M178" s="2"/>
      <x:c r="N178" s="2"/>
      <x:c r="O178" s="23"/>
    </x:row>
    <x:row r="179">
      <x:c r="A179" s="2"/>
      <x:c r="B179" s="2"/>
      <x:c r="C179" s="2"/>
      <x:c r="D179" s="2"/>
      <x:c r="E179" s="21"/>
      <x:c r="F179" s="22"/>
      <x:c r="G179" s="21"/>
      <x:c r="H179" s="2"/>
      <x:c r="I179" s="2"/>
      <x:c r="J179" s="2"/>
      <x:c r="K179" s="2"/>
      <x:c r="L179" s="20"/>
      <x:c r="M179" s="2"/>
      <x:c r="N179" s="2"/>
      <x:c r="O179" s="23"/>
    </x:row>
    <x:row r="180">
      <x:c r="A180" s="2"/>
      <x:c r="B180" s="2"/>
      <x:c r="C180" s="2"/>
      <x:c r="D180" s="2"/>
      <x:c r="E180" s="21"/>
      <x:c r="F180" s="22"/>
      <x:c r="G180" s="21"/>
      <x:c r="H180" s="2"/>
      <x:c r="I180" s="2"/>
      <x:c r="J180" s="2"/>
      <x:c r="K180" s="2"/>
      <x:c r="L180" s="20"/>
      <x:c r="M180" s="2"/>
      <x:c r="N180" s="2"/>
      <x:c r="O180" s="23"/>
    </x:row>
    <x:row r="181">
      <x:c r="A181" s="2"/>
      <x:c r="B181" s="2"/>
      <x:c r="C181" s="2"/>
      <x:c r="D181" s="2"/>
      <x:c r="E181" s="21"/>
      <x:c r="F181" s="22"/>
      <x:c r="G181" s="21"/>
      <x:c r="H181" s="2"/>
      <x:c r="I181" s="2"/>
      <x:c r="J181" s="2"/>
      <x:c r="K181" s="2"/>
      <x:c r="L181" s="20"/>
      <x:c r="M181" s="2"/>
      <x:c r="N181" s="2"/>
      <x:c r="O181" s="23"/>
    </x:row>
    <x:row r="182">
      <x:c r="A182" s="2"/>
      <x:c r="B182" s="2"/>
      <x:c r="C182" s="2"/>
      <x:c r="D182" s="2"/>
      <x:c r="E182" s="21"/>
      <x:c r="F182" s="22"/>
      <x:c r="G182" s="21"/>
      <x:c r="H182" s="2"/>
      <x:c r="I182" s="2"/>
      <x:c r="J182" s="2"/>
      <x:c r="K182" s="2"/>
      <x:c r="L182" s="20"/>
      <x:c r="M182" s="2"/>
      <x:c r="N182" s="2"/>
      <x:c r="O182" s="23"/>
    </x:row>
    <x:row r="183">
      <x:c r="A183" s="2"/>
      <x:c r="B183" s="2"/>
      <x:c r="C183" s="2"/>
      <x:c r="D183" s="2"/>
      <x:c r="E183" s="21"/>
      <x:c r="F183" s="22"/>
      <x:c r="G183" s="21"/>
      <x:c r="H183" s="2"/>
      <x:c r="I183" s="2"/>
      <x:c r="J183" s="2"/>
      <x:c r="K183" s="2"/>
      <x:c r="L183" s="20"/>
      <x:c r="M183" s="2"/>
      <x:c r="N183" s="2"/>
      <x:c r="O183" s="23"/>
    </x:row>
    <x:row r="184">
      <x:c r="A184" s="2"/>
      <x:c r="B184" s="2"/>
      <x:c r="C184" s="2"/>
      <x:c r="D184" s="2"/>
      <x:c r="E184" s="21"/>
      <x:c r="F184" s="22"/>
      <x:c r="G184" s="21"/>
      <x:c r="H184" s="2"/>
      <x:c r="I184" s="2"/>
      <x:c r="J184" s="2"/>
      <x:c r="K184" s="2"/>
      <x:c r="L184" s="20"/>
      <x:c r="M184" s="2"/>
      <x:c r="N184" s="2"/>
      <x:c r="O184" s="23"/>
    </x:row>
    <x:row r="185">
      <x:c r="A185" s="2"/>
      <x:c r="B185" s="2"/>
      <x:c r="C185" s="2"/>
      <x:c r="D185" s="2"/>
      <x:c r="E185" s="21"/>
      <x:c r="F185" s="22"/>
      <x:c r="G185" s="21"/>
      <x:c r="H185" s="2"/>
      <x:c r="I185" s="2"/>
      <x:c r="J185" s="2"/>
      <x:c r="K185" s="2"/>
      <x:c r="L185" s="20"/>
      <x:c r="M185" s="2"/>
      <x:c r="N185" s="2"/>
      <x:c r="O185" s="23"/>
    </x:row>
    <x:row r="186">
      <x:c r="A186" s="2"/>
      <x:c r="B186" s="2"/>
      <x:c r="C186" s="2"/>
      <x:c r="D186" s="2"/>
      <x:c r="E186" s="21"/>
      <x:c r="F186" s="22"/>
      <x:c r="G186" s="21"/>
      <x:c r="H186" s="2"/>
      <x:c r="I186" s="2"/>
      <x:c r="J186" s="2"/>
      <x:c r="K186" s="2"/>
      <x:c r="L186" s="20"/>
      <x:c r="M186" s="2"/>
      <x:c r="N186" s="2"/>
      <x:c r="O186" s="23"/>
    </x:row>
    <x:row r="187">
      <x:c r="A187" s="2"/>
      <x:c r="B187" s="2"/>
      <x:c r="C187" s="2"/>
      <x:c r="D187" s="2"/>
      <x:c r="E187" s="21"/>
      <x:c r="F187" s="22"/>
      <x:c r="G187" s="21"/>
      <x:c r="H187" s="2"/>
      <x:c r="I187" s="2"/>
      <x:c r="J187" s="2"/>
      <x:c r="K187" s="2"/>
      <x:c r="L187" s="20"/>
      <x:c r="M187" s="2"/>
      <x:c r="N187" s="2"/>
      <x:c r="O187" s="23"/>
    </x:row>
    <x:row r="188">
      <x:c r="A188" s="2"/>
      <x:c r="B188" s="2"/>
      <x:c r="C188" s="2"/>
      <x:c r="D188" s="2"/>
      <x:c r="E188" s="21"/>
      <x:c r="F188" s="22"/>
      <x:c r="G188" s="21"/>
      <x:c r="H188" s="2"/>
      <x:c r="I188" s="2"/>
      <x:c r="J188" s="2"/>
      <x:c r="K188" s="2"/>
      <x:c r="L188" s="20"/>
      <x:c r="M188" s="2"/>
      <x:c r="N188" s="2"/>
      <x:c r="O188" s="23"/>
    </x:row>
    <x:row r="189">
      <x:c r="A189" s="2"/>
      <x:c r="B189" s="2"/>
      <x:c r="C189" s="2"/>
      <x:c r="D189" s="2"/>
      <x:c r="E189" s="21"/>
      <x:c r="F189" s="22"/>
      <x:c r="G189" s="21"/>
      <x:c r="H189" s="2"/>
      <x:c r="I189" s="2"/>
      <x:c r="J189" s="2"/>
      <x:c r="K189" s="2"/>
      <x:c r="L189" s="20"/>
      <x:c r="M189" s="2"/>
      <x:c r="N189" s="2"/>
      <x:c r="O189" s="23"/>
    </x:row>
    <x:row r="190">
      <x:c r="A190" s="2"/>
      <x:c r="B190" s="2"/>
      <x:c r="C190" s="2"/>
      <x:c r="D190" s="2"/>
      <x:c r="E190" s="21"/>
      <x:c r="F190" s="22"/>
      <x:c r="G190" s="21"/>
      <x:c r="H190" s="2"/>
      <x:c r="I190" s="2"/>
      <x:c r="J190" s="2"/>
      <x:c r="K190" s="2"/>
      <x:c r="L190" s="20"/>
      <x:c r="M190" s="2"/>
      <x:c r="N190" s="2"/>
      <x:c r="O190" s="23"/>
    </x:row>
    <x:row r="191">
      <x:c r="A191" s="2"/>
      <x:c r="B191" s="2"/>
      <x:c r="C191" s="2"/>
      <x:c r="D191" s="2"/>
      <x:c r="E191" s="21"/>
      <x:c r="F191" s="22"/>
      <x:c r="G191" s="21"/>
      <x:c r="H191" s="2"/>
      <x:c r="I191" s="2"/>
      <x:c r="J191" s="2"/>
      <x:c r="K191" s="2"/>
      <x:c r="L191" s="20"/>
      <x:c r="M191" s="2"/>
      <x:c r="N191" s="2"/>
      <x:c r="O191" s="23"/>
    </x:row>
    <x:row r="192">
      <x:c r="A192" s="2"/>
      <x:c r="B192" s="2"/>
      <x:c r="C192" s="2"/>
      <x:c r="D192" s="2"/>
      <x:c r="E192" s="21"/>
      <x:c r="F192" s="22"/>
      <x:c r="G192" s="21"/>
      <x:c r="H192" s="2"/>
      <x:c r="I192" s="2"/>
      <x:c r="J192" s="2"/>
      <x:c r="K192" s="2"/>
      <x:c r="L192" s="20"/>
      <x:c r="M192" s="2"/>
      <x:c r="N192" s="2"/>
      <x:c r="O192" s="23"/>
    </x:row>
    <x:row r="193">
      <x:c r="A193" s="2"/>
      <x:c r="B193" s="2"/>
      <x:c r="C193" s="2"/>
      <x:c r="D193" s="2"/>
      <x:c r="E193" s="21"/>
      <x:c r="F193" s="22"/>
      <x:c r="G193" s="21"/>
      <x:c r="H193" s="2"/>
      <x:c r="I193" s="2"/>
      <x:c r="J193" s="2"/>
      <x:c r="K193" s="2"/>
      <x:c r="L193" s="20"/>
      <x:c r="M193" s="2"/>
      <x:c r="N193" s="2"/>
      <x:c r="O193" s="23"/>
    </x:row>
    <x:row r="194">
      <x:c r="A194" s="2"/>
      <x:c r="B194" s="2"/>
      <x:c r="C194" s="2"/>
      <x:c r="D194" s="2"/>
      <x:c r="E194" s="21"/>
      <x:c r="F194" s="22"/>
      <x:c r="G194" s="21"/>
      <x:c r="H194" s="2"/>
      <x:c r="I194" s="2"/>
      <x:c r="J194" s="2"/>
      <x:c r="K194" s="2"/>
      <x:c r="L194" s="20"/>
      <x:c r="M194" s="2"/>
      <x:c r="N194" s="2"/>
      <x:c r="O194" s="23"/>
    </x:row>
    <x:row r="195">
      <x:c r="A195" s="2"/>
      <x:c r="B195" s="2"/>
      <x:c r="C195" s="2"/>
      <x:c r="D195" s="2"/>
      <x:c r="E195" s="21"/>
      <x:c r="F195" s="22"/>
      <x:c r="G195" s="21"/>
      <x:c r="H195" s="2"/>
      <x:c r="I195" s="2"/>
      <x:c r="J195" s="2"/>
      <x:c r="K195" s="2"/>
      <x:c r="L195" s="20"/>
      <x:c r="M195" s="2"/>
      <x:c r="N195" s="2"/>
      <x:c r="O195" s="23"/>
    </x:row>
    <x:row r="196">
      <x:c r="A196" s="2"/>
      <x:c r="B196" s="2"/>
      <x:c r="C196" s="2"/>
      <x:c r="D196" s="2"/>
      <x:c r="E196" s="21"/>
      <x:c r="F196" s="22"/>
      <x:c r="G196" s="21"/>
      <x:c r="H196" s="2"/>
      <x:c r="I196" s="2"/>
      <x:c r="J196" s="2"/>
      <x:c r="K196" s="2"/>
      <x:c r="L196" s="20"/>
      <x:c r="M196" s="2"/>
      <x:c r="N196" s="2"/>
      <x:c r="O196" s="23"/>
    </x:row>
    <x:row r="197">
      <x:c r="A197" s="2"/>
      <x:c r="B197" s="2"/>
      <x:c r="C197" s="2"/>
      <x:c r="D197" s="2"/>
      <x:c r="E197" s="21"/>
      <x:c r="F197" s="22"/>
      <x:c r="G197" s="21"/>
      <x:c r="H197" s="2"/>
      <x:c r="I197" s="2"/>
      <x:c r="J197" s="2"/>
      <x:c r="K197" s="2"/>
      <x:c r="L197" s="20"/>
      <x:c r="M197" s="2"/>
      <x:c r="N197" s="2"/>
      <x:c r="O197" s="23"/>
    </x:row>
    <x:row r="198">
      <x:c r="A198" s="2"/>
      <x:c r="B198" s="2"/>
      <x:c r="C198" s="2"/>
      <x:c r="D198" s="2"/>
      <x:c r="E198" s="21"/>
      <x:c r="F198" s="22"/>
      <x:c r="G198" s="21"/>
      <x:c r="H198" s="2"/>
      <x:c r="I198" s="2"/>
      <x:c r="J198" s="2"/>
      <x:c r="K198" s="2"/>
      <x:c r="L198" s="20"/>
      <x:c r="M198" s="2"/>
      <x:c r="N198" s="2"/>
      <x:c r="O198" s="23"/>
    </x:row>
    <x:row r="199">
      <x:c r="A199" s="2"/>
      <x:c r="B199" s="2"/>
      <x:c r="C199" s="2"/>
      <x:c r="D199" s="2"/>
      <x:c r="E199" s="21"/>
      <x:c r="F199" s="22"/>
      <x:c r="G199" s="21"/>
      <x:c r="H199" s="2"/>
      <x:c r="I199" s="2"/>
      <x:c r="J199" s="2"/>
      <x:c r="K199" s="2"/>
      <x:c r="L199" s="20"/>
      <x:c r="M199" s="2"/>
      <x:c r="N199" s="2"/>
      <x:c r="O199" s="23"/>
    </x:row>
    <x:row r="200">
      <x:c r="A200" s="2"/>
      <x:c r="B200" s="2"/>
      <x:c r="C200" s="2"/>
      <x:c r="D200" s="2"/>
      <x:c r="E200" s="21"/>
      <x:c r="F200" s="22"/>
      <x:c r="G200" s="21"/>
      <x:c r="H200" s="2"/>
      <x:c r="I200" s="2"/>
      <x:c r="J200" s="2"/>
      <x:c r="K200" s="2"/>
      <x:c r="L200" s="20"/>
      <x:c r="M200" s="2"/>
      <x:c r="N200" s="2"/>
      <x:c r="O200" s="23"/>
    </x:row>
    <x:row r="201">
      <x:c r="A201" s="2"/>
      <x:c r="B201" s="2"/>
      <x:c r="C201" s="2"/>
      <x:c r="D201" s="2"/>
      <x:c r="E201" s="21"/>
      <x:c r="F201" s="22"/>
      <x:c r="G201" s="21"/>
      <x:c r="H201" s="2"/>
      <x:c r="I201" s="2"/>
      <x:c r="J201" s="2"/>
      <x:c r="K201" s="2"/>
      <x:c r="L201" s="20"/>
      <x:c r="M201" s="2"/>
      <x:c r="N201" s="2"/>
      <x:c r="O201" s="23"/>
    </x:row>
    <x:row r="202">
      <x:c r="A202" s="2"/>
      <x:c r="B202" s="2"/>
      <x:c r="C202" s="2"/>
      <x:c r="D202" s="2"/>
      <x:c r="E202" s="21"/>
      <x:c r="F202" s="22"/>
      <x:c r="G202" s="21"/>
      <x:c r="H202" s="2"/>
      <x:c r="I202" s="2"/>
      <x:c r="J202" s="2"/>
      <x:c r="K202" s="2"/>
      <x:c r="L202" s="20"/>
      <x:c r="M202" s="2"/>
      <x:c r="N202" s="2"/>
      <x:c r="O202" s="23"/>
    </x:row>
    <x:row r="203">
      <x:c r="A203" s="2"/>
      <x:c r="B203" s="2"/>
      <x:c r="C203" s="2"/>
      <x:c r="D203" s="2"/>
      <x:c r="E203" s="21"/>
      <x:c r="F203" s="22"/>
      <x:c r="G203" s="21"/>
      <x:c r="H203" s="2"/>
      <x:c r="I203" s="2"/>
      <x:c r="J203" s="2"/>
      <x:c r="K203" s="2"/>
      <x:c r="L203" s="20"/>
      <x:c r="M203" s="2"/>
      <x:c r="N203" s="2"/>
      <x:c r="O203" s="23"/>
    </x:row>
    <x:row r="204">
      <x:c r="A204" s="2"/>
      <x:c r="B204" s="2"/>
      <x:c r="C204" s="2"/>
      <x:c r="D204" s="2"/>
      <x:c r="E204" s="21"/>
      <x:c r="F204" s="22"/>
      <x:c r="G204" s="21"/>
      <x:c r="H204" s="2"/>
      <x:c r="I204" s="2"/>
      <x:c r="J204" s="2"/>
      <x:c r="K204" s="2"/>
      <x:c r="L204" s="20"/>
      <x:c r="M204" s="2"/>
      <x:c r="N204" s="2"/>
      <x:c r="O204" s="23"/>
    </x:row>
  </x:sheetData>
  <x:mergeCells>
    <x:mergeCell ref="A1:O1"/>
    <x:mergeCell ref="A2:O2"/>
  </x:mergeCells>
  <x:dataValidations count="4">
    <x:dataValidation type="list" sqref="D5:D204">
      <x:formula1>"CNY,USD"</x:formula1>
    </x:dataValidation>
    <x:dataValidation type="list" sqref="H5:H204">
      <x:formula1>"余额,后付费,预付费"</x:formula1>
    </x:dataValidation>
    <x:dataValidation type="list" sqref="I5:I204">
      <x:formula1>"正常,停用,异常"</x:formula1>
    </x:dataValidation>
    <x:dataValidation type="list" sqref="K5:K204">
      <x:formula1>"是,否"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000000000000018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3.5"/>
  <x:cols>
    <x:col min="1" max="1" width="23" customWidth="1"/>
    <x:col min="2" max="2" width="22" customWidth="1"/>
    <x:col min="3" max="3" width="12" customWidth="1"/>
    <x:col min="4" max="4" width="14" customWidth="1"/>
    <x:col min="5" max="6" width="12" customWidth="1"/>
    <x:col min="7" max="7" width="10" customWidth="1"/>
    <x:col min="8" max="10" width="14" customWidth="1"/>
    <x:col min="11" max="11" width="16" customWidth="1"/>
    <x:col min="12" max="12" width="15" customWidth="1"/>
    <x:col min="13" max="13" width="13" customWidth="1"/>
    <x:col min="14" max="14" width="23" customWidth="1"/>
    <x:col min="15" max="15" width="12" customWidth="1"/>
    <x:col min="16" max="16" width="14" customWidth="1"/>
    <x:col min="17" max="17" width="26" customWidth="1"/>
    <x:col min="18" max="18" width="22" customWidth="1"/>
  </x:cols>
  <x:sheetData>
    <x:row r="1" ht="34.04999923706055" customHeight="1">
      <x:c r="A1" s="33" t="s">
        <x:v>26</x:v>
      </x:c>
      <x:c r="B1" s="33"/>
      <x:c r="C1" s="33"/>
      <x:c r="D1" s="33"/>
      <x:c r="E1" s="33"/>
      <x:c r="F1" s="33"/>
      <x:c r="G1" s="33"/>
      <x:c r="H1" s="33"/>
      <x:c r="I1" s="33"/>
      <x:c r="J1" s="33"/>
      <x:c r="K1" s="33"/>
      <x:c r="L1" s="33"/>
      <x:c r="M1" s="33"/>
      <x:c r="N1" s="33"/>
      <x:c r="O1" s="33"/>
      <x:c r="P1" s="33"/>
      <x:c r="Q1" s="33"/>
      <x:c r="R1" s="33"/>
    </x:row>
    <x:row r="2" ht="32" customHeight="1">
      <x:c r="A2" s="34" t="s">
        <x:v>146</x:v>
      </x:c>
      <x:c r="B2" s="34"/>
      <x:c r="C2" s="34"/>
      <x:c r="D2" s="34"/>
      <x:c r="E2" s="34"/>
      <x:c r="F2" s="34"/>
      <x:c r="G2" s="34"/>
      <x:c r="H2" s="34"/>
      <x:c r="I2" s="34"/>
      <x:c r="J2" s="34"/>
      <x:c r="K2" s="34"/>
      <x:c r="L2" s="34"/>
      <x:c r="M2" s="34"/>
      <x:c r="N2" s="34"/>
      <x:c r="O2" s="34"/>
      <x:c r="P2" s="34"/>
      <x:c r="Q2" s="34"/>
      <x:c r="R2" s="34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</x:row>
    <x:row r="4" ht="34.04999923706055" customHeight="1">
      <x:c r="A4" s="1" t="s">
        <x:v>28</x:v>
      </x:c>
      <x:c r="B4" s="1" t="s">
        <x:v>147</x:v>
      </x:c>
      <x:c r="C4" s="1" t="s">
        <x:v>129</x:v>
      </x:c>
      <x:c r="D4" s="1" t="s">
        <x:v>148</x:v>
      </x:c>
      <x:c r="E4" s="1" t="s">
        <x:v>149</x:v>
      </x:c>
      <x:c r="F4" s="1" t="s">
        <x:v>150</x:v>
      </x:c>
      <x:c r="G4" s="1" t="s">
        <x:v>151</x:v>
      </x:c>
      <x:c r="H4" s="1" t="s">
        <x:v>152</x:v>
      </x:c>
      <x:c r="I4" s="1" t="s">
        <x:v>153</x:v>
      </x:c>
      <x:c r="J4" s="1" t="s">
        <x:v>154</x:v>
      </x:c>
      <x:c r="K4" s="1" t="s">
        <x:v>155</x:v>
      </x:c>
      <x:c r="L4" s="1" t="s">
        <x:v>156</x:v>
      </x:c>
      <x:c r="M4" s="1" t="s">
        <x:v>157</x:v>
      </x:c>
      <x:c r="N4" s="1" t="s">
        <x:v>158</x:v>
      </x:c>
      <x:c r="O4" s="1" t="s">
        <x:v>142</x:v>
      </x:c>
      <x:c r="P4" s="1" t="s">
        <x:v>62</x:v>
      </x:c>
      <x:c r="Q4" s="1" t="s">
        <x:v>9</x:v>
      </x:c>
      <x:c r="R4" s="1" t="s">
        <x:v>67</x:v>
      </x:c>
    </x:row>
    <x:row r="5">
      <x:c r="A5" s="2" t="str">
        <x:v>SKU-SD20-STD-480</x:v>
      </x:c>
      <x:c r="B5" s="2" t="str">
        <x:v>seedance-2.0</x:v>
      </x:c>
      <x:c r="C5" s="2" t="str">
        <x:v>标准</x:v>
      </x:c>
      <x:c r="D5" s="2" t="str">
        <x:v>480p</x:v>
      </x:c>
      <x:c r="E5" s="2" t="n">
        <x:v>864</x:v>
      </x:c>
      <x:c r="F5" s="2" t="n">
        <x:v>496</x:v>
      </x:c>
      <x:c r="G5" s="2" t="n">
        <x:v>24</x:v>
      </x:c>
      <x:c r="H5" s="2" t="n">
        <x:v>4</x:v>
      </x:c>
      <x:c r="I5" s="2" t="n">
        <x:v>15</x:v>
      </x:c>
      <x:c r="J5" s="2" t="str">
        <x:v>按渠道映射</x:v>
      </x:c>
      <x:c r="K5" s="2" t="str">
        <x:v>是</x:v>
      </x:c>
      <x:c r="L5" s="2" t="str">
        <x:v>待确认</x:v>
      </x:c>
      <x:c r="M5" s="2" t="str">
        <x:v>否</x:v>
      </x:c>
      <x:c r="N5" s="2" t="str">
        <x:v>video_pixel_tokens</x:v>
      </x:c>
      <x:c r="O5" s="2" t="str">
        <x:v>active</x:v>
      </x:c>
      <x:c r="P5" s="2" t="str">
        <x:v>SRC-OFFICIAL</x:v>
      </x:c>
      <x:c r="Q5" s="2" t="str">
        <x:v>官方价格矩阵；渠道能力以模型映射备注为准</x:v>
      </x:c>
      <x:c r="R5" s="23" t="str">
        <x:f t="shared" ref="R5:R13" si="0">IF(A5="","",IF(COUNTIF($A$5:$A$204,A5)&gt;1,"错误:重复SKU代码",IF(OR(B5="",C5="",D5="",E5&lt;=0,F5&lt;=0,G5&lt;=0,H5&lt;=0,I5&lt;H5,N5="",O5=""),"错误:必填项","OK")))</x:f>
        <x:v>OK</x:v>
      </x:c>
    </x:row>
    <x:row r="6">
      <x:c r="A6" s="2" t="str">
        <x:v>SKU-SD20-STD-720</x:v>
      </x:c>
      <x:c r="B6" s="2" t="str">
        <x:v>seedance-2.0</x:v>
      </x:c>
      <x:c r="C6" s="2" t="str">
        <x:v>标准</x:v>
      </x:c>
      <x:c r="D6" s="2" t="str">
        <x:v>720p</x:v>
      </x:c>
      <x:c r="E6" s="2" t="n">
        <x:v>1280</x:v>
      </x:c>
      <x:c r="F6" s="2" t="n">
        <x:v>720</x:v>
      </x:c>
      <x:c r="G6" s="2" t="n">
        <x:v>24</x:v>
      </x:c>
      <x:c r="H6" s="2" t="n">
        <x:v>4</x:v>
      </x:c>
      <x:c r="I6" s="2" t="n">
        <x:v>15</x:v>
      </x:c>
      <x:c r="J6" s="2" t="str">
        <x:v>按渠道映射</x:v>
      </x:c>
      <x:c r="K6" s="2" t="str">
        <x:v>是</x:v>
      </x:c>
      <x:c r="L6" s="2" t="str">
        <x:v>待确认</x:v>
      </x:c>
      <x:c r="M6" s="2" t="str">
        <x:v>否</x:v>
      </x:c>
      <x:c r="N6" s="2" t="str">
        <x:v>video_pixel_tokens</x:v>
      </x:c>
      <x:c r="O6" s="2" t="str">
        <x:v>active</x:v>
      </x:c>
      <x:c r="P6" s="2" t="str">
        <x:v>SRC-OFFICIAL</x:v>
      </x:c>
      <x:c r="Q6" s="2" t="str">
        <x:v>官方价格矩阵；渠道能力以模型映射备注为准</x:v>
      </x:c>
      <x:c r="R6" s="23" t="str">
        <x:f t="shared" si="0">IF(A6="","",IF(COUNTIF($A$5:$A$204,A6)&gt;1,"错误:重复SKU代码",IF(OR(B6="",C6="",D6="",E6&lt;=0,F6&lt;=0,G6&lt;=0,H6&lt;=0,I6&lt;H6,N6="",O6=""),"错误:必填项","OK")))</x:f>
        <x:v>OK</x:v>
      </x:c>
    </x:row>
    <x:row r="7">
      <x:c r="A7" s="2" t="str">
        <x:v>SKU-SD20-STD-1080</x:v>
      </x:c>
      <x:c r="B7" s="2" t="str">
        <x:v>seedance-2.0</x:v>
      </x:c>
      <x:c r="C7" s="2" t="str">
        <x:v>标准</x:v>
      </x:c>
      <x:c r="D7" s="2" t="str">
        <x:v>1080p</x:v>
      </x:c>
      <x:c r="E7" s="2" t="n">
        <x:v>1920</x:v>
      </x:c>
      <x:c r="F7" s="2" t="n">
        <x:v>1080</x:v>
      </x:c>
      <x:c r="G7" s="2" t="n">
        <x:v>24</x:v>
      </x:c>
      <x:c r="H7" s="2" t="n">
        <x:v>4</x:v>
      </x:c>
      <x:c r="I7" s="2" t="n">
        <x:v>15</x:v>
      </x:c>
      <x:c r="J7" s="2" t="str">
        <x:v>按渠道映射</x:v>
      </x:c>
      <x:c r="K7" s="2" t="str">
        <x:v>是</x:v>
      </x:c>
      <x:c r="L7" s="2" t="str">
        <x:v>待确认</x:v>
      </x:c>
      <x:c r="M7" s="2" t="str">
        <x:v>否</x:v>
      </x:c>
      <x:c r="N7" s="2" t="str">
        <x:v>video_pixel_tokens</x:v>
      </x:c>
      <x:c r="O7" s="2" t="str">
        <x:v>active</x:v>
      </x:c>
      <x:c r="P7" s="2" t="str">
        <x:v>SRC-OFFICIAL</x:v>
      </x:c>
      <x:c r="Q7" s="2" t="str">
        <x:v>官方价格矩阵；渠道能力以模型映射备注为准</x:v>
      </x:c>
      <x:c r="R7" s="23" t="str">
        <x:f t="shared" si="0">IF(A7="","",IF(COUNTIF($A$5:$A$204,A7)&gt;1,"错误:重复SKU代码",IF(OR(B7="",C7="",D7="",E7&lt;=0,F7&lt;=0,G7&lt;=0,H7&lt;=0,I7&lt;H7,N7="",O7=""),"错误:必填项","OK")))</x:f>
        <x:v>OK</x:v>
      </x:c>
    </x:row>
    <x:row r="8">
      <x:c r="A8" s="2" t="str">
        <x:v>SKU-SD20-STD-4K</x:v>
      </x:c>
      <x:c r="B8" s="2" t="str">
        <x:v>seedance-2.0</x:v>
      </x:c>
      <x:c r="C8" s="2" t="str">
        <x:v>标准</x:v>
      </x:c>
      <x:c r="D8" s="2" t="str">
        <x:v>4k</x:v>
      </x:c>
      <x:c r="E8" s="2" t="n">
        <x:v>3840</x:v>
      </x:c>
      <x:c r="F8" s="2" t="n">
        <x:v>2160</x:v>
      </x:c>
      <x:c r="G8" s="2" t="n">
        <x:v>24</x:v>
      </x:c>
      <x:c r="H8" s="2" t="n">
        <x:v>4</x:v>
      </x:c>
      <x:c r="I8" s="2" t="n">
        <x:v>15</x:v>
      </x:c>
      <x:c r="J8" s="2" t="str">
        <x:v>按渠道映射</x:v>
      </x:c>
      <x:c r="K8" s="2" t="str">
        <x:v>是</x:v>
      </x:c>
      <x:c r="L8" s="2" t="str">
        <x:v>待确认</x:v>
      </x:c>
      <x:c r="M8" s="2" t="str">
        <x:v>否</x:v>
      </x:c>
      <x:c r="N8" s="2" t="str">
        <x:v>video_pixel_tokens</x:v>
      </x:c>
      <x:c r="O8" s="2" t="str">
        <x:v>active</x:v>
      </x:c>
      <x:c r="P8" s="2" t="str">
        <x:v>SRC-OFFICIAL</x:v>
      </x:c>
      <x:c r="Q8" s="2" t="str">
        <x:v>官方价格矩阵；渠道能力以模型映射备注为准</x:v>
      </x:c>
      <x:c r="R8" s="23" t="str">
        <x:f t="shared" si="0">IF(A8="","",IF(COUNTIF($A$5:$A$204,A8)&gt;1,"错误:重复SKU代码",IF(OR(B8="",C8="",D8="",E8&lt;=0,F8&lt;=0,G8&lt;=0,H8&lt;=0,I8&lt;H8,N8="",O8=""),"错误:必填项","OK")))</x:f>
        <x:v>OK</x:v>
      </x:c>
    </x:row>
    <x:row r="9">
      <x:c r="A9" s="2" t="str">
        <x:v>SKU-SD20-FAST-480</x:v>
      </x:c>
      <x:c r="B9" s="2" t="str">
        <x:v>seedance-2.0-fast</x:v>
      </x:c>
      <x:c r="C9" s="2" t="str">
        <x:v>fast</x:v>
      </x:c>
      <x:c r="D9" s="2" t="str">
        <x:v>480p</x:v>
      </x:c>
      <x:c r="E9" s="2" t="n">
        <x:v>864</x:v>
      </x:c>
      <x:c r="F9" s="2" t="n">
        <x:v>496</x:v>
      </x:c>
      <x:c r="G9" s="2" t="n">
        <x:v>24</x:v>
      </x:c>
      <x:c r="H9" s="2" t="n">
        <x:v>4</x:v>
      </x:c>
      <x:c r="I9" s="2" t="n">
        <x:v>15</x:v>
      </x:c>
      <x:c r="J9" s="2" t="str">
        <x:v>按渠道映射</x:v>
      </x:c>
      <x:c r="K9" s="2" t="str">
        <x:v>是</x:v>
      </x:c>
      <x:c r="L9" s="2" t="str">
        <x:v>待确认</x:v>
      </x:c>
      <x:c r="M9" s="2" t="str">
        <x:v>否</x:v>
      </x:c>
      <x:c r="N9" s="2" t="str">
        <x:v>video_pixel_tokens</x:v>
      </x:c>
      <x:c r="O9" s="2" t="str">
        <x:v>active</x:v>
      </x:c>
      <x:c r="P9" s="2" t="str">
        <x:v>SRC-OFFICIAL</x:v>
      </x:c>
      <x:c r="Q9" s="2" t="str">
        <x:v>官方价格矩阵；渠道能力以模型映射备注为准</x:v>
      </x:c>
      <x:c r="R9" s="23" t="str">
        <x:f t="shared" si="0">IF(A9="","",IF(COUNTIF($A$5:$A$204,A9)&gt;1,"错误:重复SKU代码",IF(OR(B9="",C9="",D9="",E9&lt;=0,F9&lt;=0,G9&lt;=0,H9&lt;=0,I9&lt;H9,N9="",O9=""),"错误:必填项","OK")))</x:f>
        <x:v>OK</x:v>
      </x:c>
    </x:row>
    <x:row r="10">
      <x:c r="A10" s="2" t="str">
        <x:v>SKU-SD20-FAST-720</x:v>
      </x:c>
      <x:c r="B10" s="2" t="str">
        <x:v>seedance-2.0-fast</x:v>
      </x:c>
      <x:c r="C10" s="2" t="str">
        <x:v>fast</x:v>
      </x:c>
      <x:c r="D10" s="2" t="str">
        <x:v>720p</x:v>
      </x:c>
      <x:c r="E10" s="2" t="n">
        <x:v>1280</x:v>
      </x:c>
      <x:c r="F10" s="2" t="n">
        <x:v>720</x:v>
      </x:c>
      <x:c r="G10" s="2" t="n">
        <x:v>24</x:v>
      </x:c>
      <x:c r="H10" s="2" t="n">
        <x:v>4</x:v>
      </x:c>
      <x:c r="I10" s="2" t="n">
        <x:v>15</x:v>
      </x:c>
      <x:c r="J10" s="2" t="str">
        <x:v>按渠道映射</x:v>
      </x:c>
      <x:c r="K10" s="2" t="str">
        <x:v>是</x:v>
      </x:c>
      <x:c r="L10" s="2" t="str">
        <x:v>待确认</x:v>
      </x:c>
      <x:c r="M10" s="2" t="str">
        <x:v>否</x:v>
      </x:c>
      <x:c r="N10" s="2" t="str">
        <x:v>video_pixel_tokens</x:v>
      </x:c>
      <x:c r="O10" s="2" t="str">
        <x:v>active</x:v>
      </x:c>
      <x:c r="P10" s="2" t="str">
        <x:v>SRC-OFFICIAL</x:v>
      </x:c>
      <x:c r="Q10" s="2" t="str">
        <x:v>官方价格矩阵；渠道能力以模型映射备注为准</x:v>
      </x:c>
      <x:c r="R10" s="23" t="str">
        <x:f t="shared" si="0">IF(A10="","",IF(COUNTIF($A$5:$A$204,A10)&gt;1,"错误:重复SKU代码",IF(OR(B10="",C10="",D10="",E10&lt;=0,F10&lt;=0,G10&lt;=0,H10&lt;=0,I10&lt;H10,N10="",O10=""),"错误:必填项","OK")))</x:f>
        <x:v>OK</x:v>
      </x:c>
    </x:row>
    <x:row r="11">
      <x:c r="A11" s="2" t="str">
        <x:v>SKU-SD20-MINI-480</x:v>
      </x:c>
      <x:c r="B11" s="2" t="str">
        <x:v>seedance-2.0-mini</x:v>
      </x:c>
      <x:c r="C11" s="2" t="str">
        <x:v>mini</x:v>
      </x:c>
      <x:c r="D11" s="2" t="str">
        <x:v>480p</x:v>
      </x:c>
      <x:c r="E11" s="2" t="n">
        <x:v>864</x:v>
      </x:c>
      <x:c r="F11" s="2" t="n">
        <x:v>496</x:v>
      </x:c>
      <x:c r="G11" s="2" t="n">
        <x:v>24</x:v>
      </x:c>
      <x:c r="H11" s="2" t="n">
        <x:v>4</x:v>
      </x:c>
      <x:c r="I11" s="2" t="n">
        <x:v>15</x:v>
      </x:c>
      <x:c r="J11" s="2" t="str">
        <x:v>按渠道映射</x:v>
      </x:c>
      <x:c r="K11" s="2" t="str">
        <x:v>是</x:v>
      </x:c>
      <x:c r="L11" s="2" t="str">
        <x:v>待确认</x:v>
      </x:c>
      <x:c r="M11" s="2" t="str">
        <x:v>否</x:v>
      </x:c>
      <x:c r="N11" s="2" t="str">
        <x:v>video_pixel_tokens</x:v>
      </x:c>
      <x:c r="O11" s="2" t="str">
        <x:v>active</x:v>
      </x:c>
      <x:c r="P11" s="2" t="str">
        <x:v>SRC-OFFICIAL</x:v>
      </x:c>
      <x:c r="Q11" s="2" t="str">
        <x:v>官方价格矩阵；渠道能力以模型映射备注为准</x:v>
      </x:c>
      <x:c r="R11" s="23" t="str">
        <x:f t="shared" si="0">IF(A11="","",IF(COUNTIF($A$5:$A$204,A11)&gt;1,"错误:重复SKU代码",IF(OR(B11="",C11="",D11="",E11&lt;=0,F11&lt;=0,G11&lt;=0,H11&lt;=0,I11&lt;H11,N11="",O11=""),"错误:必填项","OK")))</x:f>
        <x:v>OK</x:v>
      </x:c>
    </x:row>
    <x:row r="12">
      <x:c r="A12" s="2" t="str">
        <x:v>SKU-SD20-MINI-720</x:v>
      </x:c>
      <x:c r="B12" s="2" t="str">
        <x:v>seedance-2.0-mini</x:v>
      </x:c>
      <x:c r="C12" s="2" t="str">
        <x:v>mini</x:v>
      </x:c>
      <x:c r="D12" s="2" t="str">
        <x:v>720p</x:v>
      </x:c>
      <x:c r="E12" s="2" t="n">
        <x:v>1280</x:v>
      </x:c>
      <x:c r="F12" s="2" t="n">
        <x:v>720</x:v>
      </x:c>
      <x:c r="G12" s="2" t="n">
        <x:v>24</x:v>
      </x:c>
      <x:c r="H12" s="2" t="n">
        <x:v>4</x:v>
      </x:c>
      <x:c r="I12" s="2" t="n">
        <x:v>15</x:v>
      </x:c>
      <x:c r="J12" s="2" t="str">
        <x:v>按渠道映射</x:v>
      </x:c>
      <x:c r="K12" s="2" t="str">
        <x:v>是</x:v>
      </x:c>
      <x:c r="L12" s="2" t="str">
        <x:v>待确认</x:v>
      </x:c>
      <x:c r="M12" s="2" t="str">
        <x:v>否</x:v>
      </x:c>
      <x:c r="N12" s="2" t="str">
        <x:v>video_pixel_tokens</x:v>
      </x:c>
      <x:c r="O12" s="2" t="str">
        <x:v>active</x:v>
      </x:c>
      <x:c r="P12" s="2" t="str">
        <x:v>SRC-OFFICIAL</x:v>
      </x:c>
      <x:c r="Q12" s="2" t="str">
        <x:v>官方价格矩阵；渠道能力以模型映射备注为准</x:v>
      </x:c>
      <x:c r="R12" s="23" t="str">
        <x:f t="shared" si="0">IF(A12="","",IF(COUNTIF($A$5:$A$204,A12)&gt;1,"错误:重复SKU代码",IF(OR(B12="",C12="",D12="",E12&lt;=0,F12&lt;=0,G12&lt;=0,H12&lt;=0,I12&lt;H12,N12="",O12=""),"错误:必填项","OK")))</x:f>
        <x:v>OK</x:v>
      </x:c>
    </x:row>
    <x:row r="13">
      <x:c r="A13" s="2" t="str">
        <x:v>SKU-SD20-FAST-1080</x:v>
      </x:c>
      <x:c r="B13" s="2" t="str">
        <x:v>seedance-2.0-fast</x:v>
      </x:c>
      <x:c r="C13" s="2" t="str">
        <x:v>fast</x:v>
      </x:c>
      <x:c r="D13" s="2" t="str">
        <x:v>1080p</x:v>
      </x:c>
      <x:c r="E13" s="2" t="n">
        <x:v>1920</x:v>
      </x:c>
      <x:c r="F13" s="2" t="n">
        <x:v>1080</x:v>
      </x:c>
      <x:c r="G13" s="2" t="n">
        <x:v>24</x:v>
      </x:c>
      <x:c r="H13" s="2" t="n">
        <x:v>4</x:v>
      </x:c>
      <x:c r="I13" s="2" t="n">
        <x:v>15</x:v>
      </x:c>
      <x:c r="J13" s="2" t="str">
        <x:v>按渠道映射</x:v>
      </x:c>
      <x:c r="K13" s="2" t="str">
        <x:v>是</x:v>
      </x:c>
      <x:c r="L13" s="2" t="str">
        <x:v>待确认</x:v>
      </x:c>
      <x:c r="M13" s="2" t="str">
        <x:v>待确认</x:v>
      </x:c>
      <x:c r="N13" s="2" t="str">
        <x:v>video_pixel_tokens</x:v>
      </x:c>
      <x:c r="O13" s="2" t="str">
        <x:v>draft</x:v>
      </x:c>
      <x:c r="P13" s="2" t="str">
        <x:v>SRC-SD-IMPORT</x:v>
      </x:c>
      <x:c r="Q13" s="2" t="str">
        <x:v>原表扩展SKU；缺少官方售价，需确认后激活</x:v>
      </x:c>
      <x:c r="R13" s="23" t="str">
        <x:f t="shared" si="0">IF(A13="","",IF(COUNTIF($A$5:$A$204,A13)&gt;1,"错误:重复SKU代码",IF(OR(B13="",C13="",D13="",E13&lt;=0,F13&lt;=0,G13&lt;=0,H13&lt;=0,I13&lt;H13,N13="",O13=""),"错误:必填项","OK")))</x:f>
        <x:v>OK</x:v>
      </x:c>
    </x:row>
    <x:row r="14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3"/>
    </x:row>
    <x:row r="15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3"/>
    </x:row>
    <x:row r="16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3"/>
    </x:row>
    <x:row r="17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3"/>
    </x:row>
    <x:row r="18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3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3"/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3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3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3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3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3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3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3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3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3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3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3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3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3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3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3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3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3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3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3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3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3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3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3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3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3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3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3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3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3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3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3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3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3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3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3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3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3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3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3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3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3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3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3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3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3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3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3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3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3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3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3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3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3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3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3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3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3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3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3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3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3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3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3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3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3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3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3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3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3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3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3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3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3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3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3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3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3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3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3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3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3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3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3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3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3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3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3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3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3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3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  <x:c r="P110" s="2"/>
      <x:c r="Q110" s="2"/>
      <x:c r="R110" s="23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3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3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3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3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3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3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3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3"/>
    </x:row>
    <x:row r="119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  <x:c r="O119" s="2"/>
      <x:c r="P119" s="2"/>
      <x:c r="Q119" s="2"/>
      <x:c r="R119" s="23"/>
    </x:row>
    <x:row r="120">
      <x:c r="A120" s="2"/>
      <x:c r="B120" s="2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  <x:c r="M120" s="2"/>
      <x:c r="N120" s="2"/>
      <x:c r="O120" s="2"/>
      <x:c r="P120" s="2"/>
      <x:c r="Q120" s="2"/>
      <x:c r="R120" s="23"/>
    </x:row>
    <x:row r="121">
      <x:c r="A121" s="2"/>
      <x:c r="B121" s="2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  <x:c r="O121" s="2"/>
      <x:c r="P121" s="2"/>
      <x:c r="Q121" s="2"/>
      <x:c r="R121" s="23"/>
    </x:row>
    <x:row r="122">
      <x:c r="A122" s="2"/>
      <x:c r="B122" s="2"/>
      <x:c r="C122" s="2"/>
      <x:c r="D122" s="2"/>
      <x:c r="E122" s="2"/>
      <x:c r="F122" s="2"/>
      <x:c r="G122" s="2"/>
      <x:c r="H122" s="2"/>
      <x:c r="I122" s="2"/>
      <x:c r="J122" s="2"/>
      <x:c r="K122" s="2"/>
      <x:c r="L122" s="2"/>
      <x:c r="M122" s="2"/>
      <x:c r="N122" s="2"/>
      <x:c r="O122" s="2"/>
      <x:c r="P122" s="2"/>
      <x:c r="Q122" s="2"/>
      <x:c r="R122" s="23"/>
    </x:row>
    <x:row r="123">
      <x:c r="A123" s="2"/>
      <x:c r="B123" s="2"/>
      <x:c r="C123" s="2"/>
      <x:c r="D123" s="2"/>
      <x:c r="E123" s="2"/>
      <x:c r="F123" s="2"/>
      <x:c r="G123" s="2"/>
      <x:c r="H123" s="2"/>
      <x:c r="I123" s="2"/>
      <x:c r="J123" s="2"/>
      <x:c r="K123" s="2"/>
      <x:c r="L123" s="2"/>
      <x:c r="M123" s="2"/>
      <x:c r="N123" s="2"/>
      <x:c r="O123" s="2"/>
      <x:c r="P123" s="2"/>
      <x:c r="Q123" s="2"/>
      <x:c r="R123" s="23"/>
    </x:row>
    <x:row r="124">
      <x:c r="A124" s="2"/>
      <x:c r="B124" s="2"/>
      <x:c r="C124" s="2"/>
      <x:c r="D124" s="2"/>
      <x:c r="E124" s="2"/>
      <x:c r="F124" s="2"/>
      <x:c r="G124" s="2"/>
      <x:c r="H124" s="2"/>
      <x:c r="I124" s="2"/>
      <x:c r="J124" s="2"/>
      <x:c r="K124" s="2"/>
      <x:c r="L124" s="2"/>
      <x:c r="M124" s="2"/>
      <x:c r="N124" s="2"/>
      <x:c r="O124" s="2"/>
      <x:c r="P124" s="2"/>
      <x:c r="Q124" s="2"/>
      <x:c r="R124" s="23"/>
    </x:row>
    <x:row r="125">
      <x:c r="A125" s="2"/>
      <x:c r="B125" s="2"/>
      <x:c r="C125" s="2"/>
      <x:c r="D125" s="2"/>
      <x:c r="E125" s="2"/>
      <x:c r="F125" s="2"/>
      <x:c r="G125" s="2"/>
      <x:c r="H125" s="2"/>
      <x:c r="I125" s="2"/>
      <x:c r="J125" s="2"/>
      <x:c r="K125" s="2"/>
      <x:c r="L125" s="2"/>
      <x:c r="M125" s="2"/>
      <x:c r="N125" s="2"/>
      <x:c r="O125" s="2"/>
      <x:c r="P125" s="2"/>
      <x:c r="Q125" s="2"/>
      <x:c r="R125" s="23"/>
    </x:row>
    <x:row r="126">
      <x:c r="A126" s="2"/>
      <x:c r="B126" s="2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  <x:c r="O126" s="2"/>
      <x:c r="P126" s="2"/>
      <x:c r="Q126" s="2"/>
      <x:c r="R126" s="23"/>
    </x:row>
    <x:row r="127">
      <x:c r="A127" s="2"/>
      <x:c r="B127" s="2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  <x:c r="O127" s="2"/>
      <x:c r="P127" s="2"/>
      <x:c r="Q127" s="2"/>
      <x:c r="R127" s="23"/>
    </x:row>
    <x:row r="128">
      <x:c r="A128" s="2"/>
      <x:c r="B128" s="2"/>
      <x:c r="C128" s="2"/>
      <x:c r="D128" s="2"/>
      <x:c r="E128" s="2"/>
      <x:c r="F128" s="2"/>
      <x:c r="G128" s="2"/>
      <x:c r="H128" s="2"/>
      <x:c r="I128" s="2"/>
      <x:c r="J128" s="2"/>
      <x:c r="K128" s="2"/>
      <x:c r="L128" s="2"/>
      <x:c r="M128" s="2"/>
      <x:c r="N128" s="2"/>
      <x:c r="O128" s="2"/>
      <x:c r="P128" s="2"/>
      <x:c r="Q128" s="2"/>
      <x:c r="R128" s="23"/>
    </x:row>
    <x:row r="129">
      <x:c r="A129" s="2"/>
      <x:c r="B129" s="2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  <x:c r="O129" s="2"/>
      <x:c r="P129" s="2"/>
      <x:c r="Q129" s="2"/>
      <x:c r="R129" s="23"/>
    </x:row>
    <x:row r="130">
      <x:c r="A130" s="2"/>
      <x:c r="B130" s="2"/>
      <x:c r="C130" s="2"/>
      <x:c r="D130" s="2"/>
      <x:c r="E130" s="2"/>
      <x:c r="F130" s="2"/>
      <x:c r="G130" s="2"/>
      <x:c r="H130" s="2"/>
      <x:c r="I130" s="2"/>
      <x:c r="J130" s="2"/>
      <x:c r="K130" s="2"/>
      <x:c r="L130" s="2"/>
      <x:c r="M130" s="2"/>
      <x:c r="N130" s="2"/>
      <x:c r="O130" s="2"/>
      <x:c r="P130" s="2"/>
      <x:c r="Q130" s="2"/>
      <x:c r="R130" s="23"/>
    </x:row>
    <x:row r="131">
      <x:c r="A131" s="2"/>
      <x:c r="B131" s="2"/>
      <x:c r="C131" s="2"/>
      <x:c r="D131" s="2"/>
      <x:c r="E131" s="2"/>
      <x:c r="F131" s="2"/>
      <x:c r="G131" s="2"/>
      <x:c r="H131" s="2"/>
      <x:c r="I131" s="2"/>
      <x:c r="J131" s="2"/>
      <x:c r="K131" s="2"/>
      <x:c r="L131" s="2"/>
      <x:c r="M131" s="2"/>
      <x:c r="N131" s="2"/>
      <x:c r="O131" s="2"/>
      <x:c r="P131" s="2"/>
      <x:c r="Q131" s="2"/>
      <x:c r="R131" s="23"/>
    </x:row>
    <x:row r="132">
      <x:c r="A132" s="2"/>
      <x:c r="B132" s="2"/>
      <x:c r="C132" s="2"/>
      <x:c r="D132" s="2"/>
      <x:c r="E132" s="2"/>
      <x:c r="F132" s="2"/>
      <x:c r="G132" s="2"/>
      <x:c r="H132" s="2"/>
      <x:c r="I132" s="2"/>
      <x:c r="J132" s="2"/>
      <x:c r="K132" s="2"/>
      <x:c r="L132" s="2"/>
      <x:c r="M132" s="2"/>
      <x:c r="N132" s="2"/>
      <x:c r="O132" s="2"/>
      <x:c r="P132" s="2"/>
      <x:c r="Q132" s="2"/>
      <x:c r="R132" s="23"/>
    </x:row>
    <x:row r="133">
      <x:c r="A133" s="2"/>
      <x:c r="B133" s="2"/>
      <x:c r="C133" s="2"/>
      <x:c r="D133" s="2"/>
      <x:c r="E133" s="2"/>
      <x:c r="F133" s="2"/>
      <x:c r="G133" s="2"/>
      <x:c r="H133" s="2"/>
      <x:c r="I133" s="2"/>
      <x:c r="J133" s="2"/>
      <x:c r="K133" s="2"/>
      <x:c r="L133" s="2"/>
      <x:c r="M133" s="2"/>
      <x:c r="N133" s="2"/>
      <x:c r="O133" s="2"/>
      <x:c r="P133" s="2"/>
      <x:c r="Q133" s="2"/>
      <x:c r="R133" s="23"/>
    </x:row>
    <x:row r="134">
      <x:c r="A134" s="2"/>
      <x:c r="B134" s="2"/>
      <x:c r="C134" s="2"/>
      <x:c r="D134" s="2"/>
      <x:c r="E134" s="2"/>
      <x:c r="F134" s="2"/>
      <x:c r="G134" s="2"/>
      <x:c r="H134" s="2"/>
      <x:c r="I134" s="2"/>
      <x:c r="J134" s="2"/>
      <x:c r="K134" s="2"/>
      <x:c r="L134" s="2"/>
      <x:c r="M134" s="2"/>
      <x:c r="N134" s="2"/>
      <x:c r="O134" s="2"/>
      <x:c r="P134" s="2"/>
      <x:c r="Q134" s="2"/>
      <x:c r="R134" s="23"/>
    </x:row>
    <x:row r="135">
      <x:c r="A135" s="2"/>
      <x:c r="B135" s="2"/>
      <x:c r="C135" s="2"/>
      <x:c r="D135" s="2"/>
      <x:c r="E135" s="2"/>
      <x:c r="F135" s="2"/>
      <x:c r="G135" s="2"/>
      <x:c r="H135" s="2"/>
      <x:c r="I135" s="2"/>
      <x:c r="J135" s="2"/>
      <x:c r="K135" s="2"/>
      <x:c r="L135" s="2"/>
      <x:c r="M135" s="2"/>
      <x:c r="N135" s="2"/>
      <x:c r="O135" s="2"/>
      <x:c r="P135" s="2"/>
      <x:c r="Q135" s="2"/>
      <x:c r="R135" s="23"/>
    </x:row>
    <x:row r="136">
      <x:c r="A136" s="2"/>
      <x:c r="B136" s="2"/>
      <x:c r="C136" s="2"/>
      <x:c r="D136" s="2"/>
      <x:c r="E136" s="2"/>
      <x:c r="F136" s="2"/>
      <x:c r="G136" s="2"/>
      <x:c r="H136" s="2"/>
      <x:c r="I136" s="2"/>
      <x:c r="J136" s="2"/>
      <x:c r="K136" s="2"/>
      <x:c r="L136" s="2"/>
      <x:c r="M136" s="2"/>
      <x:c r="N136" s="2"/>
      <x:c r="O136" s="2"/>
      <x:c r="P136" s="2"/>
      <x:c r="Q136" s="2"/>
      <x:c r="R136" s="23"/>
    </x:row>
    <x:row r="137">
      <x:c r="A137" s="2"/>
      <x:c r="B137" s="2"/>
      <x:c r="C137" s="2"/>
      <x:c r="D137" s="2"/>
      <x:c r="E137" s="2"/>
      <x:c r="F137" s="2"/>
      <x:c r="G137" s="2"/>
      <x:c r="H137" s="2"/>
      <x:c r="I137" s="2"/>
      <x:c r="J137" s="2"/>
      <x:c r="K137" s="2"/>
      <x:c r="L137" s="2"/>
      <x:c r="M137" s="2"/>
      <x:c r="N137" s="2"/>
      <x:c r="O137" s="2"/>
      <x:c r="P137" s="2"/>
      <x:c r="Q137" s="2"/>
      <x:c r="R137" s="23"/>
    </x:row>
    <x:row r="138">
      <x:c r="A138" s="2"/>
      <x:c r="B138" s="2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  <x:c r="O138" s="2"/>
      <x:c r="P138" s="2"/>
      <x:c r="Q138" s="2"/>
      <x:c r="R138" s="23"/>
    </x:row>
    <x:row r="139">
      <x:c r="A139" s="2"/>
      <x:c r="B139" s="2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  <x:c r="O139" s="2"/>
      <x:c r="P139" s="2"/>
      <x:c r="Q139" s="2"/>
      <x:c r="R139" s="23"/>
    </x:row>
    <x:row r="140">
      <x:c r="A140" s="2"/>
      <x:c r="B140" s="2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  <x:c r="O140" s="2"/>
      <x:c r="P140" s="2"/>
      <x:c r="Q140" s="2"/>
      <x:c r="R140" s="23"/>
    </x:row>
    <x:row r="141">
      <x:c r="A141" s="2"/>
      <x:c r="B141" s="2"/>
      <x:c r="C141" s="2"/>
      <x:c r="D141" s="2"/>
      <x:c r="E141" s="2"/>
      <x:c r="F141" s="2"/>
      <x:c r="G141" s="2"/>
      <x:c r="H141" s="2"/>
      <x:c r="I141" s="2"/>
      <x:c r="J141" s="2"/>
      <x:c r="K141" s="2"/>
      <x:c r="L141" s="2"/>
      <x:c r="M141" s="2"/>
      <x:c r="N141" s="2"/>
      <x:c r="O141" s="2"/>
      <x:c r="P141" s="2"/>
      <x:c r="Q141" s="2"/>
      <x:c r="R141" s="23"/>
    </x:row>
    <x:row r="142">
      <x:c r="A142" s="2"/>
      <x:c r="B142" s="2"/>
      <x:c r="C142" s="2"/>
      <x:c r="D142" s="2"/>
      <x:c r="E142" s="2"/>
      <x:c r="F142" s="2"/>
      <x:c r="G142" s="2"/>
      <x:c r="H142" s="2"/>
      <x:c r="I142" s="2"/>
      <x:c r="J142" s="2"/>
      <x:c r="K142" s="2"/>
      <x:c r="L142" s="2"/>
      <x:c r="M142" s="2"/>
      <x:c r="N142" s="2"/>
      <x:c r="O142" s="2"/>
      <x:c r="P142" s="2"/>
      <x:c r="Q142" s="2"/>
      <x:c r="R142" s="23"/>
    </x:row>
    <x:row r="143">
      <x:c r="A143" s="2"/>
      <x:c r="B143" s="2"/>
      <x:c r="C143" s="2"/>
      <x:c r="D143" s="2"/>
      <x:c r="E143" s="2"/>
      <x:c r="F143" s="2"/>
      <x:c r="G143" s="2"/>
      <x:c r="H143" s="2"/>
      <x:c r="I143" s="2"/>
      <x:c r="J143" s="2"/>
      <x:c r="K143" s="2"/>
      <x:c r="L143" s="2"/>
      <x:c r="M143" s="2"/>
      <x:c r="N143" s="2"/>
      <x:c r="O143" s="2"/>
      <x:c r="P143" s="2"/>
      <x:c r="Q143" s="2"/>
      <x:c r="R143" s="23"/>
    </x:row>
    <x:row r="144">
      <x:c r="A144" s="2"/>
      <x:c r="B144" s="2"/>
      <x:c r="C144" s="2"/>
      <x:c r="D144" s="2"/>
      <x:c r="E144" s="2"/>
      <x:c r="F144" s="2"/>
      <x:c r="G144" s="2"/>
      <x:c r="H144" s="2"/>
      <x:c r="I144" s="2"/>
      <x:c r="J144" s="2"/>
      <x:c r="K144" s="2"/>
      <x:c r="L144" s="2"/>
      <x:c r="M144" s="2"/>
      <x:c r="N144" s="2"/>
      <x:c r="O144" s="2"/>
      <x:c r="P144" s="2"/>
      <x:c r="Q144" s="2"/>
      <x:c r="R144" s="23"/>
    </x:row>
    <x:row r="145">
      <x:c r="A145" s="2"/>
      <x:c r="B145" s="2"/>
      <x:c r="C145" s="2"/>
      <x:c r="D145" s="2"/>
      <x:c r="E145" s="2"/>
      <x:c r="F145" s="2"/>
      <x:c r="G145" s="2"/>
      <x:c r="H145" s="2"/>
      <x:c r="I145" s="2"/>
      <x:c r="J145" s="2"/>
      <x:c r="K145" s="2"/>
      <x:c r="L145" s="2"/>
      <x:c r="M145" s="2"/>
      <x:c r="N145" s="2"/>
      <x:c r="O145" s="2"/>
      <x:c r="P145" s="2"/>
      <x:c r="Q145" s="2"/>
      <x:c r="R145" s="23"/>
    </x:row>
    <x:row r="146">
      <x:c r="A146" s="2"/>
      <x:c r="B146" s="2"/>
      <x:c r="C146" s="2"/>
      <x:c r="D146" s="2"/>
      <x:c r="E146" s="2"/>
      <x:c r="F146" s="2"/>
      <x:c r="G146" s="2"/>
      <x:c r="H146" s="2"/>
      <x:c r="I146" s="2"/>
      <x:c r="J146" s="2"/>
      <x:c r="K146" s="2"/>
      <x:c r="L146" s="2"/>
      <x:c r="M146" s="2"/>
      <x:c r="N146" s="2"/>
      <x:c r="O146" s="2"/>
      <x:c r="P146" s="2"/>
      <x:c r="Q146" s="2"/>
      <x:c r="R146" s="23"/>
    </x:row>
    <x:row r="147">
      <x:c r="A147" s="2"/>
      <x:c r="B147" s="2"/>
      <x:c r="C147" s="2"/>
      <x:c r="D147" s="2"/>
      <x:c r="E147" s="2"/>
      <x:c r="F147" s="2"/>
      <x:c r="G147" s="2"/>
      <x:c r="H147" s="2"/>
      <x:c r="I147" s="2"/>
      <x:c r="J147" s="2"/>
      <x:c r="K147" s="2"/>
      <x:c r="L147" s="2"/>
      <x:c r="M147" s="2"/>
      <x:c r="N147" s="2"/>
      <x:c r="O147" s="2"/>
      <x:c r="P147" s="2"/>
      <x:c r="Q147" s="2"/>
      <x:c r="R147" s="23"/>
    </x:row>
    <x:row r="148">
      <x:c r="A148" s="2"/>
      <x:c r="B148" s="2"/>
      <x:c r="C148" s="2"/>
      <x:c r="D148" s="2"/>
      <x:c r="E148" s="2"/>
      <x:c r="F148" s="2"/>
      <x:c r="G148" s="2"/>
      <x:c r="H148" s="2"/>
      <x:c r="I148" s="2"/>
      <x:c r="J148" s="2"/>
      <x:c r="K148" s="2"/>
      <x:c r="L148" s="2"/>
      <x:c r="M148" s="2"/>
      <x:c r="N148" s="2"/>
      <x:c r="O148" s="2"/>
      <x:c r="P148" s="2"/>
      <x:c r="Q148" s="2"/>
      <x:c r="R148" s="23"/>
    </x:row>
    <x:row r="149">
      <x:c r="A149" s="2"/>
      <x:c r="B149" s="2"/>
      <x:c r="C149" s="2"/>
      <x:c r="D149" s="2"/>
      <x:c r="E149" s="2"/>
      <x:c r="F149" s="2"/>
      <x:c r="G149" s="2"/>
      <x:c r="H149" s="2"/>
      <x:c r="I149" s="2"/>
      <x:c r="J149" s="2"/>
      <x:c r="K149" s="2"/>
      <x:c r="L149" s="2"/>
      <x:c r="M149" s="2"/>
      <x:c r="N149" s="2"/>
      <x:c r="O149" s="2"/>
      <x:c r="P149" s="2"/>
      <x:c r="Q149" s="2"/>
      <x:c r="R149" s="23"/>
    </x:row>
    <x:row r="150">
      <x:c r="A150" s="2"/>
      <x:c r="B150" s="2"/>
      <x:c r="C150" s="2"/>
      <x:c r="D150" s="2"/>
      <x:c r="E150" s="2"/>
      <x:c r="F150" s="2"/>
      <x:c r="G150" s="2"/>
      <x:c r="H150" s="2"/>
      <x:c r="I150" s="2"/>
      <x:c r="J150" s="2"/>
      <x:c r="K150" s="2"/>
      <x:c r="L150" s="2"/>
      <x:c r="M150" s="2"/>
      <x:c r="N150" s="2"/>
      <x:c r="O150" s="2"/>
      <x:c r="P150" s="2"/>
      <x:c r="Q150" s="2"/>
      <x:c r="R150" s="23"/>
    </x:row>
    <x:row r="151">
      <x:c r="A151" s="2"/>
      <x:c r="B151" s="2"/>
      <x:c r="C151" s="2"/>
      <x:c r="D151" s="2"/>
      <x:c r="E151" s="2"/>
      <x:c r="F151" s="2"/>
      <x:c r="G151" s="2"/>
      <x:c r="H151" s="2"/>
      <x:c r="I151" s="2"/>
      <x:c r="J151" s="2"/>
      <x:c r="K151" s="2"/>
      <x:c r="L151" s="2"/>
      <x:c r="M151" s="2"/>
      <x:c r="N151" s="2"/>
      <x:c r="O151" s="2"/>
      <x:c r="P151" s="2"/>
      <x:c r="Q151" s="2"/>
      <x:c r="R151" s="23"/>
    </x:row>
    <x:row r="152">
      <x:c r="A152" s="2"/>
      <x:c r="B152" s="2"/>
      <x:c r="C152" s="2"/>
      <x:c r="D152" s="2"/>
      <x:c r="E152" s="2"/>
      <x:c r="F152" s="2"/>
      <x:c r="G152" s="2"/>
      <x:c r="H152" s="2"/>
      <x:c r="I152" s="2"/>
      <x:c r="J152" s="2"/>
      <x:c r="K152" s="2"/>
      <x:c r="L152" s="2"/>
      <x:c r="M152" s="2"/>
      <x:c r="N152" s="2"/>
      <x:c r="O152" s="2"/>
      <x:c r="P152" s="2"/>
      <x:c r="Q152" s="2"/>
      <x:c r="R152" s="23"/>
    </x:row>
    <x:row r="153">
      <x:c r="A153" s="2"/>
      <x:c r="B153" s="2"/>
      <x:c r="C153" s="2"/>
      <x:c r="D153" s="2"/>
      <x:c r="E153" s="2"/>
      <x:c r="F153" s="2"/>
      <x:c r="G153" s="2"/>
      <x:c r="H153" s="2"/>
      <x:c r="I153" s="2"/>
      <x:c r="J153" s="2"/>
      <x:c r="K153" s="2"/>
      <x:c r="L153" s="2"/>
      <x:c r="M153" s="2"/>
      <x:c r="N153" s="2"/>
      <x:c r="O153" s="2"/>
      <x:c r="P153" s="2"/>
      <x:c r="Q153" s="2"/>
      <x:c r="R153" s="23"/>
    </x:row>
    <x:row r="154">
      <x:c r="A154" s="2"/>
      <x:c r="B154" s="2"/>
      <x:c r="C154" s="2"/>
      <x:c r="D154" s="2"/>
      <x:c r="E154" s="2"/>
      <x:c r="F154" s="2"/>
      <x:c r="G154" s="2"/>
      <x:c r="H154" s="2"/>
      <x:c r="I154" s="2"/>
      <x:c r="J154" s="2"/>
      <x:c r="K154" s="2"/>
      <x:c r="L154" s="2"/>
      <x:c r="M154" s="2"/>
      <x:c r="N154" s="2"/>
      <x:c r="O154" s="2"/>
      <x:c r="P154" s="2"/>
      <x:c r="Q154" s="2"/>
      <x:c r="R154" s="23"/>
    </x:row>
    <x:row r="155">
      <x:c r="A155" s="2"/>
      <x:c r="B155" s="2"/>
      <x:c r="C155" s="2"/>
      <x:c r="D155" s="2"/>
      <x:c r="E155" s="2"/>
      <x:c r="F155" s="2"/>
      <x:c r="G155" s="2"/>
      <x:c r="H155" s="2"/>
      <x:c r="I155" s="2"/>
      <x:c r="J155" s="2"/>
      <x:c r="K155" s="2"/>
      <x:c r="L155" s="2"/>
      <x:c r="M155" s="2"/>
      <x:c r="N155" s="2"/>
      <x:c r="O155" s="2"/>
      <x:c r="P155" s="2"/>
      <x:c r="Q155" s="2"/>
      <x:c r="R155" s="23"/>
    </x:row>
    <x:row r="156">
      <x:c r="A156" s="2"/>
      <x:c r="B156" s="2"/>
      <x:c r="C156" s="2"/>
      <x:c r="D156" s="2"/>
      <x:c r="E156" s="2"/>
      <x:c r="F156" s="2"/>
      <x:c r="G156" s="2"/>
      <x:c r="H156" s="2"/>
      <x:c r="I156" s="2"/>
      <x:c r="J156" s="2"/>
      <x:c r="K156" s="2"/>
      <x:c r="L156" s="2"/>
      <x:c r="M156" s="2"/>
      <x:c r="N156" s="2"/>
      <x:c r="O156" s="2"/>
      <x:c r="P156" s="2"/>
      <x:c r="Q156" s="2"/>
      <x:c r="R156" s="23"/>
    </x:row>
    <x:row r="157">
      <x:c r="A157" s="2"/>
      <x:c r="B157" s="2"/>
      <x:c r="C157" s="2"/>
      <x:c r="D157" s="2"/>
      <x:c r="E157" s="2"/>
      <x:c r="F157" s="2"/>
      <x:c r="G157" s="2"/>
      <x:c r="H157" s="2"/>
      <x:c r="I157" s="2"/>
      <x:c r="J157" s="2"/>
      <x:c r="K157" s="2"/>
      <x:c r="L157" s="2"/>
      <x:c r="M157" s="2"/>
      <x:c r="N157" s="2"/>
      <x:c r="O157" s="2"/>
      <x:c r="P157" s="2"/>
      <x:c r="Q157" s="2"/>
      <x:c r="R157" s="23"/>
    </x:row>
    <x:row r="158">
      <x:c r="A158" s="2"/>
      <x:c r="B158" s="2"/>
      <x:c r="C158" s="2"/>
      <x:c r="D158" s="2"/>
      <x:c r="E158" s="2"/>
      <x:c r="F158" s="2"/>
      <x:c r="G158" s="2"/>
      <x:c r="H158" s="2"/>
      <x:c r="I158" s="2"/>
      <x:c r="J158" s="2"/>
      <x:c r="K158" s="2"/>
      <x:c r="L158" s="2"/>
      <x:c r="M158" s="2"/>
      <x:c r="N158" s="2"/>
      <x:c r="O158" s="2"/>
      <x:c r="P158" s="2"/>
      <x:c r="Q158" s="2"/>
      <x:c r="R158" s="23"/>
    </x:row>
    <x:row r="159">
      <x:c r="A159" s="2"/>
      <x:c r="B159" s="2"/>
      <x:c r="C159" s="2"/>
      <x:c r="D159" s="2"/>
      <x:c r="E159" s="2"/>
      <x:c r="F159" s="2"/>
      <x:c r="G159" s="2"/>
      <x:c r="H159" s="2"/>
      <x:c r="I159" s="2"/>
      <x:c r="J159" s="2"/>
      <x:c r="K159" s="2"/>
      <x:c r="L159" s="2"/>
      <x:c r="M159" s="2"/>
      <x:c r="N159" s="2"/>
      <x:c r="O159" s="2"/>
      <x:c r="P159" s="2"/>
      <x:c r="Q159" s="2"/>
      <x:c r="R159" s="23"/>
    </x:row>
    <x:row r="160">
      <x:c r="A160" s="2"/>
      <x:c r="B160" s="2"/>
      <x:c r="C160" s="2"/>
      <x:c r="D160" s="2"/>
      <x:c r="E160" s="2"/>
      <x:c r="F160" s="2"/>
      <x:c r="G160" s="2"/>
      <x:c r="H160" s="2"/>
      <x:c r="I160" s="2"/>
      <x:c r="J160" s="2"/>
      <x:c r="K160" s="2"/>
      <x:c r="L160" s="2"/>
      <x:c r="M160" s="2"/>
      <x:c r="N160" s="2"/>
      <x:c r="O160" s="2"/>
      <x:c r="P160" s="2"/>
      <x:c r="Q160" s="2"/>
      <x:c r="R160" s="23"/>
    </x:row>
    <x:row r="161">
      <x:c r="A161" s="2"/>
      <x:c r="B161" s="2"/>
      <x:c r="C161" s="2"/>
      <x:c r="D161" s="2"/>
      <x:c r="E161" s="2"/>
      <x:c r="F161" s="2"/>
      <x:c r="G161" s="2"/>
      <x:c r="H161" s="2"/>
      <x:c r="I161" s="2"/>
      <x:c r="J161" s="2"/>
      <x:c r="K161" s="2"/>
      <x:c r="L161" s="2"/>
      <x:c r="M161" s="2"/>
      <x:c r="N161" s="2"/>
      <x:c r="O161" s="2"/>
      <x:c r="P161" s="2"/>
      <x:c r="Q161" s="2"/>
      <x:c r="R161" s="23"/>
    </x:row>
    <x:row r="162">
      <x:c r="A162" s="2"/>
      <x:c r="B162" s="2"/>
      <x:c r="C162" s="2"/>
      <x:c r="D162" s="2"/>
      <x:c r="E162" s="2"/>
      <x:c r="F162" s="2"/>
      <x:c r="G162" s="2"/>
      <x:c r="H162" s="2"/>
      <x:c r="I162" s="2"/>
      <x:c r="J162" s="2"/>
      <x:c r="K162" s="2"/>
      <x:c r="L162" s="2"/>
      <x:c r="M162" s="2"/>
      <x:c r="N162" s="2"/>
      <x:c r="O162" s="2"/>
      <x:c r="P162" s="2"/>
      <x:c r="Q162" s="2"/>
      <x:c r="R162" s="23"/>
    </x:row>
    <x:row r="163">
      <x:c r="A163" s="2"/>
      <x:c r="B163" s="2"/>
      <x:c r="C163" s="2"/>
      <x:c r="D163" s="2"/>
      <x:c r="E163" s="2"/>
      <x:c r="F163" s="2"/>
      <x:c r="G163" s="2"/>
      <x:c r="H163" s="2"/>
      <x:c r="I163" s="2"/>
      <x:c r="J163" s="2"/>
      <x:c r="K163" s="2"/>
      <x:c r="L163" s="2"/>
      <x:c r="M163" s="2"/>
      <x:c r="N163" s="2"/>
      <x:c r="O163" s="2"/>
      <x:c r="P163" s="2"/>
      <x:c r="Q163" s="2"/>
      <x:c r="R163" s="23"/>
    </x:row>
    <x:row r="164">
      <x:c r="A164" s="2"/>
      <x:c r="B164" s="2"/>
      <x:c r="C164" s="2"/>
      <x:c r="D164" s="2"/>
      <x:c r="E164" s="2"/>
      <x:c r="F164" s="2"/>
      <x:c r="G164" s="2"/>
      <x:c r="H164" s="2"/>
      <x:c r="I164" s="2"/>
      <x:c r="J164" s="2"/>
      <x:c r="K164" s="2"/>
      <x:c r="L164" s="2"/>
      <x:c r="M164" s="2"/>
      <x:c r="N164" s="2"/>
      <x:c r="O164" s="2"/>
      <x:c r="P164" s="2"/>
      <x:c r="Q164" s="2"/>
      <x:c r="R164" s="23"/>
    </x:row>
    <x:row r="165">
      <x:c r="A165" s="2"/>
      <x:c r="B165" s="2"/>
      <x:c r="C165" s="2"/>
      <x:c r="D165" s="2"/>
      <x:c r="E165" s="2"/>
      <x:c r="F165" s="2"/>
      <x:c r="G165" s="2"/>
      <x:c r="H165" s="2"/>
      <x:c r="I165" s="2"/>
      <x:c r="J165" s="2"/>
      <x:c r="K165" s="2"/>
      <x:c r="L165" s="2"/>
      <x:c r="M165" s="2"/>
      <x:c r="N165" s="2"/>
      <x:c r="O165" s="2"/>
      <x:c r="P165" s="2"/>
      <x:c r="Q165" s="2"/>
      <x:c r="R165" s="23"/>
    </x:row>
    <x:row r="166">
      <x:c r="A166" s="2"/>
      <x:c r="B166" s="2"/>
      <x:c r="C166" s="2"/>
      <x:c r="D166" s="2"/>
      <x:c r="E166" s="2"/>
      <x:c r="F166" s="2"/>
      <x:c r="G166" s="2"/>
      <x:c r="H166" s="2"/>
      <x:c r="I166" s="2"/>
      <x:c r="J166" s="2"/>
      <x:c r="K166" s="2"/>
      <x:c r="L166" s="2"/>
      <x:c r="M166" s="2"/>
      <x:c r="N166" s="2"/>
      <x:c r="O166" s="2"/>
      <x:c r="P166" s="2"/>
      <x:c r="Q166" s="2"/>
      <x:c r="R166" s="23"/>
    </x:row>
    <x:row r="167">
      <x:c r="A167" s="2"/>
      <x:c r="B167" s="2"/>
      <x:c r="C167" s="2"/>
      <x:c r="D167" s="2"/>
      <x:c r="E167" s="2"/>
      <x:c r="F167" s="2"/>
      <x:c r="G167" s="2"/>
      <x:c r="H167" s="2"/>
      <x:c r="I167" s="2"/>
      <x:c r="J167" s="2"/>
      <x:c r="K167" s="2"/>
      <x:c r="L167" s="2"/>
      <x:c r="M167" s="2"/>
      <x:c r="N167" s="2"/>
      <x:c r="O167" s="2"/>
      <x:c r="P167" s="2"/>
      <x:c r="Q167" s="2"/>
      <x:c r="R167" s="23"/>
    </x:row>
    <x:row r="168">
      <x:c r="A168" s="2"/>
      <x:c r="B168" s="2"/>
      <x:c r="C168" s="2"/>
      <x:c r="D168" s="2"/>
      <x:c r="E168" s="2"/>
      <x:c r="F168" s="2"/>
      <x:c r="G168" s="2"/>
      <x:c r="H168" s="2"/>
      <x:c r="I168" s="2"/>
      <x:c r="J168" s="2"/>
      <x:c r="K168" s="2"/>
      <x:c r="L168" s="2"/>
      <x:c r="M168" s="2"/>
      <x:c r="N168" s="2"/>
      <x:c r="O168" s="2"/>
      <x:c r="P168" s="2"/>
      <x:c r="Q168" s="2"/>
      <x:c r="R168" s="23"/>
    </x:row>
    <x:row r="169">
      <x:c r="A169" s="2"/>
      <x:c r="B169" s="2"/>
      <x:c r="C169" s="2"/>
      <x:c r="D169" s="2"/>
      <x:c r="E169" s="2"/>
      <x:c r="F169" s="2"/>
      <x:c r="G169" s="2"/>
      <x:c r="H169" s="2"/>
      <x:c r="I169" s="2"/>
      <x:c r="J169" s="2"/>
      <x:c r="K169" s="2"/>
      <x:c r="L169" s="2"/>
      <x:c r="M169" s="2"/>
      <x:c r="N169" s="2"/>
      <x:c r="O169" s="2"/>
      <x:c r="P169" s="2"/>
      <x:c r="Q169" s="2"/>
      <x:c r="R169" s="23"/>
    </x:row>
    <x:row r="170">
      <x:c r="A170" s="2"/>
      <x:c r="B170" s="2"/>
      <x:c r="C170" s="2"/>
      <x:c r="D170" s="2"/>
      <x:c r="E170" s="2"/>
      <x:c r="F170" s="2"/>
      <x:c r="G170" s="2"/>
      <x:c r="H170" s="2"/>
      <x:c r="I170" s="2"/>
      <x:c r="J170" s="2"/>
      <x:c r="K170" s="2"/>
      <x:c r="L170" s="2"/>
      <x:c r="M170" s="2"/>
      <x:c r="N170" s="2"/>
      <x:c r="O170" s="2"/>
      <x:c r="P170" s="2"/>
      <x:c r="Q170" s="2"/>
      <x:c r="R170" s="23"/>
    </x:row>
    <x:row r="171">
      <x:c r="A171" s="2"/>
      <x:c r="B171" s="2"/>
      <x:c r="C171" s="2"/>
      <x:c r="D171" s="2"/>
      <x:c r="E171" s="2"/>
      <x:c r="F171" s="2"/>
      <x:c r="G171" s="2"/>
      <x:c r="H171" s="2"/>
      <x:c r="I171" s="2"/>
      <x:c r="J171" s="2"/>
      <x:c r="K171" s="2"/>
      <x:c r="L171" s="2"/>
      <x:c r="M171" s="2"/>
      <x:c r="N171" s="2"/>
      <x:c r="O171" s="2"/>
      <x:c r="P171" s="2"/>
      <x:c r="Q171" s="2"/>
      <x:c r="R171" s="23"/>
    </x:row>
    <x:row r="172">
      <x:c r="A172" s="2"/>
      <x:c r="B172" s="2"/>
      <x:c r="C172" s="2"/>
      <x:c r="D172" s="2"/>
      <x:c r="E172" s="2"/>
      <x:c r="F172" s="2"/>
      <x:c r="G172" s="2"/>
      <x:c r="H172" s="2"/>
      <x:c r="I172" s="2"/>
      <x:c r="J172" s="2"/>
      <x:c r="K172" s="2"/>
      <x:c r="L172" s="2"/>
      <x:c r="M172" s="2"/>
      <x:c r="N172" s="2"/>
      <x:c r="O172" s="2"/>
      <x:c r="P172" s="2"/>
      <x:c r="Q172" s="2"/>
      <x:c r="R172" s="23"/>
    </x:row>
    <x:row r="173">
      <x:c r="A173" s="2"/>
      <x:c r="B173" s="2"/>
      <x:c r="C173" s="2"/>
      <x:c r="D173" s="2"/>
      <x:c r="E173" s="2"/>
      <x:c r="F173" s="2"/>
      <x:c r="G173" s="2"/>
      <x:c r="H173" s="2"/>
      <x:c r="I173" s="2"/>
      <x:c r="J173" s="2"/>
      <x:c r="K173" s="2"/>
      <x:c r="L173" s="2"/>
      <x:c r="M173" s="2"/>
      <x:c r="N173" s="2"/>
      <x:c r="O173" s="2"/>
      <x:c r="P173" s="2"/>
      <x:c r="Q173" s="2"/>
      <x:c r="R173" s="23"/>
    </x:row>
    <x:row r="174">
      <x:c r="A174" s="2"/>
      <x:c r="B174" s="2"/>
      <x:c r="C174" s="2"/>
      <x:c r="D174" s="2"/>
      <x:c r="E174" s="2"/>
      <x:c r="F174" s="2"/>
      <x:c r="G174" s="2"/>
      <x:c r="H174" s="2"/>
      <x:c r="I174" s="2"/>
      <x:c r="J174" s="2"/>
      <x:c r="K174" s="2"/>
      <x:c r="L174" s="2"/>
      <x:c r="M174" s="2"/>
      <x:c r="N174" s="2"/>
      <x:c r="O174" s="2"/>
      <x:c r="P174" s="2"/>
      <x:c r="Q174" s="2"/>
      <x:c r="R174" s="23"/>
    </x:row>
    <x:row r="175">
      <x:c r="A175" s="2"/>
      <x:c r="B175" s="2"/>
      <x:c r="C175" s="2"/>
      <x:c r="D175" s="2"/>
      <x:c r="E175" s="2"/>
      <x:c r="F175" s="2"/>
      <x:c r="G175" s="2"/>
      <x:c r="H175" s="2"/>
      <x:c r="I175" s="2"/>
      <x:c r="J175" s="2"/>
      <x:c r="K175" s="2"/>
      <x:c r="L175" s="2"/>
      <x:c r="M175" s="2"/>
      <x:c r="N175" s="2"/>
      <x:c r="O175" s="2"/>
      <x:c r="P175" s="2"/>
      <x:c r="Q175" s="2"/>
      <x:c r="R175" s="23"/>
    </x:row>
    <x:row r="176">
      <x:c r="A176" s="2"/>
      <x:c r="B176" s="2"/>
      <x:c r="C176" s="2"/>
      <x:c r="D176" s="2"/>
      <x:c r="E176" s="2"/>
      <x:c r="F176" s="2"/>
      <x:c r="G176" s="2"/>
      <x:c r="H176" s="2"/>
      <x:c r="I176" s="2"/>
      <x:c r="J176" s="2"/>
      <x:c r="K176" s="2"/>
      <x:c r="L176" s="2"/>
      <x:c r="M176" s="2"/>
      <x:c r="N176" s="2"/>
      <x:c r="O176" s="2"/>
      <x:c r="P176" s="2"/>
      <x:c r="Q176" s="2"/>
      <x:c r="R176" s="23"/>
    </x:row>
    <x:row r="177">
      <x:c r="A177" s="2"/>
      <x:c r="B177" s="2"/>
      <x:c r="C177" s="2"/>
      <x:c r="D177" s="2"/>
      <x:c r="E177" s="2"/>
      <x:c r="F177" s="2"/>
      <x:c r="G177" s="2"/>
      <x:c r="H177" s="2"/>
      <x:c r="I177" s="2"/>
      <x:c r="J177" s="2"/>
      <x:c r="K177" s="2"/>
      <x:c r="L177" s="2"/>
      <x:c r="M177" s="2"/>
      <x:c r="N177" s="2"/>
      <x:c r="O177" s="2"/>
      <x:c r="P177" s="2"/>
      <x:c r="Q177" s="2"/>
      <x:c r="R177" s="23"/>
    </x:row>
    <x:row r="178">
      <x:c r="A178" s="2"/>
      <x:c r="B178" s="2"/>
      <x:c r="C178" s="2"/>
      <x:c r="D178" s="2"/>
      <x:c r="E178" s="2"/>
      <x:c r="F178" s="2"/>
      <x:c r="G178" s="2"/>
      <x:c r="H178" s="2"/>
      <x:c r="I178" s="2"/>
      <x:c r="J178" s="2"/>
      <x:c r="K178" s="2"/>
      <x:c r="L178" s="2"/>
      <x:c r="M178" s="2"/>
      <x:c r="N178" s="2"/>
      <x:c r="O178" s="2"/>
      <x:c r="P178" s="2"/>
      <x:c r="Q178" s="2"/>
      <x:c r="R178" s="23"/>
    </x:row>
    <x:row r="179">
      <x:c r="A179" s="2"/>
      <x:c r="B179" s="2"/>
      <x:c r="C179" s="2"/>
      <x:c r="D179" s="2"/>
      <x:c r="E179" s="2"/>
      <x:c r="F179" s="2"/>
      <x:c r="G179" s="2"/>
      <x:c r="H179" s="2"/>
      <x:c r="I179" s="2"/>
      <x:c r="J179" s="2"/>
      <x:c r="K179" s="2"/>
      <x:c r="L179" s="2"/>
      <x:c r="M179" s="2"/>
      <x:c r="N179" s="2"/>
      <x:c r="O179" s="2"/>
      <x:c r="P179" s="2"/>
      <x:c r="Q179" s="2"/>
      <x:c r="R179" s="23"/>
    </x:row>
    <x:row r="180">
      <x:c r="A180" s="2"/>
      <x:c r="B180" s="2"/>
      <x:c r="C180" s="2"/>
      <x:c r="D180" s="2"/>
      <x:c r="E180" s="2"/>
      <x:c r="F180" s="2"/>
      <x:c r="G180" s="2"/>
      <x:c r="H180" s="2"/>
      <x:c r="I180" s="2"/>
      <x:c r="J180" s="2"/>
      <x:c r="K180" s="2"/>
      <x:c r="L180" s="2"/>
      <x:c r="M180" s="2"/>
      <x:c r="N180" s="2"/>
      <x:c r="O180" s="2"/>
      <x:c r="P180" s="2"/>
      <x:c r="Q180" s="2"/>
      <x:c r="R180" s="23"/>
    </x:row>
    <x:row r="181">
      <x:c r="A181" s="2"/>
      <x:c r="B181" s="2"/>
      <x:c r="C181" s="2"/>
      <x:c r="D181" s="2"/>
      <x:c r="E181" s="2"/>
      <x:c r="F181" s="2"/>
      <x:c r="G181" s="2"/>
      <x:c r="H181" s="2"/>
      <x:c r="I181" s="2"/>
      <x:c r="J181" s="2"/>
      <x:c r="K181" s="2"/>
      <x:c r="L181" s="2"/>
      <x:c r="M181" s="2"/>
      <x:c r="N181" s="2"/>
      <x:c r="O181" s="2"/>
      <x:c r="P181" s="2"/>
      <x:c r="Q181" s="2"/>
      <x:c r="R181" s="23"/>
    </x:row>
    <x:row r="182">
      <x:c r="A182" s="2"/>
      <x:c r="B182" s="2"/>
      <x:c r="C182" s="2"/>
      <x:c r="D182" s="2"/>
      <x:c r="E182" s="2"/>
      <x:c r="F182" s="2"/>
      <x:c r="G182" s="2"/>
      <x:c r="H182" s="2"/>
      <x:c r="I182" s="2"/>
      <x:c r="J182" s="2"/>
      <x:c r="K182" s="2"/>
      <x:c r="L182" s="2"/>
      <x:c r="M182" s="2"/>
      <x:c r="N182" s="2"/>
      <x:c r="O182" s="2"/>
      <x:c r="P182" s="2"/>
      <x:c r="Q182" s="2"/>
      <x:c r="R182" s="23"/>
    </x:row>
    <x:row r="183">
      <x:c r="A183" s="2"/>
      <x:c r="B183" s="2"/>
      <x:c r="C183" s="2"/>
      <x:c r="D183" s="2"/>
      <x:c r="E183" s="2"/>
      <x:c r="F183" s="2"/>
      <x:c r="G183" s="2"/>
      <x:c r="H183" s="2"/>
      <x:c r="I183" s="2"/>
      <x:c r="J183" s="2"/>
      <x:c r="K183" s="2"/>
      <x:c r="L183" s="2"/>
      <x:c r="M183" s="2"/>
      <x:c r="N183" s="2"/>
      <x:c r="O183" s="2"/>
      <x:c r="P183" s="2"/>
      <x:c r="Q183" s="2"/>
      <x:c r="R183" s="23"/>
    </x:row>
    <x:row r="184">
      <x:c r="A184" s="2"/>
      <x:c r="B184" s="2"/>
      <x:c r="C184" s="2"/>
      <x:c r="D184" s="2"/>
      <x:c r="E184" s="2"/>
      <x:c r="F184" s="2"/>
      <x:c r="G184" s="2"/>
      <x:c r="H184" s="2"/>
      <x:c r="I184" s="2"/>
      <x:c r="J184" s="2"/>
      <x:c r="K184" s="2"/>
      <x:c r="L184" s="2"/>
      <x:c r="M184" s="2"/>
      <x:c r="N184" s="2"/>
      <x:c r="O184" s="2"/>
      <x:c r="P184" s="2"/>
      <x:c r="Q184" s="2"/>
      <x:c r="R184" s="23"/>
    </x:row>
    <x:row r="185">
      <x:c r="A185" s="2"/>
      <x:c r="B185" s="2"/>
      <x:c r="C185" s="2"/>
      <x:c r="D185" s="2"/>
      <x:c r="E185" s="2"/>
      <x:c r="F185" s="2"/>
      <x:c r="G185" s="2"/>
      <x:c r="H185" s="2"/>
      <x:c r="I185" s="2"/>
      <x:c r="J185" s="2"/>
      <x:c r="K185" s="2"/>
      <x:c r="L185" s="2"/>
      <x:c r="M185" s="2"/>
      <x:c r="N185" s="2"/>
      <x:c r="O185" s="2"/>
      <x:c r="P185" s="2"/>
      <x:c r="Q185" s="2"/>
      <x:c r="R185" s="23"/>
    </x:row>
    <x:row r="186">
      <x:c r="A186" s="2"/>
      <x:c r="B186" s="2"/>
      <x:c r="C186" s="2"/>
      <x:c r="D186" s="2"/>
      <x:c r="E186" s="2"/>
      <x:c r="F186" s="2"/>
      <x:c r="G186" s="2"/>
      <x:c r="H186" s="2"/>
      <x:c r="I186" s="2"/>
      <x:c r="J186" s="2"/>
      <x:c r="K186" s="2"/>
      <x:c r="L186" s="2"/>
      <x:c r="M186" s="2"/>
      <x:c r="N186" s="2"/>
      <x:c r="O186" s="2"/>
      <x:c r="P186" s="2"/>
      <x:c r="Q186" s="2"/>
      <x:c r="R186" s="23"/>
    </x:row>
    <x:row r="187">
      <x:c r="A187" s="2"/>
      <x:c r="B187" s="2"/>
      <x:c r="C187" s="2"/>
      <x:c r="D187" s="2"/>
      <x:c r="E187" s="2"/>
      <x:c r="F187" s="2"/>
      <x:c r="G187" s="2"/>
      <x:c r="H187" s="2"/>
      <x:c r="I187" s="2"/>
      <x:c r="J187" s="2"/>
      <x:c r="K187" s="2"/>
      <x:c r="L187" s="2"/>
      <x:c r="M187" s="2"/>
      <x:c r="N187" s="2"/>
      <x:c r="O187" s="2"/>
      <x:c r="P187" s="2"/>
      <x:c r="Q187" s="2"/>
      <x:c r="R187" s="23"/>
    </x:row>
    <x:row r="188">
      <x:c r="A188" s="2"/>
      <x:c r="B188" s="2"/>
      <x:c r="C188" s="2"/>
      <x:c r="D188" s="2"/>
      <x:c r="E188" s="2"/>
      <x:c r="F188" s="2"/>
      <x:c r="G188" s="2"/>
      <x:c r="H188" s="2"/>
      <x:c r="I188" s="2"/>
      <x:c r="J188" s="2"/>
      <x:c r="K188" s="2"/>
      <x:c r="L188" s="2"/>
      <x:c r="M188" s="2"/>
      <x:c r="N188" s="2"/>
      <x:c r="O188" s="2"/>
      <x:c r="P188" s="2"/>
      <x:c r="Q188" s="2"/>
      <x:c r="R188" s="23"/>
    </x:row>
    <x:row r="189">
      <x:c r="A189" s="2"/>
      <x:c r="B189" s="2"/>
      <x:c r="C189" s="2"/>
      <x:c r="D189" s="2"/>
      <x:c r="E189" s="2"/>
      <x:c r="F189" s="2"/>
      <x:c r="G189" s="2"/>
      <x:c r="H189" s="2"/>
      <x:c r="I189" s="2"/>
      <x:c r="J189" s="2"/>
      <x:c r="K189" s="2"/>
      <x:c r="L189" s="2"/>
      <x:c r="M189" s="2"/>
      <x:c r="N189" s="2"/>
      <x:c r="O189" s="2"/>
      <x:c r="P189" s="2"/>
      <x:c r="Q189" s="2"/>
      <x:c r="R189" s="23"/>
    </x:row>
    <x:row r="190">
      <x:c r="A190" s="2"/>
      <x:c r="B190" s="2"/>
      <x:c r="C190" s="2"/>
      <x:c r="D190" s="2"/>
      <x:c r="E190" s="2"/>
      <x:c r="F190" s="2"/>
      <x:c r="G190" s="2"/>
      <x:c r="H190" s="2"/>
      <x:c r="I190" s="2"/>
      <x:c r="J190" s="2"/>
      <x:c r="K190" s="2"/>
      <x:c r="L190" s="2"/>
      <x:c r="M190" s="2"/>
      <x:c r="N190" s="2"/>
      <x:c r="O190" s="2"/>
      <x:c r="P190" s="2"/>
      <x:c r="Q190" s="2"/>
      <x:c r="R190" s="23"/>
    </x:row>
    <x:row r="191">
      <x:c r="A191" s="2"/>
      <x:c r="B191" s="2"/>
      <x:c r="C191" s="2"/>
      <x:c r="D191" s="2"/>
      <x:c r="E191" s="2"/>
      <x:c r="F191" s="2"/>
      <x:c r="G191" s="2"/>
      <x:c r="H191" s="2"/>
      <x:c r="I191" s="2"/>
      <x:c r="J191" s="2"/>
      <x:c r="K191" s="2"/>
      <x:c r="L191" s="2"/>
      <x:c r="M191" s="2"/>
      <x:c r="N191" s="2"/>
      <x:c r="O191" s="2"/>
      <x:c r="P191" s="2"/>
      <x:c r="Q191" s="2"/>
      <x:c r="R191" s="23"/>
    </x:row>
    <x:row r="192">
      <x:c r="A192" s="2"/>
      <x:c r="B192" s="2"/>
      <x:c r="C192" s="2"/>
      <x:c r="D192" s="2"/>
      <x:c r="E192" s="2"/>
      <x:c r="F192" s="2"/>
      <x:c r="G192" s="2"/>
      <x:c r="H192" s="2"/>
      <x:c r="I192" s="2"/>
      <x:c r="J192" s="2"/>
      <x:c r="K192" s="2"/>
      <x:c r="L192" s="2"/>
      <x:c r="M192" s="2"/>
      <x:c r="N192" s="2"/>
      <x:c r="O192" s="2"/>
      <x:c r="P192" s="2"/>
      <x:c r="Q192" s="2"/>
      <x:c r="R192" s="23"/>
    </x:row>
    <x:row r="193">
      <x:c r="A193" s="2"/>
      <x:c r="B193" s="2"/>
      <x:c r="C193" s="2"/>
      <x:c r="D193" s="2"/>
      <x:c r="E193" s="2"/>
      <x:c r="F193" s="2"/>
      <x:c r="G193" s="2"/>
      <x:c r="H193" s="2"/>
      <x:c r="I193" s="2"/>
      <x:c r="J193" s="2"/>
      <x:c r="K193" s="2"/>
      <x:c r="L193" s="2"/>
      <x:c r="M193" s="2"/>
      <x:c r="N193" s="2"/>
      <x:c r="O193" s="2"/>
      <x:c r="P193" s="2"/>
      <x:c r="Q193" s="2"/>
      <x:c r="R193" s="23"/>
    </x:row>
    <x:row r="194">
      <x:c r="A194" s="2"/>
      <x:c r="B194" s="2"/>
      <x:c r="C194" s="2"/>
      <x:c r="D194" s="2"/>
      <x:c r="E194" s="2"/>
      <x:c r="F194" s="2"/>
      <x:c r="G194" s="2"/>
      <x:c r="H194" s="2"/>
      <x:c r="I194" s="2"/>
      <x:c r="J194" s="2"/>
      <x:c r="K194" s="2"/>
      <x:c r="L194" s="2"/>
      <x:c r="M194" s="2"/>
      <x:c r="N194" s="2"/>
      <x:c r="O194" s="2"/>
      <x:c r="P194" s="2"/>
      <x:c r="Q194" s="2"/>
      <x:c r="R194" s="23"/>
    </x:row>
    <x:row r="195">
      <x:c r="A195" s="2"/>
      <x:c r="B195" s="2"/>
      <x:c r="C195" s="2"/>
      <x:c r="D195" s="2"/>
      <x:c r="E195" s="2"/>
      <x:c r="F195" s="2"/>
      <x:c r="G195" s="2"/>
      <x:c r="H195" s="2"/>
      <x:c r="I195" s="2"/>
      <x:c r="J195" s="2"/>
      <x:c r="K195" s="2"/>
      <x:c r="L195" s="2"/>
      <x:c r="M195" s="2"/>
      <x:c r="N195" s="2"/>
      <x:c r="O195" s="2"/>
      <x:c r="P195" s="2"/>
      <x:c r="Q195" s="2"/>
      <x:c r="R195" s="23"/>
    </x:row>
    <x:row r="196">
      <x:c r="A196" s="2"/>
      <x:c r="B196" s="2"/>
      <x:c r="C196" s="2"/>
      <x:c r="D196" s="2"/>
      <x:c r="E196" s="2"/>
      <x:c r="F196" s="2"/>
      <x:c r="G196" s="2"/>
      <x:c r="H196" s="2"/>
      <x:c r="I196" s="2"/>
      <x:c r="J196" s="2"/>
      <x:c r="K196" s="2"/>
      <x:c r="L196" s="2"/>
      <x:c r="M196" s="2"/>
      <x:c r="N196" s="2"/>
      <x:c r="O196" s="2"/>
      <x:c r="P196" s="2"/>
      <x:c r="Q196" s="2"/>
      <x:c r="R196" s="23"/>
    </x:row>
    <x:row r="197">
      <x:c r="A197" s="2"/>
      <x:c r="B197" s="2"/>
      <x:c r="C197" s="2"/>
      <x:c r="D197" s="2"/>
      <x:c r="E197" s="2"/>
      <x:c r="F197" s="2"/>
      <x:c r="G197" s="2"/>
      <x:c r="H197" s="2"/>
      <x:c r="I197" s="2"/>
      <x:c r="J197" s="2"/>
      <x:c r="K197" s="2"/>
      <x:c r="L197" s="2"/>
      <x:c r="M197" s="2"/>
      <x:c r="N197" s="2"/>
      <x:c r="O197" s="2"/>
      <x:c r="P197" s="2"/>
      <x:c r="Q197" s="2"/>
      <x:c r="R197" s="23"/>
    </x:row>
    <x:row r="198">
      <x:c r="A198" s="2"/>
      <x:c r="B198" s="2"/>
      <x:c r="C198" s="2"/>
      <x:c r="D198" s="2"/>
      <x:c r="E198" s="2"/>
      <x:c r="F198" s="2"/>
      <x:c r="G198" s="2"/>
      <x:c r="H198" s="2"/>
      <x:c r="I198" s="2"/>
      <x:c r="J198" s="2"/>
      <x:c r="K198" s="2"/>
      <x:c r="L198" s="2"/>
      <x:c r="M198" s="2"/>
      <x:c r="N198" s="2"/>
      <x:c r="O198" s="2"/>
      <x:c r="P198" s="2"/>
      <x:c r="Q198" s="2"/>
      <x:c r="R198" s="23"/>
    </x:row>
    <x:row r="199">
      <x:c r="A199" s="2"/>
      <x:c r="B199" s="2"/>
      <x:c r="C199" s="2"/>
      <x:c r="D199" s="2"/>
      <x:c r="E199" s="2"/>
      <x:c r="F199" s="2"/>
      <x:c r="G199" s="2"/>
      <x:c r="H199" s="2"/>
      <x:c r="I199" s="2"/>
      <x:c r="J199" s="2"/>
      <x:c r="K199" s="2"/>
      <x:c r="L199" s="2"/>
      <x:c r="M199" s="2"/>
      <x:c r="N199" s="2"/>
      <x:c r="O199" s="2"/>
      <x:c r="P199" s="2"/>
      <x:c r="Q199" s="2"/>
      <x:c r="R199" s="23"/>
    </x:row>
    <x:row r="200">
      <x:c r="A200" s="2"/>
      <x:c r="B200" s="2"/>
      <x:c r="C200" s="2"/>
      <x:c r="D200" s="2"/>
      <x:c r="E200" s="2"/>
      <x:c r="F200" s="2"/>
      <x:c r="G200" s="2"/>
      <x:c r="H200" s="2"/>
      <x:c r="I200" s="2"/>
      <x:c r="J200" s="2"/>
      <x:c r="K200" s="2"/>
      <x:c r="L200" s="2"/>
      <x:c r="M200" s="2"/>
      <x:c r="N200" s="2"/>
      <x:c r="O200" s="2"/>
      <x:c r="P200" s="2"/>
      <x:c r="Q200" s="2"/>
      <x:c r="R200" s="23"/>
    </x:row>
    <x:row r="201">
      <x:c r="A201" s="2"/>
      <x:c r="B201" s="2"/>
      <x:c r="C201" s="2"/>
      <x:c r="D201" s="2"/>
      <x:c r="E201" s="2"/>
      <x:c r="F201" s="2"/>
      <x:c r="G201" s="2"/>
      <x:c r="H201" s="2"/>
      <x:c r="I201" s="2"/>
      <x:c r="J201" s="2"/>
      <x:c r="K201" s="2"/>
      <x:c r="L201" s="2"/>
      <x:c r="M201" s="2"/>
      <x:c r="N201" s="2"/>
      <x:c r="O201" s="2"/>
      <x:c r="P201" s="2"/>
      <x:c r="Q201" s="2"/>
      <x:c r="R201" s="23"/>
    </x:row>
    <x:row r="202">
      <x:c r="A202" s="2"/>
      <x:c r="B202" s="2"/>
      <x:c r="C202" s="2"/>
      <x:c r="D202" s="2"/>
      <x:c r="E202" s="2"/>
      <x:c r="F202" s="2"/>
      <x:c r="G202" s="2"/>
      <x:c r="H202" s="2"/>
      <x:c r="I202" s="2"/>
      <x:c r="J202" s="2"/>
      <x:c r="K202" s="2"/>
      <x:c r="L202" s="2"/>
      <x:c r="M202" s="2"/>
      <x:c r="N202" s="2"/>
      <x:c r="O202" s="2"/>
      <x:c r="P202" s="2"/>
      <x:c r="Q202" s="2"/>
      <x:c r="R202" s="23"/>
    </x:row>
    <x:row r="203">
      <x:c r="A203" s="2"/>
      <x:c r="B203" s="2"/>
      <x:c r="C203" s="2"/>
      <x:c r="D203" s="2"/>
      <x:c r="E203" s="2"/>
      <x:c r="F203" s="2"/>
      <x:c r="G203" s="2"/>
      <x:c r="H203" s="2"/>
      <x:c r="I203" s="2"/>
      <x:c r="J203" s="2"/>
      <x:c r="K203" s="2"/>
      <x:c r="L203" s="2"/>
      <x:c r="M203" s="2"/>
      <x:c r="N203" s="2"/>
      <x:c r="O203" s="2"/>
      <x:c r="P203" s="2"/>
      <x:c r="Q203" s="2"/>
      <x:c r="R203" s="23"/>
    </x:row>
    <x:row r="204">
      <x:c r="A204" s="2"/>
      <x:c r="B204" s="2"/>
      <x:c r="C204" s="2"/>
      <x:c r="D204" s="2"/>
      <x:c r="E204" s="2"/>
      <x:c r="F204" s="2"/>
      <x:c r="G204" s="2"/>
      <x:c r="H204" s="2"/>
      <x:c r="I204" s="2"/>
      <x:c r="J204" s="2"/>
      <x:c r="K204" s="2"/>
      <x:c r="L204" s="2"/>
      <x:c r="M204" s="2"/>
      <x:c r="N204" s="2"/>
      <x:c r="O204" s="2"/>
      <x:c r="P204" s="2"/>
      <x:c r="Q204" s="2"/>
      <x:c r="R204" s="23"/>
    </x:row>
  </x:sheetData>
  <x:mergeCells>
    <x:mergeCell ref="A1:R1"/>
    <x:mergeCell ref="A2:R2"/>
  </x:mergeCells>
  <x:dataValidations count="3">
    <x:dataValidation type="list" sqref="K5:M204">
      <x:formula1>"是,否,待确认"</x:formula1>
    </x:dataValidation>
    <x:dataValidation type="list" sqref="N5:N204">
      <x:formula1>"video_pixel_tokens,upstream_usage,local_usage"</x:formula1>
    </x:dataValidation>
    <x:dataValidation type="list" sqref="O5:O204">
      <x:formula1>"draft,active,inactive"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000000000000019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3.5"/>
  <x:cols>
    <x:col min="1" max="1" width="27" customWidth="1"/>
    <x:col min="2" max="2" width="25" customWidth="1"/>
    <x:col min="3" max="3" width="24" customWidth="1"/>
    <x:col min="4" max="4" width="16" customWidth="1"/>
    <x:col min="5" max="5" width="14" customWidth="1"/>
    <x:col min="6" max="6" width="10" customWidth="1"/>
    <x:col min="7" max="7" width="13" customWidth="1"/>
    <x:col min="8" max="9" width="11" customWidth="1"/>
    <x:col min="10" max="10" width="9" customWidth="1"/>
    <x:col min="11" max="12" width="17" customWidth="1"/>
    <x:col min="13" max="13" width="14" customWidth="1"/>
    <x:col min="14" max="14" width="17" customWidth="1"/>
    <x:col min="15" max="16" width="14" customWidth="1"/>
    <x:col min="17" max="17" width="12" customWidth="1"/>
    <x:col min="18" max="18" width="14" customWidth="1"/>
    <x:col min="19" max="19" width="34" customWidth="1"/>
    <x:col min="20" max="20" width="22" customWidth="1"/>
  </x:cols>
  <x:sheetData>
    <x:row r="1" ht="34.04999923706055" customHeight="1">
      <x:c r="A1" s="33" t="s">
        <x:v>33</x:v>
      </x:c>
      <x:c r="B1" s="33"/>
      <x:c r="C1" s="33"/>
      <x:c r="D1" s="33"/>
      <x:c r="E1" s="33"/>
      <x:c r="F1" s="33"/>
      <x:c r="G1" s="33"/>
      <x:c r="H1" s="33"/>
      <x:c r="I1" s="33"/>
      <x:c r="J1" s="33"/>
      <x:c r="K1" s="33"/>
      <x:c r="L1" s="33"/>
      <x:c r="M1" s="33"/>
      <x:c r="N1" s="33"/>
      <x:c r="O1" s="33"/>
      <x:c r="P1" s="33"/>
      <x:c r="Q1" s="33"/>
      <x:c r="R1" s="33"/>
      <x:c r="S1" s="33"/>
      <x:c r="T1" s="33"/>
    </x:row>
    <x:row r="2" ht="32" customHeight="1">
      <x:c r="A2" s="34" t="s">
        <x:v>159</x:v>
      </x:c>
      <x:c r="B2" s="34"/>
      <x:c r="C2" s="34"/>
      <x:c r="D2" s="34"/>
      <x:c r="E2" s="34"/>
      <x:c r="F2" s="34"/>
      <x:c r="G2" s="34"/>
      <x:c r="H2" s="34"/>
      <x:c r="I2" s="34"/>
      <x:c r="J2" s="34"/>
      <x:c r="K2" s="34"/>
      <x:c r="L2" s="34"/>
      <x:c r="M2" s="34"/>
      <x:c r="N2" s="34"/>
      <x:c r="O2" s="34"/>
      <x:c r="P2" s="34"/>
      <x:c r="Q2" s="34"/>
      <x:c r="R2" s="34"/>
      <x:c r="S2" s="34"/>
      <x:c r="T2" s="34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</x:row>
    <x:row r="4" ht="34.04999923706055" customHeight="1">
      <x:c r="A4" s="1" t="s">
        <x:v>35</x:v>
      </x:c>
      <x:c r="B4" s="1" t="s">
        <x:v>160</x:v>
      </x:c>
      <x:c r="C4" s="1" t="s">
        <x:v>28</x:v>
      </x:c>
      <x:c r="D4" s="1" t="s">
        <x:v>161</x:v>
      </x:c>
      <x:c r="E4" s="1" t="s">
        <x:v>162</x:v>
      </x:c>
      <x:c r="F4" s="1" t="s">
        <x:v>163</x:v>
      </x:c>
      <x:c r="G4" s="1" t="s">
        <x:v>164</x:v>
      </x:c>
      <x:c r="H4" s="1" t="s">
        <x:v>149</x:v>
      </x:c>
      <x:c r="I4" s="1" t="s">
        <x:v>150</x:v>
      </x:c>
      <x:c r="J4" s="1" t="s">
        <x:v>151</x:v>
      </x:c>
      <x:c r="K4" s="1" t="s">
        <x:v>165</x:v>
      </x:c>
      <x:c r="L4" s="1" t="s">
        <x:v>166</x:v>
      </x:c>
      <x:c r="M4" s="1" t="s">
        <x:v>167</x:v>
      </x:c>
      <x:c r="N4" s="1" t="s">
        <x:v>168</x:v>
      </x:c>
      <x:c r="O4" s="1" t="s">
        <x:v>169</x:v>
      </x:c>
      <x:c r="P4" s="1" t="s">
        <x:v>170</x:v>
      </x:c>
      <x:c r="Q4" s="1" t="s">
        <x:v>142</x:v>
      </x:c>
      <x:c r="R4" s="1" t="s">
        <x:v>62</x:v>
      </x:c>
      <x:c r="S4" s="1" t="s">
        <x:v>9</x:v>
      </x:c>
      <x:c r="T4" s="1" t="s">
        <x:v>67</x:v>
      </x:c>
    </x:row>
    <x:row r="5">
      <x:c r="A5" s="2" t="str">
        <x:v>SALE-SD20-STD-480-NOV</x:v>
      </x:c>
      <x:c r="B5" s="2" t="str">
        <x:v>seedance-2.0-480p</x:v>
      </x:c>
      <x:c r="C5" s="2" t="str">
        <x:v>SKU-SD20-STD-480</x:v>
      </x:c>
      <x:c r="D5" s="2" t="str">
        <x:v>no_video</x:v>
      </x:c>
      <x:c r="E5" s="2" t="str">
        <x:v>per_token</x:v>
      </x:c>
      <x:c r="F5" s="2" t="str">
        <x:v>CNY</x:v>
      </x:c>
      <x:c r="G5" s="24" t="n">
        <x:v>46</x:v>
      </x:c>
      <x:c r="H5" s="2" t="n">
        <x:v>864</x:v>
      </x:c>
      <x:c r="I5" s="2" t="n">
        <x:v>496</x:v>
      </x:c>
      <x:c r="J5" s="2" t="n">
        <x:v>24</x:v>
      </x:c>
      <x:c r="K5" s="25" t="n">
        <x:f>H5*I5*J5/'参数'!$B$7</x:f>
        <x:v>10044</x:v>
      </x:c>
      <x:c r="L5" s="26" t="n">
        <x:f>G5*K5/'参数'!$B$8</x:f>
        <x:v>0.462024</x:v>
      </x:c>
      <x:c r="M5" s="26" t="n">
        <x:f>G5*'参数'!$B$6</x:f>
        <x:v>6.301369863013698</x:v>
      </x:c>
      <x:c r="N5" s="26" t="n">
        <x:f>L5*'参数'!$B$6</x:f>
        <x:v>0.06329095890410959</x:v>
      </x:c>
      <x:c r="O5" s="20" t="n">
        <x:v>46229.393565162034</x:v>
      </x:c>
      <x:c r="P5" s="20"/>
      <x:c r="Q5" s="2" t="str">
        <x:v>active</x:v>
      </x:c>
      <x:c r="R5" s="2" t="str">
        <x:v>SRC-OFFICIAL</x:v>
      </x:c>
      <x:c r="S5" s="2" t="str">
        <x:v>元/基准秒按视频像素Token公式计算</x:v>
      </x:c>
      <x:c r="T5" s="23" t="str">
        <x:f t="shared" ref="T5:T20" si="0">IF(A5="","",IF(COUNTIF($A$5:$A$204,A5)&gt;1,"错误:重复售价ID",IF(OR(C5="",D5="",E5&lt;&gt;"per_token",G5&lt;=0,H5&lt;=0,I5&lt;=0,J5&lt;=0,Q5=""),"错误:必填项","OK")))</x:f>
        <x:v>OK</x:v>
      </x:c>
    </x:row>
    <x:row r="6">
      <x:c r="A6" s="2" t="str">
        <x:v>SALE-SD20-STD-480-VID</x:v>
      </x:c>
      <x:c r="B6" s="2" t="str">
        <x:v>seedance-2.0-480p</x:v>
      </x:c>
      <x:c r="C6" s="2" t="str">
        <x:v>SKU-SD20-STD-480</x:v>
      </x:c>
      <x:c r="D6" s="2" t="str">
        <x:v>with_video</x:v>
      </x:c>
      <x:c r="E6" s="2" t="str">
        <x:v>per_token</x:v>
      </x:c>
      <x:c r="F6" s="2" t="str">
        <x:v>CNY</x:v>
      </x:c>
      <x:c r="G6" s="24" t="n">
        <x:v>28</x:v>
      </x:c>
      <x:c r="H6" s="2" t="n">
        <x:v>864</x:v>
      </x:c>
      <x:c r="I6" s="2" t="n">
        <x:v>496</x:v>
      </x:c>
      <x:c r="J6" s="2" t="n">
        <x:v>24</x:v>
      </x:c>
      <x:c r="K6" s="25" t="n">
        <x:f>H6*I6*J6/'参数'!$B$7</x:f>
        <x:v>10044</x:v>
      </x:c>
      <x:c r="L6" s="26" t="n">
        <x:f>G6*K6/'参数'!$B$8</x:f>
        <x:v>0.281232</x:v>
      </x:c>
      <x:c r="M6" s="26" t="n">
        <x:f>G6*'参数'!$B$6</x:f>
        <x:v>3.835616438356164</x:v>
      </x:c>
      <x:c r="N6" s="26" t="n">
        <x:f>L6*'参数'!$B$6</x:f>
        <x:v>0.03852493150684931</x:v>
      </x:c>
      <x:c r="O6" s="20" t="n">
        <x:v>46229.393565162034</x:v>
      </x:c>
      <x:c r="P6" s="20"/>
      <x:c r="Q6" s="2" t="str">
        <x:v>active</x:v>
      </x:c>
      <x:c r="R6" s="2" t="str">
        <x:v>SRC-OFFICIAL</x:v>
      </x:c>
      <x:c r="S6" s="2" t="str">
        <x:v>元/基准秒按视频像素Token公式计算</x:v>
      </x:c>
      <x:c r="T6" s="23" t="str">
        <x:f t="shared" si="0">IF(A6="","",IF(COUNTIF($A$5:$A$204,A6)&gt;1,"错误:重复售价ID",IF(OR(C6="",D6="",E6&lt;&gt;"per_token",G6&lt;=0,H6&lt;=0,I6&lt;=0,J6&lt;=0,Q6=""),"错误:必填项","OK")))</x:f>
        <x:v>OK</x:v>
      </x:c>
    </x:row>
    <x:row r="7">
      <x:c r="A7" s="2" t="str">
        <x:v>SALE-SD20-STD-720-NOV</x:v>
      </x:c>
      <x:c r="B7" s="2" t="str">
        <x:v>seedance-2.0-720p</x:v>
      </x:c>
      <x:c r="C7" s="2" t="str">
        <x:v>SKU-SD20-STD-720</x:v>
      </x:c>
      <x:c r="D7" s="2" t="str">
        <x:v>no_video</x:v>
      </x:c>
      <x:c r="E7" s="2" t="str">
        <x:v>per_token</x:v>
      </x:c>
      <x:c r="F7" s="2" t="str">
        <x:v>CNY</x:v>
      </x:c>
      <x:c r="G7" s="24" t="n">
        <x:v>46</x:v>
      </x:c>
      <x:c r="H7" s="2" t="n">
        <x:v>1280</x:v>
      </x:c>
      <x:c r="I7" s="2" t="n">
        <x:v>720</x:v>
      </x:c>
      <x:c r="J7" s="2" t="n">
        <x:v>24</x:v>
      </x:c>
      <x:c r="K7" s="25" t="n">
        <x:f>H7*I7*J7/'参数'!$B$7</x:f>
        <x:v>21600</x:v>
      </x:c>
      <x:c r="L7" s="26" t="n">
        <x:f>G7*K7/'参数'!$B$8</x:f>
        <x:v>0.9936</x:v>
      </x:c>
      <x:c r="M7" s="26" t="n">
        <x:f>G7*'参数'!$B$6</x:f>
        <x:v>6.301369863013698</x:v>
      </x:c>
      <x:c r="N7" s="26" t="n">
        <x:f>L7*'参数'!$B$6</x:f>
        <x:v>0.13610958904109588</x:v>
      </x:c>
      <x:c r="O7" s="20" t="n">
        <x:v>46229.393565162034</x:v>
      </x:c>
      <x:c r="P7" s="20"/>
      <x:c r="Q7" s="2" t="str">
        <x:v>active</x:v>
      </x:c>
      <x:c r="R7" s="2" t="str">
        <x:v>SRC-OFFICIAL</x:v>
      </x:c>
      <x:c r="S7" s="2" t="str">
        <x:v>元/基准秒按视频像素Token公式计算</x:v>
      </x:c>
      <x:c r="T7" s="23" t="str">
        <x:f t="shared" si="0">IF(A7="","",IF(COUNTIF($A$5:$A$204,A7)&gt;1,"错误:重复售价ID",IF(OR(C7="",D7="",E7&lt;&gt;"per_token",G7&lt;=0,H7&lt;=0,I7&lt;=0,J7&lt;=0,Q7=""),"错误:必填项","OK")))</x:f>
        <x:v>OK</x:v>
      </x:c>
    </x:row>
    <x:row r="8">
      <x:c r="A8" s="2" t="str">
        <x:v>SALE-SD20-STD-720-VID</x:v>
      </x:c>
      <x:c r="B8" s="2" t="str">
        <x:v>seedance-2.0-720p</x:v>
      </x:c>
      <x:c r="C8" s="2" t="str">
        <x:v>SKU-SD20-STD-720</x:v>
      </x:c>
      <x:c r="D8" s="2" t="str">
        <x:v>with_video</x:v>
      </x:c>
      <x:c r="E8" s="2" t="str">
        <x:v>per_token</x:v>
      </x:c>
      <x:c r="F8" s="2" t="str">
        <x:v>CNY</x:v>
      </x:c>
      <x:c r="G8" s="24" t="n">
        <x:v>28</x:v>
      </x:c>
      <x:c r="H8" s="2" t="n">
        <x:v>1280</x:v>
      </x:c>
      <x:c r="I8" s="2" t="n">
        <x:v>720</x:v>
      </x:c>
      <x:c r="J8" s="2" t="n">
        <x:v>24</x:v>
      </x:c>
      <x:c r="K8" s="25" t="n">
        <x:f>H8*I8*J8/'参数'!$B$7</x:f>
        <x:v>21600</x:v>
      </x:c>
      <x:c r="L8" s="26" t="n">
        <x:f>G8*K8/'参数'!$B$8</x:f>
        <x:v>0.6048</x:v>
      </x:c>
      <x:c r="M8" s="26" t="n">
        <x:f>G8*'参数'!$B$6</x:f>
        <x:v>3.835616438356164</x:v>
      </x:c>
      <x:c r="N8" s="26" t="n">
        <x:f>L8*'参数'!$B$6</x:f>
        <x:v>0.08284931506849315</x:v>
      </x:c>
      <x:c r="O8" s="20" t="n">
        <x:v>46229.393565162034</x:v>
      </x:c>
      <x:c r="P8" s="20"/>
      <x:c r="Q8" s="2" t="str">
        <x:v>active</x:v>
      </x:c>
      <x:c r="R8" s="2" t="str">
        <x:v>SRC-OFFICIAL</x:v>
      </x:c>
      <x:c r="S8" s="2" t="str">
        <x:v>元/基准秒按视频像素Token公式计算</x:v>
      </x:c>
      <x:c r="T8" s="23" t="str">
        <x:f t="shared" si="0">IF(A8="","",IF(COUNTIF($A$5:$A$204,A8)&gt;1,"错误:重复售价ID",IF(OR(C8="",D8="",E8&lt;&gt;"per_token",G8&lt;=0,H8&lt;=0,I8&lt;=0,J8&lt;=0,Q8=""),"错误:必填项","OK")))</x:f>
        <x:v>OK</x:v>
      </x:c>
    </x:row>
    <x:row r="9">
      <x:c r="A9" s="2" t="str">
        <x:v>SALE-SD20-STD-1080-NOV</x:v>
      </x:c>
      <x:c r="B9" s="2" t="str">
        <x:v>seedance-2.0-1080p</x:v>
      </x:c>
      <x:c r="C9" s="2" t="str">
        <x:v>SKU-SD20-STD-1080</x:v>
      </x:c>
      <x:c r="D9" s="2" t="str">
        <x:v>no_video</x:v>
      </x:c>
      <x:c r="E9" s="2" t="str">
        <x:v>per_token</x:v>
      </x:c>
      <x:c r="F9" s="2" t="str">
        <x:v>CNY</x:v>
      </x:c>
      <x:c r="G9" s="24" t="n">
        <x:v>51</x:v>
      </x:c>
      <x:c r="H9" s="2" t="n">
        <x:v>1920</x:v>
      </x:c>
      <x:c r="I9" s="2" t="n">
        <x:v>1080</x:v>
      </x:c>
      <x:c r="J9" s="2" t="n">
        <x:v>24</x:v>
      </x:c>
      <x:c r="K9" s="25" t="n">
        <x:f>H9*I9*J9/'参数'!$B$7</x:f>
        <x:v>48600</x:v>
      </x:c>
      <x:c r="L9" s="26" t="n">
        <x:f>G9*K9/'参数'!$B$8</x:f>
        <x:v>2.4786</x:v>
      </x:c>
      <x:c r="M9" s="26" t="n">
        <x:f>G9*'参数'!$B$6</x:f>
        <x:v>6.986301369863013</x:v>
      </x:c>
      <x:c r="N9" s="26" t="n">
        <x:f>L9*'参数'!$B$6</x:f>
        <x:v>0.3395342465753425</x:v>
      </x:c>
      <x:c r="O9" s="20" t="n">
        <x:v>46229.393565162034</x:v>
      </x:c>
      <x:c r="P9" s="20"/>
      <x:c r="Q9" s="2" t="str">
        <x:v>active</x:v>
      </x:c>
      <x:c r="R9" s="2" t="str">
        <x:v>SRC-OFFICIAL</x:v>
      </x:c>
      <x:c r="S9" s="2" t="str">
        <x:v>元/基准秒按视频像素Token公式计算</x:v>
      </x:c>
      <x:c r="T9" s="23" t="str">
        <x:f t="shared" si="0">IF(A9="","",IF(COUNTIF($A$5:$A$204,A9)&gt;1,"错误:重复售价ID",IF(OR(C9="",D9="",E9&lt;&gt;"per_token",G9&lt;=0,H9&lt;=0,I9&lt;=0,J9&lt;=0,Q9=""),"错误:必填项","OK")))</x:f>
        <x:v>OK</x:v>
      </x:c>
    </x:row>
    <x:row r="10">
      <x:c r="A10" s="2" t="str">
        <x:v>SALE-SD20-STD-1080-VID</x:v>
      </x:c>
      <x:c r="B10" s="2" t="str">
        <x:v>seedance-2.0-1080p</x:v>
      </x:c>
      <x:c r="C10" s="2" t="str">
        <x:v>SKU-SD20-STD-1080</x:v>
      </x:c>
      <x:c r="D10" s="2" t="str">
        <x:v>with_video</x:v>
      </x:c>
      <x:c r="E10" s="2" t="str">
        <x:v>per_token</x:v>
      </x:c>
      <x:c r="F10" s="2" t="str">
        <x:v>CNY</x:v>
      </x:c>
      <x:c r="G10" s="24" t="n">
        <x:v>31</x:v>
      </x:c>
      <x:c r="H10" s="2" t="n">
        <x:v>1920</x:v>
      </x:c>
      <x:c r="I10" s="2" t="n">
        <x:v>1080</x:v>
      </x:c>
      <x:c r="J10" s="2" t="n">
        <x:v>24</x:v>
      </x:c>
      <x:c r="K10" s="25" t="n">
        <x:f>H10*I10*J10/'参数'!$B$7</x:f>
        <x:v>48600</x:v>
      </x:c>
      <x:c r="L10" s="26" t="n">
        <x:f>G10*K10/'参数'!$B$8</x:f>
        <x:v>1.5066</x:v>
      </x:c>
      <x:c r="M10" s="26" t="n">
        <x:f>G10*'参数'!$B$6</x:f>
        <x:v>4.2465753424657535</x:v>
      </x:c>
      <x:c r="N10" s="26" t="n">
        <x:f>L10*'参数'!$B$6</x:f>
        <x:v>0.2063835616438356</x:v>
      </x:c>
      <x:c r="O10" s="20" t="n">
        <x:v>46229.393565162034</x:v>
      </x:c>
      <x:c r="P10" s="20"/>
      <x:c r="Q10" s="2" t="str">
        <x:v>active</x:v>
      </x:c>
      <x:c r="R10" s="2" t="str">
        <x:v>SRC-OFFICIAL</x:v>
      </x:c>
      <x:c r="S10" s="2" t="str">
        <x:v>元/基准秒按视频像素Token公式计算</x:v>
      </x:c>
      <x:c r="T10" s="23" t="str">
        <x:f t="shared" si="0">IF(A10="","",IF(COUNTIF($A$5:$A$204,A10)&gt;1,"错误:重复售价ID",IF(OR(C10="",D10="",E10&lt;&gt;"per_token",G10&lt;=0,H10&lt;=0,I10&lt;=0,J10&lt;=0,Q10=""),"错误:必填项","OK")))</x:f>
        <x:v>OK</x:v>
      </x:c>
    </x:row>
    <x:row r="11">
      <x:c r="A11" s="2" t="str">
        <x:v>SALE-SD20-STD-4K-NOV</x:v>
      </x:c>
      <x:c r="B11" s="2" t="str">
        <x:v>seedance-2.0-4k</x:v>
      </x:c>
      <x:c r="C11" s="2" t="str">
        <x:v>SKU-SD20-STD-4K</x:v>
      </x:c>
      <x:c r="D11" s="2" t="str">
        <x:v>no_video</x:v>
      </x:c>
      <x:c r="E11" s="2" t="str">
        <x:v>per_token</x:v>
      </x:c>
      <x:c r="F11" s="2" t="str">
        <x:v>CNY</x:v>
      </x:c>
      <x:c r="G11" s="24" t="n">
        <x:v>26</x:v>
      </x:c>
      <x:c r="H11" s="2" t="n">
        <x:v>3840</x:v>
      </x:c>
      <x:c r="I11" s="2" t="n">
        <x:v>2160</x:v>
      </x:c>
      <x:c r="J11" s="2" t="n">
        <x:v>24</x:v>
      </x:c>
      <x:c r="K11" s="25" t="n">
        <x:f>H11*I11*J11/'参数'!$B$7</x:f>
        <x:v>194400</x:v>
      </x:c>
      <x:c r="L11" s="26" t="n">
        <x:f>G11*K11/'参数'!$B$8</x:f>
        <x:v>5.0544</x:v>
      </x:c>
      <x:c r="M11" s="26" t="n">
        <x:f>G11*'参数'!$B$6</x:f>
        <x:v>3.5616438356164384</x:v>
      </x:c>
      <x:c r="N11" s="26" t="n">
        <x:f>L11*'参数'!$B$6</x:f>
        <x:v>0.6923835616438356</x:v>
      </x:c>
      <x:c r="O11" s="20" t="n">
        <x:v>46229.393565162034</x:v>
      </x:c>
      <x:c r="P11" s="20"/>
      <x:c r="Q11" s="2" t="str">
        <x:v>active</x:v>
      </x:c>
      <x:c r="R11" s="2" t="str">
        <x:v>SRC-OFFICIAL</x:v>
      </x:c>
      <x:c r="S11" s="2" t="str">
        <x:v>元/基准秒按视频像素Token公式计算</x:v>
      </x:c>
      <x:c r="T11" s="23" t="str">
        <x:f t="shared" si="0">IF(A11="","",IF(COUNTIF($A$5:$A$204,A11)&gt;1,"错误:重复售价ID",IF(OR(C11="",D11="",E11&lt;&gt;"per_token",G11&lt;=0,H11&lt;=0,I11&lt;=0,J11&lt;=0,Q11=""),"错误:必填项","OK")))</x:f>
        <x:v>OK</x:v>
      </x:c>
    </x:row>
    <x:row r="12">
      <x:c r="A12" s="2" t="str">
        <x:v>SALE-SD20-STD-4K-VID</x:v>
      </x:c>
      <x:c r="B12" s="2" t="str">
        <x:v>seedance-2.0-4k</x:v>
      </x:c>
      <x:c r="C12" s="2" t="str">
        <x:v>SKU-SD20-STD-4K</x:v>
      </x:c>
      <x:c r="D12" s="2" t="str">
        <x:v>with_video</x:v>
      </x:c>
      <x:c r="E12" s="2" t="str">
        <x:v>per_token</x:v>
      </x:c>
      <x:c r="F12" s="2" t="str">
        <x:v>CNY</x:v>
      </x:c>
      <x:c r="G12" s="24" t="n">
        <x:v>16</x:v>
      </x:c>
      <x:c r="H12" s="2" t="n">
        <x:v>3840</x:v>
      </x:c>
      <x:c r="I12" s="2" t="n">
        <x:v>2160</x:v>
      </x:c>
      <x:c r="J12" s="2" t="n">
        <x:v>24</x:v>
      </x:c>
      <x:c r="K12" s="25" t="n">
        <x:f>H12*I12*J12/'参数'!$B$7</x:f>
        <x:v>194400</x:v>
      </x:c>
      <x:c r="L12" s="26" t="n">
        <x:f>G12*K12/'参数'!$B$8</x:f>
        <x:v>3.1104</x:v>
      </x:c>
      <x:c r="M12" s="26" t="n">
        <x:f>G12*'参数'!$B$6</x:f>
        <x:v>2.191780821917808</x:v>
      </x:c>
      <x:c r="N12" s="26" t="n">
        <x:f>L12*'参数'!$B$6</x:f>
        <x:v>0.42608219178082185</x:v>
      </x:c>
      <x:c r="O12" s="20" t="n">
        <x:v>46229.393565162034</x:v>
      </x:c>
      <x:c r="P12" s="20"/>
      <x:c r="Q12" s="2" t="str">
        <x:v>active</x:v>
      </x:c>
      <x:c r="R12" s="2" t="str">
        <x:v>SRC-OFFICIAL</x:v>
      </x:c>
      <x:c r="S12" s="2" t="str">
        <x:v>元/基准秒按视频像素Token公式计算</x:v>
      </x:c>
      <x:c r="T12" s="23" t="str">
        <x:f t="shared" si="0">IF(A12="","",IF(COUNTIF($A$5:$A$204,A12)&gt;1,"错误:重复售价ID",IF(OR(C12="",D12="",E12&lt;&gt;"per_token",G12&lt;=0,H12&lt;=0,I12&lt;=0,J12&lt;=0,Q12=""),"错误:必填项","OK")))</x:f>
        <x:v>OK</x:v>
      </x:c>
    </x:row>
    <x:row r="13">
      <x:c r="A13" s="2" t="str">
        <x:v>SALE-SD20-FAST-480-NOV</x:v>
      </x:c>
      <x:c r="B13" s="2" t="str">
        <x:v>seedance-2.0-fast-480p</x:v>
      </x:c>
      <x:c r="C13" s="2" t="str">
        <x:v>SKU-SD20-FAST-480</x:v>
      </x:c>
      <x:c r="D13" s="2" t="str">
        <x:v>no_video</x:v>
      </x:c>
      <x:c r="E13" s="2" t="str">
        <x:v>per_token</x:v>
      </x:c>
      <x:c r="F13" s="2" t="str">
        <x:v>CNY</x:v>
      </x:c>
      <x:c r="G13" s="24" t="n">
        <x:v>37</x:v>
      </x:c>
      <x:c r="H13" s="2" t="n">
        <x:v>864</x:v>
      </x:c>
      <x:c r="I13" s="2" t="n">
        <x:v>496</x:v>
      </x:c>
      <x:c r="J13" s="2" t="n">
        <x:v>24</x:v>
      </x:c>
      <x:c r="K13" s="25" t="n">
        <x:f>H13*I13*J13/'参数'!$B$7</x:f>
        <x:v>10044</x:v>
      </x:c>
      <x:c r="L13" s="26" t="n">
        <x:f>G13*K13/'参数'!$B$8</x:f>
        <x:v>0.371628</x:v>
      </x:c>
      <x:c r="M13" s="26" t="n">
        <x:f>G13*'参数'!$B$6</x:f>
        <x:v>5.068493150684931</x:v>
      </x:c>
      <x:c r="N13" s="26" t="n">
        <x:f>L13*'参数'!$B$6</x:f>
        <x:v>0.05090794520547945</x:v>
      </x:c>
      <x:c r="O13" s="20" t="n">
        <x:v>46229.393565162034</x:v>
      </x:c>
      <x:c r="P13" s="20"/>
      <x:c r="Q13" s="2" t="str">
        <x:v>active</x:v>
      </x:c>
      <x:c r="R13" s="2" t="str">
        <x:v>SRC-OFFICIAL</x:v>
      </x:c>
      <x:c r="S13" s="2" t="str">
        <x:v>元/基准秒按视频像素Token公式计算</x:v>
      </x:c>
      <x:c r="T13" s="23" t="str">
        <x:f t="shared" si="0">IF(A13="","",IF(COUNTIF($A$5:$A$204,A13)&gt;1,"错误:重复售价ID",IF(OR(C13="",D13="",E13&lt;&gt;"per_token",G13&lt;=0,H13&lt;=0,I13&lt;=0,J13&lt;=0,Q13=""),"错误:必填项","OK")))</x:f>
        <x:v>OK</x:v>
      </x:c>
    </x:row>
    <x:row r="14">
      <x:c r="A14" s="2" t="str">
        <x:v>SALE-SD20-FAST-480-VID</x:v>
      </x:c>
      <x:c r="B14" s="2" t="str">
        <x:v>seedance-2.0-fast-480p</x:v>
      </x:c>
      <x:c r="C14" s="2" t="str">
        <x:v>SKU-SD20-FAST-480</x:v>
      </x:c>
      <x:c r="D14" s="2" t="str">
        <x:v>with_video</x:v>
      </x:c>
      <x:c r="E14" s="2" t="str">
        <x:v>per_token</x:v>
      </x:c>
      <x:c r="F14" s="2" t="str">
        <x:v>CNY</x:v>
      </x:c>
      <x:c r="G14" s="24" t="n">
        <x:v>22</x:v>
      </x:c>
      <x:c r="H14" s="2" t="n">
        <x:v>864</x:v>
      </x:c>
      <x:c r="I14" s="2" t="n">
        <x:v>496</x:v>
      </x:c>
      <x:c r="J14" s="2" t="n">
        <x:v>24</x:v>
      </x:c>
      <x:c r="K14" s="25" t="n">
        <x:f>H14*I14*J14/'参数'!$B$7</x:f>
        <x:v>10044</x:v>
      </x:c>
      <x:c r="L14" s="26" t="n">
        <x:f>G14*K14/'参数'!$B$8</x:f>
        <x:v>0.220968</x:v>
      </x:c>
      <x:c r="M14" s="26" t="n">
        <x:f>G14*'参数'!$B$6</x:f>
        <x:v>3.013698630136986</x:v>
      </x:c>
      <x:c r="N14" s="26" t="n">
        <x:f>L14*'参数'!$B$6</x:f>
        <x:v>0.03026958904109589</x:v>
      </x:c>
      <x:c r="O14" s="20" t="n">
        <x:v>46229.393565162034</x:v>
      </x:c>
      <x:c r="P14" s="20"/>
      <x:c r="Q14" s="2" t="str">
        <x:v>active</x:v>
      </x:c>
      <x:c r="R14" s="2" t="str">
        <x:v>SRC-OFFICIAL</x:v>
      </x:c>
      <x:c r="S14" s="2" t="str">
        <x:v>元/基准秒按视频像素Token公式计算</x:v>
      </x:c>
      <x:c r="T14" s="23" t="str">
        <x:f t="shared" si="0">IF(A14="","",IF(COUNTIF($A$5:$A$204,A14)&gt;1,"错误:重复售价ID",IF(OR(C14="",D14="",E14&lt;&gt;"per_token",G14&lt;=0,H14&lt;=0,I14&lt;=0,J14&lt;=0,Q14=""),"错误:必填项","OK")))</x:f>
        <x:v>OK</x:v>
      </x:c>
    </x:row>
    <x:row r="15">
      <x:c r="A15" s="2" t="str">
        <x:v>SALE-SD20-FAST-720-NOV</x:v>
      </x:c>
      <x:c r="B15" s="2" t="str">
        <x:v>seedance-2.0-fast-720p</x:v>
      </x:c>
      <x:c r="C15" s="2" t="str">
        <x:v>SKU-SD20-FAST-720</x:v>
      </x:c>
      <x:c r="D15" s="2" t="str">
        <x:v>no_video</x:v>
      </x:c>
      <x:c r="E15" s="2" t="str">
        <x:v>per_token</x:v>
      </x:c>
      <x:c r="F15" s="2" t="str">
        <x:v>CNY</x:v>
      </x:c>
      <x:c r="G15" s="24" t="n">
        <x:v>37</x:v>
      </x:c>
      <x:c r="H15" s="2" t="n">
        <x:v>1280</x:v>
      </x:c>
      <x:c r="I15" s="2" t="n">
        <x:v>720</x:v>
      </x:c>
      <x:c r="J15" s="2" t="n">
        <x:v>24</x:v>
      </x:c>
      <x:c r="K15" s="25" t="n">
        <x:f>H15*I15*J15/'参数'!$B$7</x:f>
        <x:v>21600</x:v>
      </x:c>
      <x:c r="L15" s="26" t="n">
        <x:f>G15*K15/'参数'!$B$8</x:f>
        <x:v>0.7992</x:v>
      </x:c>
      <x:c r="M15" s="26" t="n">
        <x:f>G15*'参数'!$B$6</x:f>
        <x:v>5.068493150684931</x:v>
      </x:c>
      <x:c r="N15" s="26" t="n">
        <x:f>L15*'参数'!$B$6</x:f>
        <x:v>0.10947945205479452</x:v>
      </x:c>
      <x:c r="O15" s="20" t="n">
        <x:v>46229.393565162034</x:v>
      </x:c>
      <x:c r="P15" s="20"/>
      <x:c r="Q15" s="2" t="str">
        <x:v>active</x:v>
      </x:c>
      <x:c r="R15" s="2" t="str">
        <x:v>SRC-OFFICIAL</x:v>
      </x:c>
      <x:c r="S15" s="2" t="str">
        <x:v>元/基准秒按视频像素Token公式计算</x:v>
      </x:c>
      <x:c r="T15" s="23" t="str">
        <x:f t="shared" si="0">IF(A15="","",IF(COUNTIF($A$5:$A$204,A15)&gt;1,"错误:重复售价ID",IF(OR(C15="",D15="",E15&lt;&gt;"per_token",G15&lt;=0,H15&lt;=0,I15&lt;=0,J15&lt;=0,Q15=""),"错误:必填项","OK")))</x:f>
        <x:v>OK</x:v>
      </x:c>
    </x:row>
    <x:row r="16">
      <x:c r="A16" s="2" t="str">
        <x:v>SALE-SD20-FAST-720-VID</x:v>
      </x:c>
      <x:c r="B16" s="2" t="str">
        <x:v>seedance-2.0-fast-720p</x:v>
      </x:c>
      <x:c r="C16" s="2" t="str">
        <x:v>SKU-SD20-FAST-720</x:v>
      </x:c>
      <x:c r="D16" s="2" t="str">
        <x:v>with_video</x:v>
      </x:c>
      <x:c r="E16" s="2" t="str">
        <x:v>per_token</x:v>
      </x:c>
      <x:c r="F16" s="2" t="str">
        <x:v>CNY</x:v>
      </x:c>
      <x:c r="G16" s="24" t="n">
        <x:v>22</x:v>
      </x:c>
      <x:c r="H16" s="2" t="n">
        <x:v>1280</x:v>
      </x:c>
      <x:c r="I16" s="2" t="n">
        <x:v>720</x:v>
      </x:c>
      <x:c r="J16" s="2" t="n">
        <x:v>24</x:v>
      </x:c>
      <x:c r="K16" s="25" t="n">
        <x:f>H16*I16*J16/'参数'!$B$7</x:f>
        <x:v>21600</x:v>
      </x:c>
      <x:c r="L16" s="26" t="n">
        <x:f>G16*K16/'参数'!$B$8</x:f>
        <x:v>0.4752</x:v>
      </x:c>
      <x:c r="M16" s="26" t="n">
        <x:f>G16*'参数'!$B$6</x:f>
        <x:v>3.013698630136986</x:v>
      </x:c>
      <x:c r="N16" s="26" t="n">
        <x:f>L16*'参数'!$B$6</x:f>
        <x:v>0.0650958904109589</x:v>
      </x:c>
      <x:c r="O16" s="20" t="n">
        <x:v>46229.393565162034</x:v>
      </x:c>
      <x:c r="P16" s="20"/>
      <x:c r="Q16" s="2" t="str">
        <x:v>active</x:v>
      </x:c>
      <x:c r="R16" s="2" t="str">
        <x:v>SRC-OFFICIAL</x:v>
      </x:c>
      <x:c r="S16" s="2" t="str">
        <x:v>元/基准秒按视频像素Token公式计算</x:v>
      </x:c>
      <x:c r="T16" s="23" t="str">
        <x:f t="shared" si="0">IF(A16="","",IF(COUNTIF($A$5:$A$204,A16)&gt;1,"错误:重复售价ID",IF(OR(C16="",D16="",E16&lt;&gt;"per_token",G16&lt;=0,H16&lt;=0,I16&lt;=0,J16&lt;=0,Q16=""),"错误:必填项","OK")))</x:f>
        <x:v>OK</x:v>
      </x:c>
    </x:row>
    <x:row r="17">
      <x:c r="A17" s="2" t="str">
        <x:v>SALE-SD20-MINI-480-NOV</x:v>
      </x:c>
      <x:c r="B17" s="2" t="str">
        <x:v>seedance-2.0-mini-480p</x:v>
      </x:c>
      <x:c r="C17" s="2" t="str">
        <x:v>SKU-SD20-MINI-480</x:v>
      </x:c>
      <x:c r="D17" s="2" t="str">
        <x:v>no_video</x:v>
      </x:c>
      <x:c r="E17" s="2" t="str">
        <x:v>per_token</x:v>
      </x:c>
      <x:c r="F17" s="2" t="str">
        <x:v>CNY</x:v>
      </x:c>
      <x:c r="G17" s="24" t="n">
        <x:v>23</x:v>
      </x:c>
      <x:c r="H17" s="2" t="n">
        <x:v>864</x:v>
      </x:c>
      <x:c r="I17" s="2" t="n">
        <x:v>496</x:v>
      </x:c>
      <x:c r="J17" s="2" t="n">
        <x:v>24</x:v>
      </x:c>
      <x:c r="K17" s="25" t="n">
        <x:f>H17*I17*J17/'参数'!$B$7</x:f>
        <x:v>10044</x:v>
      </x:c>
      <x:c r="L17" s="26" t="n">
        <x:f>G17*K17/'参数'!$B$8</x:f>
        <x:v>0.231012</x:v>
      </x:c>
      <x:c r="M17" s="26" t="n">
        <x:f>G17*'参数'!$B$6</x:f>
        <x:v>3.150684931506849</x:v>
      </x:c>
      <x:c r="N17" s="26" t="n">
        <x:f>L17*'参数'!$B$6</x:f>
        <x:v>0.031645479452054794</x:v>
      </x:c>
      <x:c r="O17" s="20" t="n">
        <x:v>46229.393565162034</x:v>
      </x:c>
      <x:c r="P17" s="20"/>
      <x:c r="Q17" s="2" t="str">
        <x:v>active</x:v>
      </x:c>
      <x:c r="R17" s="2" t="str">
        <x:v>SRC-OFFICIAL</x:v>
      </x:c>
      <x:c r="S17" s="2" t="str">
        <x:v>元/基准秒按视频像素Token公式计算</x:v>
      </x:c>
      <x:c r="T17" s="23" t="str">
        <x:f t="shared" si="0">IF(A17="","",IF(COUNTIF($A$5:$A$204,A17)&gt;1,"错误:重复售价ID",IF(OR(C17="",D17="",E17&lt;&gt;"per_token",G17&lt;=0,H17&lt;=0,I17&lt;=0,J17&lt;=0,Q17=""),"错误:必填项","OK")))</x:f>
        <x:v>OK</x:v>
      </x:c>
    </x:row>
    <x:row r="18">
      <x:c r="A18" s="2" t="str">
        <x:v>SALE-SD20-MINI-480-VID</x:v>
      </x:c>
      <x:c r="B18" s="2" t="str">
        <x:v>seedance-2.0-mini-480p</x:v>
      </x:c>
      <x:c r="C18" s="2" t="str">
        <x:v>SKU-SD20-MINI-480</x:v>
      </x:c>
      <x:c r="D18" s="2" t="str">
        <x:v>with_video</x:v>
      </x:c>
      <x:c r="E18" s="2" t="str">
        <x:v>per_token</x:v>
      </x:c>
      <x:c r="F18" s="2" t="str">
        <x:v>CNY</x:v>
      </x:c>
      <x:c r="G18" s="24" t="n">
        <x:v>14</x:v>
      </x:c>
      <x:c r="H18" s="2" t="n">
        <x:v>864</x:v>
      </x:c>
      <x:c r="I18" s="2" t="n">
        <x:v>496</x:v>
      </x:c>
      <x:c r="J18" s="2" t="n">
        <x:v>24</x:v>
      </x:c>
      <x:c r="K18" s="25" t="n">
        <x:f>H18*I18*J18/'参数'!$B$7</x:f>
        <x:v>10044</x:v>
      </x:c>
      <x:c r="L18" s="26" t="n">
        <x:f>G18*K18/'参数'!$B$8</x:f>
        <x:v>0.140616</x:v>
      </x:c>
      <x:c r="M18" s="26" t="n">
        <x:f>G18*'参数'!$B$6</x:f>
        <x:v>1.917808219178082</x:v>
      </x:c>
      <x:c r="N18" s="26" t="n">
        <x:f>L18*'参数'!$B$6</x:f>
        <x:v>0.019262465753424655</x:v>
      </x:c>
      <x:c r="O18" s="20" t="n">
        <x:v>46229.393565162034</x:v>
      </x:c>
      <x:c r="P18" s="20"/>
      <x:c r="Q18" s="2" t="str">
        <x:v>active</x:v>
      </x:c>
      <x:c r="R18" s="2" t="str">
        <x:v>SRC-OFFICIAL</x:v>
      </x:c>
      <x:c r="S18" s="2" t="str">
        <x:v>元/基准秒按视频像素Token公式计算</x:v>
      </x:c>
      <x:c r="T18" s="23" t="str">
        <x:f t="shared" si="0">IF(A18="","",IF(COUNTIF($A$5:$A$204,A18)&gt;1,"错误:重复售价ID",IF(OR(C18="",D18="",E18&lt;&gt;"per_token",G18&lt;=0,H18&lt;=0,I18&lt;=0,J18&lt;=0,Q18=""),"错误:必填项","OK")))</x:f>
        <x:v>OK</x:v>
      </x:c>
    </x:row>
    <x:row r="19">
      <x:c r="A19" s="2" t="str">
        <x:v>SALE-SD20-MINI-720-NOV</x:v>
      </x:c>
      <x:c r="B19" s="2" t="str">
        <x:v>seedance-2.0-mini-720p</x:v>
      </x:c>
      <x:c r="C19" s="2" t="str">
        <x:v>SKU-SD20-MINI-720</x:v>
      </x:c>
      <x:c r="D19" s="2" t="str">
        <x:v>no_video</x:v>
      </x:c>
      <x:c r="E19" s="2" t="str">
        <x:v>per_token</x:v>
      </x:c>
      <x:c r="F19" s="2" t="str">
        <x:v>CNY</x:v>
      </x:c>
      <x:c r="G19" s="24" t="n">
        <x:v>23</x:v>
      </x:c>
      <x:c r="H19" s="2" t="n">
        <x:v>1280</x:v>
      </x:c>
      <x:c r="I19" s="2" t="n">
        <x:v>720</x:v>
      </x:c>
      <x:c r="J19" s="2" t="n">
        <x:v>24</x:v>
      </x:c>
      <x:c r="K19" s="25" t="n">
        <x:f>H19*I19*J19/'参数'!$B$7</x:f>
        <x:v>21600</x:v>
      </x:c>
      <x:c r="L19" s="26" t="n">
        <x:f>G19*K19/'参数'!$B$8</x:f>
        <x:v>0.4968</x:v>
      </x:c>
      <x:c r="M19" s="26" t="n">
        <x:f>G19*'参数'!$B$6</x:f>
        <x:v>3.150684931506849</x:v>
      </x:c>
      <x:c r="N19" s="26" t="n">
        <x:f>L19*'参数'!$B$6</x:f>
        <x:v>0.06805479452054794</x:v>
      </x:c>
      <x:c r="O19" s="20" t="n">
        <x:v>46229.393565162034</x:v>
      </x:c>
      <x:c r="P19" s="20"/>
      <x:c r="Q19" s="2" t="str">
        <x:v>active</x:v>
      </x:c>
      <x:c r="R19" s="2" t="str">
        <x:v>SRC-OFFICIAL</x:v>
      </x:c>
      <x:c r="S19" s="2" t="str">
        <x:v>元/基准秒按视频像素Token公式计算</x:v>
      </x:c>
      <x:c r="T19" s="23" t="str">
        <x:f t="shared" si="0">IF(A19="","",IF(COUNTIF($A$5:$A$204,A19)&gt;1,"错误:重复售价ID",IF(OR(C19="",D19="",E19&lt;&gt;"per_token",G19&lt;=0,H19&lt;=0,I19&lt;=0,J19&lt;=0,Q19=""),"错误:必填项","OK")))</x:f>
        <x:v>OK</x:v>
      </x:c>
    </x:row>
    <x:row r="20">
      <x:c r="A20" s="2" t="str">
        <x:v>SALE-SD20-MINI-720-VID</x:v>
      </x:c>
      <x:c r="B20" s="2" t="str">
        <x:v>seedance-2.0-mini-720p</x:v>
      </x:c>
      <x:c r="C20" s="2" t="str">
        <x:v>SKU-SD20-MINI-720</x:v>
      </x:c>
      <x:c r="D20" s="2" t="str">
        <x:v>with_video</x:v>
      </x:c>
      <x:c r="E20" s="2" t="str">
        <x:v>per_token</x:v>
      </x:c>
      <x:c r="F20" s="2" t="str">
        <x:v>CNY</x:v>
      </x:c>
      <x:c r="G20" s="24" t="n">
        <x:v>14</x:v>
      </x:c>
      <x:c r="H20" s="2" t="n">
        <x:v>1280</x:v>
      </x:c>
      <x:c r="I20" s="2" t="n">
        <x:v>720</x:v>
      </x:c>
      <x:c r="J20" s="2" t="n">
        <x:v>24</x:v>
      </x:c>
      <x:c r="K20" s="25" t="n">
        <x:f>H20*I20*J20/'参数'!$B$7</x:f>
        <x:v>21600</x:v>
      </x:c>
      <x:c r="L20" s="26" t="n">
        <x:f>G20*K20/'参数'!$B$8</x:f>
        <x:v>0.3024</x:v>
      </x:c>
      <x:c r="M20" s="26" t="n">
        <x:f>G20*'参数'!$B$6</x:f>
        <x:v>1.917808219178082</x:v>
      </x:c>
      <x:c r="N20" s="26" t="n">
        <x:f>L20*'参数'!$B$6</x:f>
        <x:v>0.041424657534246574</x:v>
      </x:c>
      <x:c r="O20" s="20" t="n">
        <x:v>46229.393565162034</x:v>
      </x:c>
      <x:c r="P20" s="20"/>
      <x:c r="Q20" s="2" t="str">
        <x:v>active</x:v>
      </x:c>
      <x:c r="R20" s="2" t="str">
        <x:v>SRC-OFFICIAL</x:v>
      </x:c>
      <x:c r="S20" s="2" t="str">
        <x:v>元/基准秒按视频像素Token公式计算</x:v>
      </x:c>
      <x:c r="T20" s="23" t="str">
        <x:f t="shared" si="0">IF(A20="","",IF(COUNTIF($A$5:$A$204,A20)&gt;1,"错误:重复售价ID",IF(OR(C20="",D20="",E20&lt;&gt;"per_token",G20&lt;=0,H20&lt;=0,I20&lt;=0,J20&lt;=0,Q20=""),"错误:必填项","OK")))</x:f>
        <x:v>OK</x:v>
      </x:c>
    </x:row>
    <x:row r="21">
      <x:c r="A21" s="2"/>
      <x:c r="B21" s="2"/>
      <x:c r="C21" s="2"/>
      <x:c r="D21" s="2"/>
      <x:c r="E21" s="2"/>
      <x:c r="F21" s="2"/>
      <x:c r="G21" s="24"/>
      <x:c r="H21" s="2"/>
      <x:c r="I21" s="2"/>
      <x:c r="J21" s="2"/>
      <x:c r="K21" s="25"/>
      <x:c r="L21" s="26"/>
      <x:c r="M21" s="26"/>
      <x:c r="N21" s="26"/>
      <x:c r="O21" s="20"/>
      <x:c r="P21" s="20"/>
      <x:c r="Q21" s="2"/>
      <x:c r="R21" s="2"/>
      <x:c r="S21" s="2"/>
      <x:c r="T21" s="23"/>
    </x:row>
    <x:row r="22">
      <x:c r="A22" s="2"/>
      <x:c r="B22" s="2"/>
      <x:c r="C22" s="2"/>
      <x:c r="D22" s="2"/>
      <x:c r="E22" s="2"/>
      <x:c r="F22" s="2"/>
      <x:c r="G22" s="24"/>
      <x:c r="H22" s="2"/>
      <x:c r="I22" s="2"/>
      <x:c r="J22" s="2"/>
      <x:c r="K22" s="25"/>
      <x:c r="L22" s="26"/>
      <x:c r="M22" s="26"/>
      <x:c r="N22" s="26"/>
      <x:c r="O22" s="20"/>
      <x:c r="P22" s="20"/>
      <x:c r="Q22" s="2"/>
      <x:c r="R22" s="2"/>
      <x:c r="S22" s="2"/>
      <x:c r="T22" s="23"/>
    </x:row>
    <x:row r="23">
      <x:c r="A23" s="2"/>
      <x:c r="B23" s="2"/>
      <x:c r="C23" s="2"/>
      <x:c r="D23" s="2"/>
      <x:c r="E23" s="2"/>
      <x:c r="F23" s="2"/>
      <x:c r="G23" s="24"/>
      <x:c r="H23" s="2"/>
      <x:c r="I23" s="2"/>
      <x:c r="J23" s="2"/>
      <x:c r="K23" s="25"/>
      <x:c r="L23" s="26"/>
      <x:c r="M23" s="26"/>
      <x:c r="N23" s="26"/>
      <x:c r="O23" s="20"/>
      <x:c r="P23" s="20"/>
      <x:c r="Q23" s="2"/>
      <x:c r="R23" s="2"/>
      <x:c r="S23" s="2"/>
      <x:c r="T23" s="23"/>
    </x:row>
    <x:row r="24">
      <x:c r="A24" s="2"/>
      <x:c r="B24" s="2"/>
      <x:c r="C24" s="2"/>
      <x:c r="D24" s="2"/>
      <x:c r="E24" s="2"/>
      <x:c r="F24" s="2"/>
      <x:c r="G24" s="24"/>
      <x:c r="H24" s="2"/>
      <x:c r="I24" s="2"/>
      <x:c r="J24" s="2"/>
      <x:c r="K24" s="25"/>
      <x:c r="L24" s="26"/>
      <x:c r="M24" s="26"/>
      <x:c r="N24" s="26"/>
      <x:c r="O24" s="20"/>
      <x:c r="P24" s="20"/>
      <x:c r="Q24" s="2"/>
      <x:c r="R24" s="2"/>
      <x:c r="S24" s="2"/>
      <x:c r="T24" s="23"/>
    </x:row>
    <x:row r="25">
      <x:c r="A25" s="2"/>
      <x:c r="B25" s="2"/>
      <x:c r="C25" s="2"/>
      <x:c r="D25" s="2"/>
      <x:c r="E25" s="2"/>
      <x:c r="F25" s="2"/>
      <x:c r="G25" s="24"/>
      <x:c r="H25" s="2"/>
      <x:c r="I25" s="2"/>
      <x:c r="J25" s="2"/>
      <x:c r="K25" s="25"/>
      <x:c r="L25" s="26"/>
      <x:c r="M25" s="26"/>
      <x:c r="N25" s="26"/>
      <x:c r="O25" s="20"/>
      <x:c r="P25" s="20"/>
      <x:c r="Q25" s="2"/>
      <x:c r="R25" s="2"/>
      <x:c r="S25" s="2"/>
      <x:c r="T25" s="23"/>
    </x:row>
    <x:row r="26">
      <x:c r="A26" s="2"/>
      <x:c r="B26" s="2"/>
      <x:c r="C26" s="2"/>
      <x:c r="D26" s="2"/>
      <x:c r="E26" s="2"/>
      <x:c r="F26" s="2"/>
      <x:c r="G26" s="24"/>
      <x:c r="H26" s="2"/>
      <x:c r="I26" s="2"/>
      <x:c r="J26" s="2"/>
      <x:c r="K26" s="25"/>
      <x:c r="L26" s="26"/>
      <x:c r="M26" s="26"/>
      <x:c r="N26" s="26"/>
      <x:c r="O26" s="20"/>
      <x:c r="P26" s="20"/>
      <x:c r="Q26" s="2"/>
      <x:c r="R26" s="2"/>
      <x:c r="S26" s="2"/>
      <x:c r="T26" s="23"/>
    </x:row>
    <x:row r="27">
      <x:c r="A27" s="2"/>
      <x:c r="B27" s="2"/>
      <x:c r="C27" s="2"/>
      <x:c r="D27" s="2"/>
      <x:c r="E27" s="2"/>
      <x:c r="F27" s="2"/>
      <x:c r="G27" s="24"/>
      <x:c r="H27" s="2"/>
      <x:c r="I27" s="2"/>
      <x:c r="J27" s="2"/>
      <x:c r="K27" s="25"/>
      <x:c r="L27" s="26"/>
      <x:c r="M27" s="26"/>
      <x:c r="N27" s="26"/>
      <x:c r="O27" s="20"/>
      <x:c r="P27" s="20"/>
      <x:c r="Q27" s="2"/>
      <x:c r="R27" s="2"/>
      <x:c r="S27" s="2"/>
      <x:c r="T27" s="23"/>
    </x:row>
    <x:row r="28">
      <x:c r="A28" s="2"/>
      <x:c r="B28" s="2"/>
      <x:c r="C28" s="2"/>
      <x:c r="D28" s="2"/>
      <x:c r="E28" s="2"/>
      <x:c r="F28" s="2"/>
      <x:c r="G28" s="24"/>
      <x:c r="H28" s="2"/>
      <x:c r="I28" s="2"/>
      <x:c r="J28" s="2"/>
      <x:c r="K28" s="25"/>
      <x:c r="L28" s="26"/>
      <x:c r="M28" s="26"/>
      <x:c r="N28" s="26"/>
      <x:c r="O28" s="20"/>
      <x:c r="P28" s="20"/>
      <x:c r="Q28" s="2"/>
      <x:c r="R28" s="2"/>
      <x:c r="S28" s="2"/>
      <x:c r="T28" s="23"/>
    </x:row>
    <x:row r="29">
      <x:c r="A29" s="2"/>
      <x:c r="B29" s="2"/>
      <x:c r="C29" s="2"/>
      <x:c r="D29" s="2"/>
      <x:c r="E29" s="2"/>
      <x:c r="F29" s="2"/>
      <x:c r="G29" s="24"/>
      <x:c r="H29" s="2"/>
      <x:c r="I29" s="2"/>
      <x:c r="J29" s="2"/>
      <x:c r="K29" s="25"/>
      <x:c r="L29" s="26"/>
      <x:c r="M29" s="26"/>
      <x:c r="N29" s="26"/>
      <x:c r="O29" s="20"/>
      <x:c r="P29" s="20"/>
      <x:c r="Q29" s="2"/>
      <x:c r="R29" s="2"/>
      <x:c r="S29" s="2"/>
      <x:c r="T29" s="23"/>
    </x:row>
    <x:row r="30">
      <x:c r="A30" s="2"/>
      <x:c r="B30" s="2"/>
      <x:c r="C30" s="2"/>
      <x:c r="D30" s="2"/>
      <x:c r="E30" s="2"/>
      <x:c r="F30" s="2"/>
      <x:c r="G30" s="24"/>
      <x:c r="H30" s="2"/>
      <x:c r="I30" s="2"/>
      <x:c r="J30" s="2"/>
      <x:c r="K30" s="25"/>
      <x:c r="L30" s="26"/>
      <x:c r="M30" s="26"/>
      <x:c r="N30" s="26"/>
      <x:c r="O30" s="20"/>
      <x:c r="P30" s="20"/>
      <x:c r="Q30" s="2"/>
      <x:c r="R30" s="2"/>
      <x:c r="S30" s="2"/>
      <x:c r="T30" s="23"/>
    </x:row>
    <x:row r="31">
      <x:c r="A31" s="2"/>
      <x:c r="B31" s="2"/>
      <x:c r="C31" s="2"/>
      <x:c r="D31" s="2"/>
      <x:c r="E31" s="2"/>
      <x:c r="F31" s="2"/>
      <x:c r="G31" s="24"/>
      <x:c r="H31" s="2"/>
      <x:c r="I31" s="2"/>
      <x:c r="J31" s="2"/>
      <x:c r="K31" s="25"/>
      <x:c r="L31" s="26"/>
      <x:c r="M31" s="26"/>
      <x:c r="N31" s="26"/>
      <x:c r="O31" s="20"/>
      <x:c r="P31" s="20"/>
      <x:c r="Q31" s="2"/>
      <x:c r="R31" s="2"/>
      <x:c r="S31" s="2"/>
      <x:c r="T31" s="23"/>
    </x:row>
    <x:row r="32">
      <x:c r="A32" s="2"/>
      <x:c r="B32" s="2"/>
      <x:c r="C32" s="2"/>
      <x:c r="D32" s="2"/>
      <x:c r="E32" s="2"/>
      <x:c r="F32" s="2"/>
      <x:c r="G32" s="24"/>
      <x:c r="H32" s="2"/>
      <x:c r="I32" s="2"/>
      <x:c r="J32" s="2"/>
      <x:c r="K32" s="25"/>
      <x:c r="L32" s="26"/>
      <x:c r="M32" s="26"/>
      <x:c r="N32" s="26"/>
      <x:c r="O32" s="20"/>
      <x:c r="P32" s="20"/>
      <x:c r="Q32" s="2"/>
      <x:c r="R32" s="2"/>
      <x:c r="S32" s="2"/>
      <x:c r="T32" s="23"/>
    </x:row>
    <x:row r="33">
      <x:c r="A33" s="2"/>
      <x:c r="B33" s="2"/>
      <x:c r="C33" s="2"/>
      <x:c r="D33" s="2"/>
      <x:c r="E33" s="2"/>
      <x:c r="F33" s="2"/>
      <x:c r="G33" s="24"/>
      <x:c r="H33" s="2"/>
      <x:c r="I33" s="2"/>
      <x:c r="J33" s="2"/>
      <x:c r="K33" s="25"/>
      <x:c r="L33" s="26"/>
      <x:c r="M33" s="26"/>
      <x:c r="N33" s="26"/>
      <x:c r="O33" s="20"/>
      <x:c r="P33" s="20"/>
      <x:c r="Q33" s="2"/>
      <x:c r="R33" s="2"/>
      <x:c r="S33" s="2"/>
      <x:c r="T33" s="23"/>
    </x:row>
    <x:row r="34">
      <x:c r="A34" s="2"/>
      <x:c r="B34" s="2"/>
      <x:c r="C34" s="2"/>
      <x:c r="D34" s="2"/>
      <x:c r="E34" s="2"/>
      <x:c r="F34" s="2"/>
      <x:c r="G34" s="24"/>
      <x:c r="H34" s="2"/>
      <x:c r="I34" s="2"/>
      <x:c r="J34" s="2"/>
      <x:c r="K34" s="25"/>
      <x:c r="L34" s="26"/>
      <x:c r="M34" s="26"/>
      <x:c r="N34" s="26"/>
      <x:c r="O34" s="20"/>
      <x:c r="P34" s="20"/>
      <x:c r="Q34" s="2"/>
      <x:c r="R34" s="2"/>
      <x:c r="S34" s="2"/>
      <x:c r="T34" s="23"/>
    </x:row>
    <x:row r="35">
      <x:c r="A35" s="2"/>
      <x:c r="B35" s="2"/>
      <x:c r="C35" s="2"/>
      <x:c r="D35" s="2"/>
      <x:c r="E35" s="2"/>
      <x:c r="F35" s="2"/>
      <x:c r="G35" s="24"/>
      <x:c r="H35" s="2"/>
      <x:c r="I35" s="2"/>
      <x:c r="J35" s="2"/>
      <x:c r="K35" s="25"/>
      <x:c r="L35" s="26"/>
      <x:c r="M35" s="26"/>
      <x:c r="N35" s="26"/>
      <x:c r="O35" s="20"/>
      <x:c r="P35" s="20"/>
      <x:c r="Q35" s="2"/>
      <x:c r="R35" s="2"/>
      <x:c r="S35" s="2"/>
      <x:c r="T35" s="23"/>
    </x:row>
    <x:row r="36">
      <x:c r="A36" s="2"/>
      <x:c r="B36" s="2"/>
      <x:c r="C36" s="2"/>
      <x:c r="D36" s="2"/>
      <x:c r="E36" s="2"/>
      <x:c r="F36" s="2"/>
      <x:c r="G36" s="24"/>
      <x:c r="H36" s="2"/>
      <x:c r="I36" s="2"/>
      <x:c r="J36" s="2"/>
      <x:c r="K36" s="25"/>
      <x:c r="L36" s="26"/>
      <x:c r="M36" s="26"/>
      <x:c r="N36" s="26"/>
      <x:c r="O36" s="20"/>
      <x:c r="P36" s="20"/>
      <x:c r="Q36" s="2"/>
      <x:c r="R36" s="2"/>
      <x:c r="S36" s="2"/>
      <x:c r="T36" s="23"/>
    </x:row>
    <x:row r="37">
      <x:c r="A37" s="2"/>
      <x:c r="B37" s="2"/>
      <x:c r="C37" s="2"/>
      <x:c r="D37" s="2"/>
      <x:c r="E37" s="2"/>
      <x:c r="F37" s="2"/>
      <x:c r="G37" s="24"/>
      <x:c r="H37" s="2"/>
      <x:c r="I37" s="2"/>
      <x:c r="J37" s="2"/>
      <x:c r="K37" s="25"/>
      <x:c r="L37" s="26"/>
      <x:c r="M37" s="26"/>
      <x:c r="N37" s="26"/>
      <x:c r="O37" s="20"/>
      <x:c r="P37" s="20"/>
      <x:c r="Q37" s="2"/>
      <x:c r="R37" s="2"/>
      <x:c r="S37" s="2"/>
      <x:c r="T37" s="23"/>
    </x:row>
    <x:row r="38">
      <x:c r="A38" s="2"/>
      <x:c r="B38" s="2"/>
      <x:c r="C38" s="2"/>
      <x:c r="D38" s="2"/>
      <x:c r="E38" s="2"/>
      <x:c r="F38" s="2"/>
      <x:c r="G38" s="24"/>
      <x:c r="H38" s="2"/>
      <x:c r="I38" s="2"/>
      <x:c r="J38" s="2"/>
      <x:c r="K38" s="25"/>
      <x:c r="L38" s="26"/>
      <x:c r="M38" s="26"/>
      <x:c r="N38" s="26"/>
      <x:c r="O38" s="20"/>
      <x:c r="P38" s="20"/>
      <x:c r="Q38" s="2"/>
      <x:c r="R38" s="2"/>
      <x:c r="S38" s="2"/>
      <x:c r="T38" s="23"/>
    </x:row>
    <x:row r="39">
      <x:c r="A39" s="2"/>
      <x:c r="B39" s="2"/>
      <x:c r="C39" s="2"/>
      <x:c r="D39" s="2"/>
      <x:c r="E39" s="2"/>
      <x:c r="F39" s="2"/>
      <x:c r="G39" s="24"/>
      <x:c r="H39" s="2"/>
      <x:c r="I39" s="2"/>
      <x:c r="J39" s="2"/>
      <x:c r="K39" s="25"/>
      <x:c r="L39" s="26"/>
      <x:c r="M39" s="26"/>
      <x:c r="N39" s="26"/>
      <x:c r="O39" s="20"/>
      <x:c r="P39" s="20"/>
      <x:c r="Q39" s="2"/>
      <x:c r="R39" s="2"/>
      <x:c r="S39" s="2"/>
      <x:c r="T39" s="23"/>
    </x:row>
    <x:row r="40">
      <x:c r="A40" s="2"/>
      <x:c r="B40" s="2"/>
      <x:c r="C40" s="2"/>
      <x:c r="D40" s="2"/>
      <x:c r="E40" s="2"/>
      <x:c r="F40" s="2"/>
      <x:c r="G40" s="24"/>
      <x:c r="H40" s="2"/>
      <x:c r="I40" s="2"/>
      <x:c r="J40" s="2"/>
      <x:c r="K40" s="25"/>
      <x:c r="L40" s="26"/>
      <x:c r="M40" s="26"/>
      <x:c r="N40" s="26"/>
      <x:c r="O40" s="20"/>
      <x:c r="P40" s="20"/>
      <x:c r="Q40" s="2"/>
      <x:c r="R40" s="2"/>
      <x:c r="S40" s="2"/>
      <x:c r="T40" s="23"/>
    </x:row>
    <x:row r="41">
      <x:c r="A41" s="2"/>
      <x:c r="B41" s="2"/>
      <x:c r="C41" s="2"/>
      <x:c r="D41" s="2"/>
      <x:c r="E41" s="2"/>
      <x:c r="F41" s="2"/>
      <x:c r="G41" s="24"/>
      <x:c r="H41" s="2"/>
      <x:c r="I41" s="2"/>
      <x:c r="J41" s="2"/>
      <x:c r="K41" s="25"/>
      <x:c r="L41" s="26"/>
      <x:c r="M41" s="26"/>
      <x:c r="N41" s="26"/>
      <x:c r="O41" s="20"/>
      <x:c r="P41" s="20"/>
      <x:c r="Q41" s="2"/>
      <x:c r="R41" s="2"/>
      <x:c r="S41" s="2"/>
      <x:c r="T41" s="23"/>
    </x:row>
    <x:row r="42">
      <x:c r="A42" s="2"/>
      <x:c r="B42" s="2"/>
      <x:c r="C42" s="2"/>
      <x:c r="D42" s="2"/>
      <x:c r="E42" s="2"/>
      <x:c r="F42" s="2"/>
      <x:c r="G42" s="24"/>
      <x:c r="H42" s="2"/>
      <x:c r="I42" s="2"/>
      <x:c r="J42" s="2"/>
      <x:c r="K42" s="25"/>
      <x:c r="L42" s="26"/>
      <x:c r="M42" s="26"/>
      <x:c r="N42" s="26"/>
      <x:c r="O42" s="20"/>
      <x:c r="P42" s="20"/>
      <x:c r="Q42" s="2"/>
      <x:c r="R42" s="2"/>
      <x:c r="S42" s="2"/>
      <x:c r="T42" s="23"/>
    </x:row>
    <x:row r="43">
      <x:c r="A43" s="2"/>
      <x:c r="B43" s="2"/>
      <x:c r="C43" s="2"/>
      <x:c r="D43" s="2"/>
      <x:c r="E43" s="2"/>
      <x:c r="F43" s="2"/>
      <x:c r="G43" s="24"/>
      <x:c r="H43" s="2"/>
      <x:c r="I43" s="2"/>
      <x:c r="J43" s="2"/>
      <x:c r="K43" s="25"/>
      <x:c r="L43" s="26"/>
      <x:c r="M43" s="26"/>
      <x:c r="N43" s="26"/>
      <x:c r="O43" s="20"/>
      <x:c r="P43" s="20"/>
      <x:c r="Q43" s="2"/>
      <x:c r="R43" s="2"/>
      <x:c r="S43" s="2"/>
      <x:c r="T43" s="23"/>
    </x:row>
    <x:row r="44">
      <x:c r="A44" s="2"/>
      <x:c r="B44" s="2"/>
      <x:c r="C44" s="2"/>
      <x:c r="D44" s="2"/>
      <x:c r="E44" s="2"/>
      <x:c r="F44" s="2"/>
      <x:c r="G44" s="24"/>
      <x:c r="H44" s="2"/>
      <x:c r="I44" s="2"/>
      <x:c r="J44" s="2"/>
      <x:c r="K44" s="25"/>
      <x:c r="L44" s="26"/>
      <x:c r="M44" s="26"/>
      <x:c r="N44" s="26"/>
      <x:c r="O44" s="20"/>
      <x:c r="P44" s="20"/>
      <x:c r="Q44" s="2"/>
      <x:c r="R44" s="2"/>
      <x:c r="S44" s="2"/>
      <x:c r="T44" s="23"/>
    </x:row>
    <x:row r="45">
      <x:c r="A45" s="2"/>
      <x:c r="B45" s="2"/>
      <x:c r="C45" s="2"/>
      <x:c r="D45" s="2"/>
      <x:c r="E45" s="2"/>
      <x:c r="F45" s="2"/>
      <x:c r="G45" s="24"/>
      <x:c r="H45" s="2"/>
      <x:c r="I45" s="2"/>
      <x:c r="J45" s="2"/>
      <x:c r="K45" s="25"/>
      <x:c r="L45" s="26"/>
      <x:c r="M45" s="26"/>
      <x:c r="N45" s="26"/>
      <x:c r="O45" s="20"/>
      <x:c r="P45" s="20"/>
      <x:c r="Q45" s="2"/>
      <x:c r="R45" s="2"/>
      <x:c r="S45" s="2"/>
      <x:c r="T45" s="23"/>
    </x:row>
    <x:row r="46">
      <x:c r="A46" s="2"/>
      <x:c r="B46" s="2"/>
      <x:c r="C46" s="2"/>
      <x:c r="D46" s="2"/>
      <x:c r="E46" s="2"/>
      <x:c r="F46" s="2"/>
      <x:c r="G46" s="24"/>
      <x:c r="H46" s="2"/>
      <x:c r="I46" s="2"/>
      <x:c r="J46" s="2"/>
      <x:c r="K46" s="25"/>
      <x:c r="L46" s="26"/>
      <x:c r="M46" s="26"/>
      <x:c r="N46" s="26"/>
      <x:c r="O46" s="20"/>
      <x:c r="P46" s="20"/>
      <x:c r="Q46" s="2"/>
      <x:c r="R46" s="2"/>
      <x:c r="S46" s="2"/>
      <x:c r="T46" s="23"/>
    </x:row>
    <x:row r="47">
      <x:c r="A47" s="2"/>
      <x:c r="B47" s="2"/>
      <x:c r="C47" s="2"/>
      <x:c r="D47" s="2"/>
      <x:c r="E47" s="2"/>
      <x:c r="F47" s="2"/>
      <x:c r="G47" s="24"/>
      <x:c r="H47" s="2"/>
      <x:c r="I47" s="2"/>
      <x:c r="J47" s="2"/>
      <x:c r="K47" s="25"/>
      <x:c r="L47" s="26"/>
      <x:c r="M47" s="26"/>
      <x:c r="N47" s="26"/>
      <x:c r="O47" s="20"/>
      <x:c r="P47" s="20"/>
      <x:c r="Q47" s="2"/>
      <x:c r="R47" s="2"/>
      <x:c r="S47" s="2"/>
      <x:c r="T47" s="23"/>
    </x:row>
    <x:row r="48">
      <x:c r="A48" s="2"/>
      <x:c r="B48" s="2"/>
      <x:c r="C48" s="2"/>
      <x:c r="D48" s="2"/>
      <x:c r="E48" s="2"/>
      <x:c r="F48" s="2"/>
      <x:c r="G48" s="24"/>
      <x:c r="H48" s="2"/>
      <x:c r="I48" s="2"/>
      <x:c r="J48" s="2"/>
      <x:c r="K48" s="25"/>
      <x:c r="L48" s="26"/>
      <x:c r="M48" s="26"/>
      <x:c r="N48" s="26"/>
      <x:c r="O48" s="20"/>
      <x:c r="P48" s="20"/>
      <x:c r="Q48" s="2"/>
      <x:c r="R48" s="2"/>
      <x:c r="S48" s="2"/>
      <x:c r="T48" s="23"/>
    </x:row>
    <x:row r="49">
      <x:c r="A49" s="2"/>
      <x:c r="B49" s="2"/>
      <x:c r="C49" s="2"/>
      <x:c r="D49" s="2"/>
      <x:c r="E49" s="2"/>
      <x:c r="F49" s="2"/>
      <x:c r="G49" s="24"/>
      <x:c r="H49" s="2"/>
      <x:c r="I49" s="2"/>
      <x:c r="J49" s="2"/>
      <x:c r="K49" s="25"/>
      <x:c r="L49" s="26"/>
      <x:c r="M49" s="26"/>
      <x:c r="N49" s="26"/>
      <x:c r="O49" s="20"/>
      <x:c r="P49" s="20"/>
      <x:c r="Q49" s="2"/>
      <x:c r="R49" s="2"/>
      <x:c r="S49" s="2"/>
      <x:c r="T49" s="23"/>
    </x:row>
    <x:row r="50">
      <x:c r="A50" s="2"/>
      <x:c r="B50" s="2"/>
      <x:c r="C50" s="2"/>
      <x:c r="D50" s="2"/>
      <x:c r="E50" s="2"/>
      <x:c r="F50" s="2"/>
      <x:c r="G50" s="24"/>
      <x:c r="H50" s="2"/>
      <x:c r="I50" s="2"/>
      <x:c r="J50" s="2"/>
      <x:c r="K50" s="25"/>
      <x:c r="L50" s="26"/>
      <x:c r="M50" s="26"/>
      <x:c r="N50" s="26"/>
      <x:c r="O50" s="20"/>
      <x:c r="P50" s="20"/>
      <x:c r="Q50" s="2"/>
      <x:c r="R50" s="2"/>
      <x:c r="S50" s="2"/>
      <x:c r="T50" s="23"/>
    </x:row>
    <x:row r="51">
      <x:c r="A51" s="2"/>
      <x:c r="B51" s="2"/>
      <x:c r="C51" s="2"/>
      <x:c r="D51" s="2"/>
      <x:c r="E51" s="2"/>
      <x:c r="F51" s="2"/>
      <x:c r="G51" s="24"/>
      <x:c r="H51" s="2"/>
      <x:c r="I51" s="2"/>
      <x:c r="J51" s="2"/>
      <x:c r="K51" s="25"/>
      <x:c r="L51" s="26"/>
      <x:c r="M51" s="26"/>
      <x:c r="N51" s="26"/>
      <x:c r="O51" s="20"/>
      <x:c r="P51" s="20"/>
      <x:c r="Q51" s="2"/>
      <x:c r="R51" s="2"/>
      <x:c r="S51" s="2"/>
      <x:c r="T51" s="23"/>
    </x:row>
    <x:row r="52">
      <x:c r="A52" s="2"/>
      <x:c r="B52" s="2"/>
      <x:c r="C52" s="2"/>
      <x:c r="D52" s="2"/>
      <x:c r="E52" s="2"/>
      <x:c r="F52" s="2"/>
      <x:c r="G52" s="24"/>
      <x:c r="H52" s="2"/>
      <x:c r="I52" s="2"/>
      <x:c r="J52" s="2"/>
      <x:c r="K52" s="25"/>
      <x:c r="L52" s="26"/>
      <x:c r="M52" s="26"/>
      <x:c r="N52" s="26"/>
      <x:c r="O52" s="20"/>
      <x:c r="P52" s="20"/>
      <x:c r="Q52" s="2"/>
      <x:c r="R52" s="2"/>
      <x:c r="S52" s="2"/>
      <x:c r="T52" s="23"/>
    </x:row>
    <x:row r="53">
      <x:c r="A53" s="2"/>
      <x:c r="B53" s="2"/>
      <x:c r="C53" s="2"/>
      <x:c r="D53" s="2"/>
      <x:c r="E53" s="2"/>
      <x:c r="F53" s="2"/>
      <x:c r="G53" s="24"/>
      <x:c r="H53" s="2"/>
      <x:c r="I53" s="2"/>
      <x:c r="J53" s="2"/>
      <x:c r="K53" s="25"/>
      <x:c r="L53" s="26"/>
      <x:c r="M53" s="26"/>
      <x:c r="N53" s="26"/>
      <x:c r="O53" s="20"/>
      <x:c r="P53" s="20"/>
      <x:c r="Q53" s="2"/>
      <x:c r="R53" s="2"/>
      <x:c r="S53" s="2"/>
      <x:c r="T53" s="23"/>
    </x:row>
    <x:row r="54">
      <x:c r="A54" s="2"/>
      <x:c r="B54" s="2"/>
      <x:c r="C54" s="2"/>
      <x:c r="D54" s="2"/>
      <x:c r="E54" s="2"/>
      <x:c r="F54" s="2"/>
      <x:c r="G54" s="24"/>
      <x:c r="H54" s="2"/>
      <x:c r="I54" s="2"/>
      <x:c r="J54" s="2"/>
      <x:c r="K54" s="25"/>
      <x:c r="L54" s="26"/>
      <x:c r="M54" s="26"/>
      <x:c r="N54" s="26"/>
      <x:c r="O54" s="20"/>
      <x:c r="P54" s="20"/>
      <x:c r="Q54" s="2"/>
      <x:c r="R54" s="2"/>
      <x:c r="S54" s="2"/>
      <x:c r="T54" s="23"/>
    </x:row>
    <x:row r="55">
      <x:c r="A55" s="2"/>
      <x:c r="B55" s="2"/>
      <x:c r="C55" s="2"/>
      <x:c r="D55" s="2"/>
      <x:c r="E55" s="2"/>
      <x:c r="F55" s="2"/>
      <x:c r="G55" s="24"/>
      <x:c r="H55" s="2"/>
      <x:c r="I55" s="2"/>
      <x:c r="J55" s="2"/>
      <x:c r="K55" s="25"/>
      <x:c r="L55" s="26"/>
      <x:c r="M55" s="26"/>
      <x:c r="N55" s="26"/>
      <x:c r="O55" s="20"/>
      <x:c r="P55" s="20"/>
      <x:c r="Q55" s="2"/>
      <x:c r="R55" s="2"/>
      <x:c r="S55" s="2"/>
      <x:c r="T55" s="23"/>
    </x:row>
    <x:row r="56">
      <x:c r="A56" s="2"/>
      <x:c r="B56" s="2"/>
      <x:c r="C56" s="2"/>
      <x:c r="D56" s="2"/>
      <x:c r="E56" s="2"/>
      <x:c r="F56" s="2"/>
      <x:c r="G56" s="24"/>
      <x:c r="H56" s="2"/>
      <x:c r="I56" s="2"/>
      <x:c r="J56" s="2"/>
      <x:c r="K56" s="25"/>
      <x:c r="L56" s="26"/>
      <x:c r="M56" s="26"/>
      <x:c r="N56" s="26"/>
      <x:c r="O56" s="20"/>
      <x:c r="P56" s="20"/>
      <x:c r="Q56" s="2"/>
      <x:c r="R56" s="2"/>
      <x:c r="S56" s="2"/>
      <x:c r="T56" s="23"/>
    </x:row>
    <x:row r="57">
      <x:c r="A57" s="2"/>
      <x:c r="B57" s="2"/>
      <x:c r="C57" s="2"/>
      <x:c r="D57" s="2"/>
      <x:c r="E57" s="2"/>
      <x:c r="F57" s="2"/>
      <x:c r="G57" s="24"/>
      <x:c r="H57" s="2"/>
      <x:c r="I57" s="2"/>
      <x:c r="J57" s="2"/>
      <x:c r="K57" s="25"/>
      <x:c r="L57" s="26"/>
      <x:c r="M57" s="26"/>
      <x:c r="N57" s="26"/>
      <x:c r="O57" s="20"/>
      <x:c r="P57" s="20"/>
      <x:c r="Q57" s="2"/>
      <x:c r="R57" s="2"/>
      <x:c r="S57" s="2"/>
      <x:c r="T57" s="23"/>
    </x:row>
    <x:row r="58">
      <x:c r="A58" s="2"/>
      <x:c r="B58" s="2"/>
      <x:c r="C58" s="2"/>
      <x:c r="D58" s="2"/>
      <x:c r="E58" s="2"/>
      <x:c r="F58" s="2"/>
      <x:c r="G58" s="24"/>
      <x:c r="H58" s="2"/>
      <x:c r="I58" s="2"/>
      <x:c r="J58" s="2"/>
      <x:c r="K58" s="25"/>
      <x:c r="L58" s="26"/>
      <x:c r="M58" s="26"/>
      <x:c r="N58" s="26"/>
      <x:c r="O58" s="20"/>
      <x:c r="P58" s="20"/>
      <x:c r="Q58" s="2"/>
      <x:c r="R58" s="2"/>
      <x:c r="S58" s="2"/>
      <x:c r="T58" s="23"/>
    </x:row>
    <x:row r="59">
      <x:c r="A59" s="2"/>
      <x:c r="B59" s="2"/>
      <x:c r="C59" s="2"/>
      <x:c r="D59" s="2"/>
      <x:c r="E59" s="2"/>
      <x:c r="F59" s="2"/>
      <x:c r="G59" s="24"/>
      <x:c r="H59" s="2"/>
      <x:c r="I59" s="2"/>
      <x:c r="J59" s="2"/>
      <x:c r="K59" s="25"/>
      <x:c r="L59" s="26"/>
      <x:c r="M59" s="26"/>
      <x:c r="N59" s="26"/>
      <x:c r="O59" s="20"/>
      <x:c r="P59" s="20"/>
      <x:c r="Q59" s="2"/>
      <x:c r="R59" s="2"/>
      <x:c r="S59" s="2"/>
      <x:c r="T59" s="23"/>
    </x:row>
    <x:row r="60">
      <x:c r="A60" s="2"/>
      <x:c r="B60" s="2"/>
      <x:c r="C60" s="2"/>
      <x:c r="D60" s="2"/>
      <x:c r="E60" s="2"/>
      <x:c r="F60" s="2"/>
      <x:c r="G60" s="24"/>
      <x:c r="H60" s="2"/>
      <x:c r="I60" s="2"/>
      <x:c r="J60" s="2"/>
      <x:c r="K60" s="25"/>
      <x:c r="L60" s="26"/>
      <x:c r="M60" s="26"/>
      <x:c r="N60" s="26"/>
      <x:c r="O60" s="20"/>
      <x:c r="P60" s="20"/>
      <x:c r="Q60" s="2"/>
      <x:c r="R60" s="2"/>
      <x:c r="S60" s="2"/>
      <x:c r="T60" s="23"/>
    </x:row>
    <x:row r="61">
      <x:c r="A61" s="2"/>
      <x:c r="B61" s="2"/>
      <x:c r="C61" s="2"/>
      <x:c r="D61" s="2"/>
      <x:c r="E61" s="2"/>
      <x:c r="F61" s="2"/>
      <x:c r="G61" s="24"/>
      <x:c r="H61" s="2"/>
      <x:c r="I61" s="2"/>
      <x:c r="J61" s="2"/>
      <x:c r="K61" s="25"/>
      <x:c r="L61" s="26"/>
      <x:c r="M61" s="26"/>
      <x:c r="N61" s="26"/>
      <x:c r="O61" s="20"/>
      <x:c r="P61" s="20"/>
      <x:c r="Q61" s="2"/>
      <x:c r="R61" s="2"/>
      <x:c r="S61" s="2"/>
      <x:c r="T61" s="23"/>
    </x:row>
    <x:row r="62">
      <x:c r="A62" s="2"/>
      <x:c r="B62" s="2"/>
      <x:c r="C62" s="2"/>
      <x:c r="D62" s="2"/>
      <x:c r="E62" s="2"/>
      <x:c r="F62" s="2"/>
      <x:c r="G62" s="24"/>
      <x:c r="H62" s="2"/>
      <x:c r="I62" s="2"/>
      <x:c r="J62" s="2"/>
      <x:c r="K62" s="25"/>
      <x:c r="L62" s="26"/>
      <x:c r="M62" s="26"/>
      <x:c r="N62" s="26"/>
      <x:c r="O62" s="20"/>
      <x:c r="P62" s="20"/>
      <x:c r="Q62" s="2"/>
      <x:c r="R62" s="2"/>
      <x:c r="S62" s="2"/>
      <x:c r="T62" s="23"/>
    </x:row>
    <x:row r="63">
      <x:c r="A63" s="2"/>
      <x:c r="B63" s="2"/>
      <x:c r="C63" s="2"/>
      <x:c r="D63" s="2"/>
      <x:c r="E63" s="2"/>
      <x:c r="F63" s="2"/>
      <x:c r="G63" s="24"/>
      <x:c r="H63" s="2"/>
      <x:c r="I63" s="2"/>
      <x:c r="J63" s="2"/>
      <x:c r="K63" s="25"/>
      <x:c r="L63" s="26"/>
      <x:c r="M63" s="26"/>
      <x:c r="N63" s="26"/>
      <x:c r="O63" s="20"/>
      <x:c r="P63" s="20"/>
      <x:c r="Q63" s="2"/>
      <x:c r="R63" s="2"/>
      <x:c r="S63" s="2"/>
      <x:c r="T63" s="23"/>
    </x:row>
    <x:row r="64">
      <x:c r="A64" s="2"/>
      <x:c r="B64" s="2"/>
      <x:c r="C64" s="2"/>
      <x:c r="D64" s="2"/>
      <x:c r="E64" s="2"/>
      <x:c r="F64" s="2"/>
      <x:c r="G64" s="24"/>
      <x:c r="H64" s="2"/>
      <x:c r="I64" s="2"/>
      <x:c r="J64" s="2"/>
      <x:c r="K64" s="25"/>
      <x:c r="L64" s="26"/>
      <x:c r="M64" s="26"/>
      <x:c r="N64" s="26"/>
      <x:c r="O64" s="20"/>
      <x:c r="P64" s="20"/>
      <x:c r="Q64" s="2"/>
      <x:c r="R64" s="2"/>
      <x:c r="S64" s="2"/>
      <x:c r="T64" s="23"/>
    </x:row>
    <x:row r="65">
      <x:c r="A65" s="2"/>
      <x:c r="B65" s="2"/>
      <x:c r="C65" s="2"/>
      <x:c r="D65" s="2"/>
      <x:c r="E65" s="2"/>
      <x:c r="F65" s="2"/>
      <x:c r="G65" s="24"/>
      <x:c r="H65" s="2"/>
      <x:c r="I65" s="2"/>
      <x:c r="J65" s="2"/>
      <x:c r="K65" s="25"/>
      <x:c r="L65" s="26"/>
      <x:c r="M65" s="26"/>
      <x:c r="N65" s="26"/>
      <x:c r="O65" s="20"/>
      <x:c r="P65" s="20"/>
      <x:c r="Q65" s="2"/>
      <x:c r="R65" s="2"/>
      <x:c r="S65" s="2"/>
      <x:c r="T65" s="23"/>
    </x:row>
    <x:row r="66">
      <x:c r="A66" s="2"/>
      <x:c r="B66" s="2"/>
      <x:c r="C66" s="2"/>
      <x:c r="D66" s="2"/>
      <x:c r="E66" s="2"/>
      <x:c r="F66" s="2"/>
      <x:c r="G66" s="24"/>
      <x:c r="H66" s="2"/>
      <x:c r="I66" s="2"/>
      <x:c r="J66" s="2"/>
      <x:c r="K66" s="25"/>
      <x:c r="L66" s="26"/>
      <x:c r="M66" s="26"/>
      <x:c r="N66" s="26"/>
      <x:c r="O66" s="20"/>
      <x:c r="P66" s="20"/>
      <x:c r="Q66" s="2"/>
      <x:c r="R66" s="2"/>
      <x:c r="S66" s="2"/>
      <x:c r="T66" s="23"/>
    </x:row>
    <x:row r="67">
      <x:c r="A67" s="2"/>
      <x:c r="B67" s="2"/>
      <x:c r="C67" s="2"/>
      <x:c r="D67" s="2"/>
      <x:c r="E67" s="2"/>
      <x:c r="F67" s="2"/>
      <x:c r="G67" s="24"/>
      <x:c r="H67" s="2"/>
      <x:c r="I67" s="2"/>
      <x:c r="J67" s="2"/>
      <x:c r="K67" s="25"/>
      <x:c r="L67" s="26"/>
      <x:c r="M67" s="26"/>
      <x:c r="N67" s="26"/>
      <x:c r="O67" s="20"/>
      <x:c r="P67" s="20"/>
      <x:c r="Q67" s="2"/>
      <x:c r="R67" s="2"/>
      <x:c r="S67" s="2"/>
      <x:c r="T67" s="23"/>
    </x:row>
    <x:row r="68">
      <x:c r="A68" s="2"/>
      <x:c r="B68" s="2"/>
      <x:c r="C68" s="2"/>
      <x:c r="D68" s="2"/>
      <x:c r="E68" s="2"/>
      <x:c r="F68" s="2"/>
      <x:c r="G68" s="24"/>
      <x:c r="H68" s="2"/>
      <x:c r="I68" s="2"/>
      <x:c r="J68" s="2"/>
      <x:c r="K68" s="25"/>
      <x:c r="L68" s="26"/>
      <x:c r="M68" s="26"/>
      <x:c r="N68" s="26"/>
      <x:c r="O68" s="20"/>
      <x:c r="P68" s="20"/>
      <x:c r="Q68" s="2"/>
      <x:c r="R68" s="2"/>
      <x:c r="S68" s="2"/>
      <x:c r="T68" s="23"/>
    </x:row>
    <x:row r="69">
      <x:c r="A69" s="2"/>
      <x:c r="B69" s="2"/>
      <x:c r="C69" s="2"/>
      <x:c r="D69" s="2"/>
      <x:c r="E69" s="2"/>
      <x:c r="F69" s="2"/>
      <x:c r="G69" s="24"/>
      <x:c r="H69" s="2"/>
      <x:c r="I69" s="2"/>
      <x:c r="J69" s="2"/>
      <x:c r="K69" s="25"/>
      <x:c r="L69" s="26"/>
      <x:c r="M69" s="26"/>
      <x:c r="N69" s="26"/>
      <x:c r="O69" s="20"/>
      <x:c r="P69" s="20"/>
      <x:c r="Q69" s="2"/>
      <x:c r="R69" s="2"/>
      <x:c r="S69" s="2"/>
      <x:c r="T69" s="23"/>
    </x:row>
    <x:row r="70">
      <x:c r="A70" s="2"/>
      <x:c r="B70" s="2"/>
      <x:c r="C70" s="2"/>
      <x:c r="D70" s="2"/>
      <x:c r="E70" s="2"/>
      <x:c r="F70" s="2"/>
      <x:c r="G70" s="24"/>
      <x:c r="H70" s="2"/>
      <x:c r="I70" s="2"/>
      <x:c r="J70" s="2"/>
      <x:c r="K70" s="25"/>
      <x:c r="L70" s="26"/>
      <x:c r="M70" s="26"/>
      <x:c r="N70" s="26"/>
      <x:c r="O70" s="20"/>
      <x:c r="P70" s="20"/>
      <x:c r="Q70" s="2"/>
      <x:c r="R70" s="2"/>
      <x:c r="S70" s="2"/>
      <x:c r="T70" s="23"/>
    </x:row>
    <x:row r="71">
      <x:c r="A71" s="2"/>
      <x:c r="B71" s="2"/>
      <x:c r="C71" s="2"/>
      <x:c r="D71" s="2"/>
      <x:c r="E71" s="2"/>
      <x:c r="F71" s="2"/>
      <x:c r="G71" s="24"/>
      <x:c r="H71" s="2"/>
      <x:c r="I71" s="2"/>
      <x:c r="J71" s="2"/>
      <x:c r="K71" s="25"/>
      <x:c r="L71" s="26"/>
      <x:c r="M71" s="26"/>
      <x:c r="N71" s="26"/>
      <x:c r="O71" s="20"/>
      <x:c r="P71" s="20"/>
      <x:c r="Q71" s="2"/>
      <x:c r="R71" s="2"/>
      <x:c r="S71" s="2"/>
      <x:c r="T71" s="23"/>
    </x:row>
    <x:row r="72">
      <x:c r="A72" s="2"/>
      <x:c r="B72" s="2"/>
      <x:c r="C72" s="2"/>
      <x:c r="D72" s="2"/>
      <x:c r="E72" s="2"/>
      <x:c r="F72" s="2"/>
      <x:c r="G72" s="24"/>
      <x:c r="H72" s="2"/>
      <x:c r="I72" s="2"/>
      <x:c r="J72" s="2"/>
      <x:c r="K72" s="25"/>
      <x:c r="L72" s="26"/>
      <x:c r="M72" s="26"/>
      <x:c r="N72" s="26"/>
      <x:c r="O72" s="20"/>
      <x:c r="P72" s="20"/>
      <x:c r="Q72" s="2"/>
      <x:c r="R72" s="2"/>
      <x:c r="S72" s="2"/>
      <x:c r="T72" s="23"/>
    </x:row>
    <x:row r="73">
      <x:c r="A73" s="2"/>
      <x:c r="B73" s="2"/>
      <x:c r="C73" s="2"/>
      <x:c r="D73" s="2"/>
      <x:c r="E73" s="2"/>
      <x:c r="F73" s="2"/>
      <x:c r="G73" s="24"/>
      <x:c r="H73" s="2"/>
      <x:c r="I73" s="2"/>
      <x:c r="J73" s="2"/>
      <x:c r="K73" s="25"/>
      <x:c r="L73" s="26"/>
      <x:c r="M73" s="26"/>
      <x:c r="N73" s="26"/>
      <x:c r="O73" s="20"/>
      <x:c r="P73" s="20"/>
      <x:c r="Q73" s="2"/>
      <x:c r="R73" s="2"/>
      <x:c r="S73" s="2"/>
      <x:c r="T73" s="23"/>
    </x:row>
    <x:row r="74">
      <x:c r="A74" s="2"/>
      <x:c r="B74" s="2"/>
      <x:c r="C74" s="2"/>
      <x:c r="D74" s="2"/>
      <x:c r="E74" s="2"/>
      <x:c r="F74" s="2"/>
      <x:c r="G74" s="24"/>
      <x:c r="H74" s="2"/>
      <x:c r="I74" s="2"/>
      <x:c r="J74" s="2"/>
      <x:c r="K74" s="25"/>
      <x:c r="L74" s="26"/>
      <x:c r="M74" s="26"/>
      <x:c r="N74" s="26"/>
      <x:c r="O74" s="20"/>
      <x:c r="P74" s="20"/>
      <x:c r="Q74" s="2"/>
      <x:c r="R74" s="2"/>
      <x:c r="S74" s="2"/>
      <x:c r="T74" s="23"/>
    </x:row>
    <x:row r="75">
      <x:c r="A75" s="2"/>
      <x:c r="B75" s="2"/>
      <x:c r="C75" s="2"/>
      <x:c r="D75" s="2"/>
      <x:c r="E75" s="2"/>
      <x:c r="F75" s="2"/>
      <x:c r="G75" s="24"/>
      <x:c r="H75" s="2"/>
      <x:c r="I75" s="2"/>
      <x:c r="J75" s="2"/>
      <x:c r="K75" s="25"/>
      <x:c r="L75" s="26"/>
      <x:c r="M75" s="26"/>
      <x:c r="N75" s="26"/>
      <x:c r="O75" s="20"/>
      <x:c r="P75" s="20"/>
      <x:c r="Q75" s="2"/>
      <x:c r="R75" s="2"/>
      <x:c r="S75" s="2"/>
      <x:c r="T75" s="23"/>
    </x:row>
    <x:row r="76">
      <x:c r="A76" s="2"/>
      <x:c r="B76" s="2"/>
      <x:c r="C76" s="2"/>
      <x:c r="D76" s="2"/>
      <x:c r="E76" s="2"/>
      <x:c r="F76" s="2"/>
      <x:c r="G76" s="24"/>
      <x:c r="H76" s="2"/>
      <x:c r="I76" s="2"/>
      <x:c r="J76" s="2"/>
      <x:c r="K76" s="25"/>
      <x:c r="L76" s="26"/>
      <x:c r="M76" s="26"/>
      <x:c r="N76" s="26"/>
      <x:c r="O76" s="20"/>
      <x:c r="P76" s="20"/>
      <x:c r="Q76" s="2"/>
      <x:c r="R76" s="2"/>
      <x:c r="S76" s="2"/>
      <x:c r="T76" s="23"/>
    </x:row>
    <x:row r="77">
      <x:c r="A77" s="2"/>
      <x:c r="B77" s="2"/>
      <x:c r="C77" s="2"/>
      <x:c r="D77" s="2"/>
      <x:c r="E77" s="2"/>
      <x:c r="F77" s="2"/>
      <x:c r="G77" s="24"/>
      <x:c r="H77" s="2"/>
      <x:c r="I77" s="2"/>
      <x:c r="J77" s="2"/>
      <x:c r="K77" s="25"/>
      <x:c r="L77" s="26"/>
      <x:c r="M77" s="26"/>
      <x:c r="N77" s="26"/>
      <x:c r="O77" s="20"/>
      <x:c r="P77" s="20"/>
      <x:c r="Q77" s="2"/>
      <x:c r="R77" s="2"/>
      <x:c r="S77" s="2"/>
      <x:c r="T77" s="23"/>
    </x:row>
    <x:row r="78">
      <x:c r="A78" s="2"/>
      <x:c r="B78" s="2"/>
      <x:c r="C78" s="2"/>
      <x:c r="D78" s="2"/>
      <x:c r="E78" s="2"/>
      <x:c r="F78" s="2"/>
      <x:c r="G78" s="24"/>
      <x:c r="H78" s="2"/>
      <x:c r="I78" s="2"/>
      <x:c r="J78" s="2"/>
      <x:c r="K78" s="25"/>
      <x:c r="L78" s="26"/>
      <x:c r="M78" s="26"/>
      <x:c r="N78" s="26"/>
      <x:c r="O78" s="20"/>
      <x:c r="P78" s="20"/>
      <x:c r="Q78" s="2"/>
      <x:c r="R78" s="2"/>
      <x:c r="S78" s="2"/>
      <x:c r="T78" s="23"/>
    </x:row>
    <x:row r="79">
      <x:c r="A79" s="2"/>
      <x:c r="B79" s="2"/>
      <x:c r="C79" s="2"/>
      <x:c r="D79" s="2"/>
      <x:c r="E79" s="2"/>
      <x:c r="F79" s="2"/>
      <x:c r="G79" s="24"/>
      <x:c r="H79" s="2"/>
      <x:c r="I79" s="2"/>
      <x:c r="J79" s="2"/>
      <x:c r="K79" s="25"/>
      <x:c r="L79" s="26"/>
      <x:c r="M79" s="26"/>
      <x:c r="N79" s="26"/>
      <x:c r="O79" s="20"/>
      <x:c r="P79" s="20"/>
      <x:c r="Q79" s="2"/>
      <x:c r="R79" s="2"/>
      <x:c r="S79" s="2"/>
      <x:c r="T79" s="23"/>
    </x:row>
    <x:row r="80">
      <x:c r="A80" s="2"/>
      <x:c r="B80" s="2"/>
      <x:c r="C80" s="2"/>
      <x:c r="D80" s="2"/>
      <x:c r="E80" s="2"/>
      <x:c r="F80" s="2"/>
      <x:c r="G80" s="24"/>
      <x:c r="H80" s="2"/>
      <x:c r="I80" s="2"/>
      <x:c r="J80" s="2"/>
      <x:c r="K80" s="25"/>
      <x:c r="L80" s="26"/>
      <x:c r="M80" s="26"/>
      <x:c r="N80" s="26"/>
      <x:c r="O80" s="20"/>
      <x:c r="P80" s="20"/>
      <x:c r="Q80" s="2"/>
      <x:c r="R80" s="2"/>
      <x:c r="S80" s="2"/>
      <x:c r="T80" s="23"/>
    </x:row>
    <x:row r="81">
      <x:c r="A81" s="2"/>
      <x:c r="B81" s="2"/>
      <x:c r="C81" s="2"/>
      <x:c r="D81" s="2"/>
      <x:c r="E81" s="2"/>
      <x:c r="F81" s="2"/>
      <x:c r="G81" s="24"/>
      <x:c r="H81" s="2"/>
      <x:c r="I81" s="2"/>
      <x:c r="J81" s="2"/>
      <x:c r="K81" s="25"/>
      <x:c r="L81" s="26"/>
      <x:c r="M81" s="26"/>
      <x:c r="N81" s="26"/>
      <x:c r="O81" s="20"/>
      <x:c r="P81" s="20"/>
      <x:c r="Q81" s="2"/>
      <x:c r="R81" s="2"/>
      <x:c r="S81" s="2"/>
      <x:c r="T81" s="23"/>
    </x:row>
    <x:row r="82">
      <x:c r="A82" s="2"/>
      <x:c r="B82" s="2"/>
      <x:c r="C82" s="2"/>
      <x:c r="D82" s="2"/>
      <x:c r="E82" s="2"/>
      <x:c r="F82" s="2"/>
      <x:c r="G82" s="24"/>
      <x:c r="H82" s="2"/>
      <x:c r="I82" s="2"/>
      <x:c r="J82" s="2"/>
      <x:c r="K82" s="25"/>
      <x:c r="L82" s="26"/>
      <x:c r="M82" s="26"/>
      <x:c r="N82" s="26"/>
      <x:c r="O82" s="20"/>
      <x:c r="P82" s="20"/>
      <x:c r="Q82" s="2"/>
      <x:c r="R82" s="2"/>
      <x:c r="S82" s="2"/>
      <x:c r="T82" s="23"/>
    </x:row>
    <x:row r="83">
      <x:c r="A83" s="2"/>
      <x:c r="B83" s="2"/>
      <x:c r="C83" s="2"/>
      <x:c r="D83" s="2"/>
      <x:c r="E83" s="2"/>
      <x:c r="F83" s="2"/>
      <x:c r="G83" s="24"/>
      <x:c r="H83" s="2"/>
      <x:c r="I83" s="2"/>
      <x:c r="J83" s="2"/>
      <x:c r="K83" s="25"/>
      <x:c r="L83" s="26"/>
      <x:c r="M83" s="26"/>
      <x:c r="N83" s="26"/>
      <x:c r="O83" s="20"/>
      <x:c r="P83" s="20"/>
      <x:c r="Q83" s="2"/>
      <x:c r="R83" s="2"/>
      <x:c r="S83" s="2"/>
      <x:c r="T83" s="23"/>
    </x:row>
    <x:row r="84">
      <x:c r="A84" s="2"/>
      <x:c r="B84" s="2"/>
      <x:c r="C84" s="2"/>
      <x:c r="D84" s="2"/>
      <x:c r="E84" s="2"/>
      <x:c r="F84" s="2"/>
      <x:c r="G84" s="24"/>
      <x:c r="H84" s="2"/>
      <x:c r="I84" s="2"/>
      <x:c r="J84" s="2"/>
      <x:c r="K84" s="25"/>
      <x:c r="L84" s="26"/>
      <x:c r="M84" s="26"/>
      <x:c r="N84" s="26"/>
      <x:c r="O84" s="20"/>
      <x:c r="P84" s="20"/>
      <x:c r="Q84" s="2"/>
      <x:c r="R84" s="2"/>
      <x:c r="S84" s="2"/>
      <x:c r="T84" s="23"/>
    </x:row>
    <x:row r="85">
      <x:c r="A85" s="2"/>
      <x:c r="B85" s="2"/>
      <x:c r="C85" s="2"/>
      <x:c r="D85" s="2"/>
      <x:c r="E85" s="2"/>
      <x:c r="F85" s="2"/>
      <x:c r="G85" s="24"/>
      <x:c r="H85" s="2"/>
      <x:c r="I85" s="2"/>
      <x:c r="J85" s="2"/>
      <x:c r="K85" s="25"/>
      <x:c r="L85" s="26"/>
      <x:c r="M85" s="26"/>
      <x:c r="N85" s="26"/>
      <x:c r="O85" s="20"/>
      <x:c r="P85" s="20"/>
      <x:c r="Q85" s="2"/>
      <x:c r="R85" s="2"/>
      <x:c r="S85" s="2"/>
      <x:c r="T85" s="23"/>
    </x:row>
    <x:row r="86">
      <x:c r="A86" s="2"/>
      <x:c r="B86" s="2"/>
      <x:c r="C86" s="2"/>
      <x:c r="D86" s="2"/>
      <x:c r="E86" s="2"/>
      <x:c r="F86" s="2"/>
      <x:c r="G86" s="24"/>
      <x:c r="H86" s="2"/>
      <x:c r="I86" s="2"/>
      <x:c r="J86" s="2"/>
      <x:c r="K86" s="25"/>
      <x:c r="L86" s="26"/>
      <x:c r="M86" s="26"/>
      <x:c r="N86" s="26"/>
      <x:c r="O86" s="20"/>
      <x:c r="P86" s="20"/>
      <x:c r="Q86" s="2"/>
      <x:c r="R86" s="2"/>
      <x:c r="S86" s="2"/>
      <x:c r="T86" s="23"/>
    </x:row>
    <x:row r="87">
      <x:c r="A87" s="2"/>
      <x:c r="B87" s="2"/>
      <x:c r="C87" s="2"/>
      <x:c r="D87" s="2"/>
      <x:c r="E87" s="2"/>
      <x:c r="F87" s="2"/>
      <x:c r="G87" s="24"/>
      <x:c r="H87" s="2"/>
      <x:c r="I87" s="2"/>
      <x:c r="J87" s="2"/>
      <x:c r="K87" s="25"/>
      <x:c r="L87" s="26"/>
      <x:c r="M87" s="26"/>
      <x:c r="N87" s="26"/>
      <x:c r="O87" s="20"/>
      <x:c r="P87" s="20"/>
      <x:c r="Q87" s="2"/>
      <x:c r="R87" s="2"/>
      <x:c r="S87" s="2"/>
      <x:c r="T87" s="23"/>
    </x:row>
    <x:row r="88">
      <x:c r="A88" s="2"/>
      <x:c r="B88" s="2"/>
      <x:c r="C88" s="2"/>
      <x:c r="D88" s="2"/>
      <x:c r="E88" s="2"/>
      <x:c r="F88" s="2"/>
      <x:c r="G88" s="24"/>
      <x:c r="H88" s="2"/>
      <x:c r="I88" s="2"/>
      <x:c r="J88" s="2"/>
      <x:c r="K88" s="25"/>
      <x:c r="L88" s="26"/>
      <x:c r="M88" s="26"/>
      <x:c r="N88" s="26"/>
      <x:c r="O88" s="20"/>
      <x:c r="P88" s="20"/>
      <x:c r="Q88" s="2"/>
      <x:c r="R88" s="2"/>
      <x:c r="S88" s="2"/>
      <x:c r="T88" s="23"/>
    </x:row>
    <x:row r="89">
      <x:c r="A89" s="2"/>
      <x:c r="B89" s="2"/>
      <x:c r="C89" s="2"/>
      <x:c r="D89" s="2"/>
      <x:c r="E89" s="2"/>
      <x:c r="F89" s="2"/>
      <x:c r="G89" s="24"/>
      <x:c r="H89" s="2"/>
      <x:c r="I89" s="2"/>
      <x:c r="J89" s="2"/>
      <x:c r="K89" s="25"/>
      <x:c r="L89" s="26"/>
      <x:c r="M89" s="26"/>
      <x:c r="N89" s="26"/>
      <x:c r="O89" s="20"/>
      <x:c r="P89" s="20"/>
      <x:c r="Q89" s="2"/>
      <x:c r="R89" s="2"/>
      <x:c r="S89" s="2"/>
      <x:c r="T89" s="23"/>
    </x:row>
    <x:row r="90">
      <x:c r="A90" s="2"/>
      <x:c r="B90" s="2"/>
      <x:c r="C90" s="2"/>
      <x:c r="D90" s="2"/>
      <x:c r="E90" s="2"/>
      <x:c r="F90" s="2"/>
      <x:c r="G90" s="24"/>
      <x:c r="H90" s="2"/>
      <x:c r="I90" s="2"/>
      <x:c r="J90" s="2"/>
      <x:c r="K90" s="25"/>
      <x:c r="L90" s="26"/>
      <x:c r="M90" s="26"/>
      <x:c r="N90" s="26"/>
      <x:c r="O90" s="20"/>
      <x:c r="P90" s="20"/>
      <x:c r="Q90" s="2"/>
      <x:c r="R90" s="2"/>
      <x:c r="S90" s="2"/>
      <x:c r="T90" s="23"/>
    </x:row>
    <x:row r="91">
      <x:c r="A91" s="2"/>
      <x:c r="B91" s="2"/>
      <x:c r="C91" s="2"/>
      <x:c r="D91" s="2"/>
      <x:c r="E91" s="2"/>
      <x:c r="F91" s="2"/>
      <x:c r="G91" s="24"/>
      <x:c r="H91" s="2"/>
      <x:c r="I91" s="2"/>
      <x:c r="J91" s="2"/>
      <x:c r="K91" s="25"/>
      <x:c r="L91" s="26"/>
      <x:c r="M91" s="26"/>
      <x:c r="N91" s="26"/>
      <x:c r="O91" s="20"/>
      <x:c r="P91" s="20"/>
      <x:c r="Q91" s="2"/>
      <x:c r="R91" s="2"/>
      <x:c r="S91" s="2"/>
      <x:c r="T91" s="23"/>
    </x:row>
    <x:row r="92">
      <x:c r="A92" s="2"/>
      <x:c r="B92" s="2"/>
      <x:c r="C92" s="2"/>
      <x:c r="D92" s="2"/>
      <x:c r="E92" s="2"/>
      <x:c r="F92" s="2"/>
      <x:c r="G92" s="24"/>
      <x:c r="H92" s="2"/>
      <x:c r="I92" s="2"/>
      <x:c r="J92" s="2"/>
      <x:c r="K92" s="25"/>
      <x:c r="L92" s="26"/>
      <x:c r="M92" s="26"/>
      <x:c r="N92" s="26"/>
      <x:c r="O92" s="20"/>
      <x:c r="P92" s="20"/>
      <x:c r="Q92" s="2"/>
      <x:c r="R92" s="2"/>
      <x:c r="S92" s="2"/>
      <x:c r="T92" s="23"/>
    </x:row>
    <x:row r="93">
      <x:c r="A93" s="2"/>
      <x:c r="B93" s="2"/>
      <x:c r="C93" s="2"/>
      <x:c r="D93" s="2"/>
      <x:c r="E93" s="2"/>
      <x:c r="F93" s="2"/>
      <x:c r="G93" s="24"/>
      <x:c r="H93" s="2"/>
      <x:c r="I93" s="2"/>
      <x:c r="J93" s="2"/>
      <x:c r="K93" s="25"/>
      <x:c r="L93" s="26"/>
      <x:c r="M93" s="26"/>
      <x:c r="N93" s="26"/>
      <x:c r="O93" s="20"/>
      <x:c r="P93" s="20"/>
      <x:c r="Q93" s="2"/>
      <x:c r="R93" s="2"/>
      <x:c r="S93" s="2"/>
      <x:c r="T93" s="23"/>
    </x:row>
    <x:row r="94">
      <x:c r="A94" s="2"/>
      <x:c r="B94" s="2"/>
      <x:c r="C94" s="2"/>
      <x:c r="D94" s="2"/>
      <x:c r="E94" s="2"/>
      <x:c r="F94" s="2"/>
      <x:c r="G94" s="24"/>
      <x:c r="H94" s="2"/>
      <x:c r="I94" s="2"/>
      <x:c r="J94" s="2"/>
      <x:c r="K94" s="25"/>
      <x:c r="L94" s="26"/>
      <x:c r="M94" s="26"/>
      <x:c r="N94" s="26"/>
      <x:c r="O94" s="20"/>
      <x:c r="P94" s="20"/>
      <x:c r="Q94" s="2"/>
      <x:c r="R94" s="2"/>
      <x:c r="S94" s="2"/>
      <x:c r="T94" s="23"/>
    </x:row>
    <x:row r="95">
      <x:c r="A95" s="2"/>
      <x:c r="B95" s="2"/>
      <x:c r="C95" s="2"/>
      <x:c r="D95" s="2"/>
      <x:c r="E95" s="2"/>
      <x:c r="F95" s="2"/>
      <x:c r="G95" s="24"/>
      <x:c r="H95" s="2"/>
      <x:c r="I95" s="2"/>
      <x:c r="J95" s="2"/>
      <x:c r="K95" s="25"/>
      <x:c r="L95" s="26"/>
      <x:c r="M95" s="26"/>
      <x:c r="N95" s="26"/>
      <x:c r="O95" s="20"/>
      <x:c r="P95" s="20"/>
      <x:c r="Q95" s="2"/>
      <x:c r="R95" s="2"/>
      <x:c r="S95" s="2"/>
      <x:c r="T95" s="23"/>
    </x:row>
    <x:row r="96">
      <x:c r="A96" s="2"/>
      <x:c r="B96" s="2"/>
      <x:c r="C96" s="2"/>
      <x:c r="D96" s="2"/>
      <x:c r="E96" s="2"/>
      <x:c r="F96" s="2"/>
      <x:c r="G96" s="24"/>
      <x:c r="H96" s="2"/>
      <x:c r="I96" s="2"/>
      <x:c r="J96" s="2"/>
      <x:c r="K96" s="25"/>
      <x:c r="L96" s="26"/>
      <x:c r="M96" s="26"/>
      <x:c r="N96" s="26"/>
      <x:c r="O96" s="20"/>
      <x:c r="P96" s="20"/>
      <x:c r="Q96" s="2"/>
      <x:c r="R96" s="2"/>
      <x:c r="S96" s="2"/>
      <x:c r="T96" s="23"/>
    </x:row>
    <x:row r="97">
      <x:c r="A97" s="2"/>
      <x:c r="B97" s="2"/>
      <x:c r="C97" s="2"/>
      <x:c r="D97" s="2"/>
      <x:c r="E97" s="2"/>
      <x:c r="F97" s="2"/>
      <x:c r="G97" s="24"/>
      <x:c r="H97" s="2"/>
      <x:c r="I97" s="2"/>
      <x:c r="J97" s="2"/>
      <x:c r="K97" s="25"/>
      <x:c r="L97" s="26"/>
      <x:c r="M97" s="26"/>
      <x:c r="N97" s="26"/>
      <x:c r="O97" s="20"/>
      <x:c r="P97" s="20"/>
      <x:c r="Q97" s="2"/>
      <x:c r="R97" s="2"/>
      <x:c r="S97" s="2"/>
      <x:c r="T97" s="23"/>
    </x:row>
    <x:row r="98">
      <x:c r="A98" s="2"/>
      <x:c r="B98" s="2"/>
      <x:c r="C98" s="2"/>
      <x:c r="D98" s="2"/>
      <x:c r="E98" s="2"/>
      <x:c r="F98" s="2"/>
      <x:c r="G98" s="24"/>
      <x:c r="H98" s="2"/>
      <x:c r="I98" s="2"/>
      <x:c r="J98" s="2"/>
      <x:c r="K98" s="25"/>
      <x:c r="L98" s="26"/>
      <x:c r="M98" s="26"/>
      <x:c r="N98" s="26"/>
      <x:c r="O98" s="20"/>
      <x:c r="P98" s="20"/>
      <x:c r="Q98" s="2"/>
      <x:c r="R98" s="2"/>
      <x:c r="S98" s="2"/>
      <x:c r="T98" s="23"/>
    </x:row>
    <x:row r="99">
      <x:c r="A99" s="2"/>
      <x:c r="B99" s="2"/>
      <x:c r="C99" s="2"/>
      <x:c r="D99" s="2"/>
      <x:c r="E99" s="2"/>
      <x:c r="F99" s="2"/>
      <x:c r="G99" s="24"/>
      <x:c r="H99" s="2"/>
      <x:c r="I99" s="2"/>
      <x:c r="J99" s="2"/>
      <x:c r="K99" s="25"/>
      <x:c r="L99" s="26"/>
      <x:c r="M99" s="26"/>
      <x:c r="N99" s="26"/>
      <x:c r="O99" s="20"/>
      <x:c r="P99" s="20"/>
      <x:c r="Q99" s="2"/>
      <x:c r="R99" s="2"/>
      <x:c r="S99" s="2"/>
      <x:c r="T99" s="23"/>
    </x:row>
    <x:row r="100">
      <x:c r="A100" s="2"/>
      <x:c r="B100" s="2"/>
      <x:c r="C100" s="2"/>
      <x:c r="D100" s="2"/>
      <x:c r="E100" s="2"/>
      <x:c r="F100" s="2"/>
      <x:c r="G100" s="24"/>
      <x:c r="H100" s="2"/>
      <x:c r="I100" s="2"/>
      <x:c r="J100" s="2"/>
      <x:c r="K100" s="25"/>
      <x:c r="L100" s="26"/>
      <x:c r="M100" s="26"/>
      <x:c r="N100" s="26"/>
      <x:c r="O100" s="20"/>
      <x:c r="P100" s="20"/>
      <x:c r="Q100" s="2"/>
      <x:c r="R100" s="2"/>
      <x:c r="S100" s="2"/>
      <x:c r="T100" s="23"/>
    </x:row>
    <x:row r="101">
      <x:c r="A101" s="2"/>
      <x:c r="B101" s="2"/>
      <x:c r="C101" s="2"/>
      <x:c r="D101" s="2"/>
      <x:c r="E101" s="2"/>
      <x:c r="F101" s="2"/>
      <x:c r="G101" s="24"/>
      <x:c r="H101" s="2"/>
      <x:c r="I101" s="2"/>
      <x:c r="J101" s="2"/>
      <x:c r="K101" s="25"/>
      <x:c r="L101" s="26"/>
      <x:c r="M101" s="26"/>
      <x:c r="N101" s="26"/>
      <x:c r="O101" s="20"/>
      <x:c r="P101" s="20"/>
      <x:c r="Q101" s="2"/>
      <x:c r="R101" s="2"/>
      <x:c r="S101" s="2"/>
      <x:c r="T101" s="23"/>
    </x:row>
    <x:row r="102">
      <x:c r="A102" s="2"/>
      <x:c r="B102" s="2"/>
      <x:c r="C102" s="2"/>
      <x:c r="D102" s="2"/>
      <x:c r="E102" s="2"/>
      <x:c r="F102" s="2"/>
      <x:c r="G102" s="24"/>
      <x:c r="H102" s="2"/>
      <x:c r="I102" s="2"/>
      <x:c r="J102" s="2"/>
      <x:c r="K102" s="25"/>
      <x:c r="L102" s="26"/>
      <x:c r="M102" s="26"/>
      <x:c r="N102" s="26"/>
      <x:c r="O102" s="20"/>
      <x:c r="P102" s="20"/>
      <x:c r="Q102" s="2"/>
      <x:c r="R102" s="2"/>
      <x:c r="S102" s="2"/>
      <x:c r="T102" s="23"/>
    </x:row>
    <x:row r="103">
      <x:c r="A103" s="2"/>
      <x:c r="B103" s="2"/>
      <x:c r="C103" s="2"/>
      <x:c r="D103" s="2"/>
      <x:c r="E103" s="2"/>
      <x:c r="F103" s="2"/>
      <x:c r="G103" s="24"/>
      <x:c r="H103" s="2"/>
      <x:c r="I103" s="2"/>
      <x:c r="J103" s="2"/>
      <x:c r="K103" s="25"/>
      <x:c r="L103" s="26"/>
      <x:c r="M103" s="26"/>
      <x:c r="N103" s="26"/>
      <x:c r="O103" s="20"/>
      <x:c r="P103" s="20"/>
      <x:c r="Q103" s="2"/>
      <x:c r="R103" s="2"/>
      <x:c r="S103" s="2"/>
      <x:c r="T103" s="23"/>
    </x:row>
    <x:row r="104">
      <x:c r="A104" s="2"/>
      <x:c r="B104" s="2"/>
      <x:c r="C104" s="2"/>
      <x:c r="D104" s="2"/>
      <x:c r="E104" s="2"/>
      <x:c r="F104" s="2"/>
      <x:c r="G104" s="24"/>
      <x:c r="H104" s="2"/>
      <x:c r="I104" s="2"/>
      <x:c r="J104" s="2"/>
      <x:c r="K104" s="25"/>
      <x:c r="L104" s="26"/>
      <x:c r="M104" s="26"/>
      <x:c r="N104" s="26"/>
      <x:c r="O104" s="20"/>
      <x:c r="P104" s="20"/>
      <x:c r="Q104" s="2"/>
      <x:c r="R104" s="2"/>
      <x:c r="S104" s="2"/>
      <x:c r="T104" s="23"/>
    </x:row>
    <x:row r="105">
      <x:c r="A105" s="2"/>
      <x:c r="B105" s="2"/>
      <x:c r="C105" s="2"/>
      <x:c r="D105" s="2"/>
      <x:c r="E105" s="2"/>
      <x:c r="F105" s="2"/>
      <x:c r="G105" s="24"/>
      <x:c r="H105" s="2"/>
      <x:c r="I105" s="2"/>
      <x:c r="J105" s="2"/>
      <x:c r="K105" s="25"/>
      <x:c r="L105" s="26"/>
      <x:c r="M105" s="26"/>
      <x:c r="N105" s="26"/>
      <x:c r="O105" s="20"/>
      <x:c r="P105" s="20"/>
      <x:c r="Q105" s="2"/>
      <x:c r="R105" s="2"/>
      <x:c r="S105" s="2"/>
      <x:c r="T105" s="23"/>
    </x:row>
    <x:row r="106">
      <x:c r="A106" s="2"/>
      <x:c r="B106" s="2"/>
      <x:c r="C106" s="2"/>
      <x:c r="D106" s="2"/>
      <x:c r="E106" s="2"/>
      <x:c r="F106" s="2"/>
      <x:c r="G106" s="24"/>
      <x:c r="H106" s="2"/>
      <x:c r="I106" s="2"/>
      <x:c r="J106" s="2"/>
      <x:c r="K106" s="25"/>
      <x:c r="L106" s="26"/>
      <x:c r="M106" s="26"/>
      <x:c r="N106" s="26"/>
      <x:c r="O106" s="20"/>
      <x:c r="P106" s="20"/>
      <x:c r="Q106" s="2"/>
      <x:c r="R106" s="2"/>
      <x:c r="S106" s="2"/>
      <x:c r="T106" s="23"/>
    </x:row>
    <x:row r="107">
      <x:c r="A107" s="2"/>
      <x:c r="B107" s="2"/>
      <x:c r="C107" s="2"/>
      <x:c r="D107" s="2"/>
      <x:c r="E107" s="2"/>
      <x:c r="F107" s="2"/>
      <x:c r="G107" s="24"/>
      <x:c r="H107" s="2"/>
      <x:c r="I107" s="2"/>
      <x:c r="J107" s="2"/>
      <x:c r="K107" s="25"/>
      <x:c r="L107" s="26"/>
      <x:c r="M107" s="26"/>
      <x:c r="N107" s="26"/>
      <x:c r="O107" s="20"/>
      <x:c r="P107" s="20"/>
      <x:c r="Q107" s="2"/>
      <x:c r="R107" s="2"/>
      <x:c r="S107" s="2"/>
      <x:c r="T107" s="23"/>
    </x:row>
    <x:row r="108">
      <x:c r="A108" s="2"/>
      <x:c r="B108" s="2"/>
      <x:c r="C108" s="2"/>
      <x:c r="D108" s="2"/>
      <x:c r="E108" s="2"/>
      <x:c r="F108" s="2"/>
      <x:c r="G108" s="24"/>
      <x:c r="H108" s="2"/>
      <x:c r="I108" s="2"/>
      <x:c r="J108" s="2"/>
      <x:c r="K108" s="25"/>
      <x:c r="L108" s="26"/>
      <x:c r="M108" s="26"/>
      <x:c r="N108" s="26"/>
      <x:c r="O108" s="20"/>
      <x:c r="P108" s="20"/>
      <x:c r="Q108" s="2"/>
      <x:c r="R108" s="2"/>
      <x:c r="S108" s="2"/>
      <x:c r="T108" s="23"/>
    </x:row>
    <x:row r="109">
      <x:c r="A109" s="2"/>
      <x:c r="B109" s="2"/>
      <x:c r="C109" s="2"/>
      <x:c r="D109" s="2"/>
      <x:c r="E109" s="2"/>
      <x:c r="F109" s="2"/>
      <x:c r="G109" s="24"/>
      <x:c r="H109" s="2"/>
      <x:c r="I109" s="2"/>
      <x:c r="J109" s="2"/>
      <x:c r="K109" s="25"/>
      <x:c r="L109" s="26"/>
      <x:c r="M109" s="26"/>
      <x:c r="N109" s="26"/>
      <x:c r="O109" s="20"/>
      <x:c r="P109" s="20"/>
      <x:c r="Q109" s="2"/>
      <x:c r="R109" s="2"/>
      <x:c r="S109" s="2"/>
      <x:c r="T109" s="23"/>
    </x:row>
    <x:row r="110">
      <x:c r="A110" s="2"/>
      <x:c r="B110" s="2"/>
      <x:c r="C110" s="2"/>
      <x:c r="D110" s="2"/>
      <x:c r="E110" s="2"/>
      <x:c r="F110" s="2"/>
      <x:c r="G110" s="24"/>
      <x:c r="H110" s="2"/>
      <x:c r="I110" s="2"/>
      <x:c r="J110" s="2"/>
      <x:c r="K110" s="25"/>
      <x:c r="L110" s="26"/>
      <x:c r="M110" s="26"/>
      <x:c r="N110" s="26"/>
      <x:c r="O110" s="20"/>
      <x:c r="P110" s="20"/>
      <x:c r="Q110" s="2"/>
      <x:c r="R110" s="2"/>
      <x:c r="S110" s="2"/>
      <x:c r="T110" s="23"/>
    </x:row>
    <x:row r="111">
      <x:c r="A111" s="2"/>
      <x:c r="B111" s="2"/>
      <x:c r="C111" s="2"/>
      <x:c r="D111" s="2"/>
      <x:c r="E111" s="2"/>
      <x:c r="F111" s="2"/>
      <x:c r="G111" s="24"/>
      <x:c r="H111" s="2"/>
      <x:c r="I111" s="2"/>
      <x:c r="J111" s="2"/>
      <x:c r="K111" s="25"/>
      <x:c r="L111" s="26"/>
      <x:c r="M111" s="26"/>
      <x:c r="N111" s="26"/>
      <x:c r="O111" s="20"/>
      <x:c r="P111" s="20"/>
      <x:c r="Q111" s="2"/>
      <x:c r="R111" s="2"/>
      <x:c r="S111" s="2"/>
      <x:c r="T111" s="23"/>
    </x:row>
    <x:row r="112">
      <x:c r="A112" s="2"/>
      <x:c r="B112" s="2"/>
      <x:c r="C112" s="2"/>
      <x:c r="D112" s="2"/>
      <x:c r="E112" s="2"/>
      <x:c r="F112" s="2"/>
      <x:c r="G112" s="24"/>
      <x:c r="H112" s="2"/>
      <x:c r="I112" s="2"/>
      <x:c r="J112" s="2"/>
      <x:c r="K112" s="25"/>
      <x:c r="L112" s="26"/>
      <x:c r="M112" s="26"/>
      <x:c r="N112" s="26"/>
      <x:c r="O112" s="20"/>
      <x:c r="P112" s="20"/>
      <x:c r="Q112" s="2"/>
      <x:c r="R112" s="2"/>
      <x:c r="S112" s="2"/>
      <x:c r="T112" s="23"/>
    </x:row>
    <x:row r="113">
      <x:c r="A113" s="2"/>
      <x:c r="B113" s="2"/>
      <x:c r="C113" s="2"/>
      <x:c r="D113" s="2"/>
      <x:c r="E113" s="2"/>
      <x:c r="F113" s="2"/>
      <x:c r="G113" s="24"/>
      <x:c r="H113" s="2"/>
      <x:c r="I113" s="2"/>
      <x:c r="J113" s="2"/>
      <x:c r="K113" s="25"/>
      <x:c r="L113" s="26"/>
      <x:c r="M113" s="26"/>
      <x:c r="N113" s="26"/>
      <x:c r="O113" s="20"/>
      <x:c r="P113" s="20"/>
      <x:c r="Q113" s="2"/>
      <x:c r="R113" s="2"/>
      <x:c r="S113" s="2"/>
      <x:c r="T113" s="23"/>
    </x:row>
    <x:row r="114">
      <x:c r="A114" s="2"/>
      <x:c r="B114" s="2"/>
      <x:c r="C114" s="2"/>
      <x:c r="D114" s="2"/>
      <x:c r="E114" s="2"/>
      <x:c r="F114" s="2"/>
      <x:c r="G114" s="24"/>
      <x:c r="H114" s="2"/>
      <x:c r="I114" s="2"/>
      <x:c r="J114" s="2"/>
      <x:c r="K114" s="25"/>
      <x:c r="L114" s="26"/>
      <x:c r="M114" s="26"/>
      <x:c r="N114" s="26"/>
      <x:c r="O114" s="20"/>
      <x:c r="P114" s="20"/>
      <x:c r="Q114" s="2"/>
      <x:c r="R114" s="2"/>
      <x:c r="S114" s="2"/>
      <x:c r="T114" s="23"/>
    </x:row>
    <x:row r="115">
      <x:c r="A115" s="2"/>
      <x:c r="B115" s="2"/>
      <x:c r="C115" s="2"/>
      <x:c r="D115" s="2"/>
      <x:c r="E115" s="2"/>
      <x:c r="F115" s="2"/>
      <x:c r="G115" s="24"/>
      <x:c r="H115" s="2"/>
      <x:c r="I115" s="2"/>
      <x:c r="J115" s="2"/>
      <x:c r="K115" s="25"/>
      <x:c r="L115" s="26"/>
      <x:c r="M115" s="26"/>
      <x:c r="N115" s="26"/>
      <x:c r="O115" s="20"/>
      <x:c r="P115" s="20"/>
      <x:c r="Q115" s="2"/>
      <x:c r="R115" s="2"/>
      <x:c r="S115" s="2"/>
      <x:c r="T115" s="23"/>
    </x:row>
    <x:row r="116">
      <x:c r="A116" s="2"/>
      <x:c r="B116" s="2"/>
      <x:c r="C116" s="2"/>
      <x:c r="D116" s="2"/>
      <x:c r="E116" s="2"/>
      <x:c r="F116" s="2"/>
      <x:c r="G116" s="24"/>
      <x:c r="H116" s="2"/>
      <x:c r="I116" s="2"/>
      <x:c r="J116" s="2"/>
      <x:c r="K116" s="25"/>
      <x:c r="L116" s="26"/>
      <x:c r="M116" s="26"/>
      <x:c r="N116" s="26"/>
      <x:c r="O116" s="20"/>
      <x:c r="P116" s="20"/>
      <x:c r="Q116" s="2"/>
      <x:c r="R116" s="2"/>
      <x:c r="S116" s="2"/>
      <x:c r="T116" s="23"/>
    </x:row>
    <x:row r="117">
      <x:c r="A117" s="2"/>
      <x:c r="B117" s="2"/>
      <x:c r="C117" s="2"/>
      <x:c r="D117" s="2"/>
      <x:c r="E117" s="2"/>
      <x:c r="F117" s="2"/>
      <x:c r="G117" s="24"/>
      <x:c r="H117" s="2"/>
      <x:c r="I117" s="2"/>
      <x:c r="J117" s="2"/>
      <x:c r="K117" s="25"/>
      <x:c r="L117" s="26"/>
      <x:c r="M117" s="26"/>
      <x:c r="N117" s="26"/>
      <x:c r="O117" s="20"/>
      <x:c r="P117" s="20"/>
      <x:c r="Q117" s="2"/>
      <x:c r="R117" s="2"/>
      <x:c r="S117" s="2"/>
      <x:c r="T117" s="23"/>
    </x:row>
    <x:row r="118">
      <x:c r="A118" s="2"/>
      <x:c r="B118" s="2"/>
      <x:c r="C118" s="2"/>
      <x:c r="D118" s="2"/>
      <x:c r="E118" s="2"/>
      <x:c r="F118" s="2"/>
      <x:c r="G118" s="24"/>
      <x:c r="H118" s="2"/>
      <x:c r="I118" s="2"/>
      <x:c r="J118" s="2"/>
      <x:c r="K118" s="25"/>
      <x:c r="L118" s="26"/>
      <x:c r="M118" s="26"/>
      <x:c r="N118" s="26"/>
      <x:c r="O118" s="20"/>
      <x:c r="P118" s="20"/>
      <x:c r="Q118" s="2"/>
      <x:c r="R118" s="2"/>
      <x:c r="S118" s="2"/>
      <x:c r="T118" s="23"/>
    </x:row>
    <x:row r="119">
      <x:c r="A119" s="2"/>
      <x:c r="B119" s="2"/>
      <x:c r="C119" s="2"/>
      <x:c r="D119" s="2"/>
      <x:c r="E119" s="2"/>
      <x:c r="F119" s="2"/>
      <x:c r="G119" s="24"/>
      <x:c r="H119" s="2"/>
      <x:c r="I119" s="2"/>
      <x:c r="J119" s="2"/>
      <x:c r="K119" s="25"/>
      <x:c r="L119" s="26"/>
      <x:c r="M119" s="26"/>
      <x:c r="N119" s="26"/>
      <x:c r="O119" s="20"/>
      <x:c r="P119" s="20"/>
      <x:c r="Q119" s="2"/>
      <x:c r="R119" s="2"/>
      <x:c r="S119" s="2"/>
      <x:c r="T119" s="23"/>
    </x:row>
    <x:row r="120">
      <x:c r="A120" s="2"/>
      <x:c r="B120" s="2"/>
      <x:c r="C120" s="2"/>
      <x:c r="D120" s="2"/>
      <x:c r="E120" s="2"/>
      <x:c r="F120" s="2"/>
      <x:c r="G120" s="24"/>
      <x:c r="H120" s="2"/>
      <x:c r="I120" s="2"/>
      <x:c r="J120" s="2"/>
      <x:c r="K120" s="25"/>
      <x:c r="L120" s="26"/>
      <x:c r="M120" s="26"/>
      <x:c r="N120" s="26"/>
      <x:c r="O120" s="20"/>
      <x:c r="P120" s="20"/>
      <x:c r="Q120" s="2"/>
      <x:c r="R120" s="2"/>
      <x:c r="S120" s="2"/>
      <x:c r="T120" s="23"/>
    </x:row>
    <x:row r="121">
      <x:c r="A121" s="2"/>
      <x:c r="B121" s="2"/>
      <x:c r="C121" s="2"/>
      <x:c r="D121" s="2"/>
      <x:c r="E121" s="2"/>
      <x:c r="F121" s="2"/>
      <x:c r="G121" s="24"/>
      <x:c r="H121" s="2"/>
      <x:c r="I121" s="2"/>
      <x:c r="J121" s="2"/>
      <x:c r="K121" s="25"/>
      <x:c r="L121" s="26"/>
      <x:c r="M121" s="26"/>
      <x:c r="N121" s="26"/>
      <x:c r="O121" s="20"/>
      <x:c r="P121" s="20"/>
      <x:c r="Q121" s="2"/>
      <x:c r="R121" s="2"/>
      <x:c r="S121" s="2"/>
      <x:c r="T121" s="23"/>
    </x:row>
    <x:row r="122">
      <x:c r="A122" s="2"/>
      <x:c r="B122" s="2"/>
      <x:c r="C122" s="2"/>
      <x:c r="D122" s="2"/>
      <x:c r="E122" s="2"/>
      <x:c r="F122" s="2"/>
      <x:c r="G122" s="24"/>
      <x:c r="H122" s="2"/>
      <x:c r="I122" s="2"/>
      <x:c r="J122" s="2"/>
      <x:c r="K122" s="25"/>
      <x:c r="L122" s="26"/>
      <x:c r="M122" s="26"/>
      <x:c r="N122" s="26"/>
      <x:c r="O122" s="20"/>
      <x:c r="P122" s="20"/>
      <x:c r="Q122" s="2"/>
      <x:c r="R122" s="2"/>
      <x:c r="S122" s="2"/>
      <x:c r="T122" s="23"/>
    </x:row>
    <x:row r="123">
      <x:c r="A123" s="2"/>
      <x:c r="B123" s="2"/>
      <x:c r="C123" s="2"/>
      <x:c r="D123" s="2"/>
      <x:c r="E123" s="2"/>
      <x:c r="F123" s="2"/>
      <x:c r="G123" s="24"/>
      <x:c r="H123" s="2"/>
      <x:c r="I123" s="2"/>
      <x:c r="J123" s="2"/>
      <x:c r="K123" s="25"/>
      <x:c r="L123" s="26"/>
      <x:c r="M123" s="26"/>
      <x:c r="N123" s="26"/>
      <x:c r="O123" s="20"/>
      <x:c r="P123" s="20"/>
      <x:c r="Q123" s="2"/>
      <x:c r="R123" s="2"/>
      <x:c r="S123" s="2"/>
      <x:c r="T123" s="23"/>
    </x:row>
    <x:row r="124">
      <x:c r="A124" s="2"/>
      <x:c r="B124" s="2"/>
      <x:c r="C124" s="2"/>
      <x:c r="D124" s="2"/>
      <x:c r="E124" s="2"/>
      <x:c r="F124" s="2"/>
      <x:c r="G124" s="24"/>
      <x:c r="H124" s="2"/>
      <x:c r="I124" s="2"/>
      <x:c r="J124" s="2"/>
      <x:c r="K124" s="25"/>
      <x:c r="L124" s="26"/>
      <x:c r="M124" s="26"/>
      <x:c r="N124" s="26"/>
      <x:c r="O124" s="20"/>
      <x:c r="P124" s="20"/>
      <x:c r="Q124" s="2"/>
      <x:c r="R124" s="2"/>
      <x:c r="S124" s="2"/>
      <x:c r="T124" s="23"/>
    </x:row>
    <x:row r="125">
      <x:c r="A125" s="2"/>
      <x:c r="B125" s="2"/>
      <x:c r="C125" s="2"/>
      <x:c r="D125" s="2"/>
      <x:c r="E125" s="2"/>
      <x:c r="F125" s="2"/>
      <x:c r="G125" s="24"/>
      <x:c r="H125" s="2"/>
      <x:c r="I125" s="2"/>
      <x:c r="J125" s="2"/>
      <x:c r="K125" s="25"/>
      <x:c r="L125" s="26"/>
      <x:c r="M125" s="26"/>
      <x:c r="N125" s="26"/>
      <x:c r="O125" s="20"/>
      <x:c r="P125" s="20"/>
      <x:c r="Q125" s="2"/>
      <x:c r="R125" s="2"/>
      <x:c r="S125" s="2"/>
      <x:c r="T125" s="23"/>
    </x:row>
    <x:row r="126">
      <x:c r="A126" s="2"/>
      <x:c r="B126" s="2"/>
      <x:c r="C126" s="2"/>
      <x:c r="D126" s="2"/>
      <x:c r="E126" s="2"/>
      <x:c r="F126" s="2"/>
      <x:c r="G126" s="24"/>
      <x:c r="H126" s="2"/>
      <x:c r="I126" s="2"/>
      <x:c r="J126" s="2"/>
      <x:c r="K126" s="25"/>
      <x:c r="L126" s="26"/>
      <x:c r="M126" s="26"/>
      <x:c r="N126" s="26"/>
      <x:c r="O126" s="20"/>
      <x:c r="P126" s="20"/>
      <x:c r="Q126" s="2"/>
      <x:c r="R126" s="2"/>
      <x:c r="S126" s="2"/>
      <x:c r="T126" s="23"/>
    </x:row>
    <x:row r="127">
      <x:c r="A127" s="2"/>
      <x:c r="B127" s="2"/>
      <x:c r="C127" s="2"/>
      <x:c r="D127" s="2"/>
      <x:c r="E127" s="2"/>
      <x:c r="F127" s="2"/>
      <x:c r="G127" s="24"/>
      <x:c r="H127" s="2"/>
      <x:c r="I127" s="2"/>
      <x:c r="J127" s="2"/>
      <x:c r="K127" s="25"/>
      <x:c r="L127" s="26"/>
      <x:c r="M127" s="26"/>
      <x:c r="N127" s="26"/>
      <x:c r="O127" s="20"/>
      <x:c r="P127" s="20"/>
      <x:c r="Q127" s="2"/>
      <x:c r="R127" s="2"/>
      <x:c r="S127" s="2"/>
      <x:c r="T127" s="23"/>
    </x:row>
    <x:row r="128">
      <x:c r="A128" s="2"/>
      <x:c r="B128" s="2"/>
      <x:c r="C128" s="2"/>
      <x:c r="D128" s="2"/>
      <x:c r="E128" s="2"/>
      <x:c r="F128" s="2"/>
      <x:c r="G128" s="24"/>
      <x:c r="H128" s="2"/>
      <x:c r="I128" s="2"/>
      <x:c r="J128" s="2"/>
      <x:c r="K128" s="25"/>
      <x:c r="L128" s="26"/>
      <x:c r="M128" s="26"/>
      <x:c r="N128" s="26"/>
      <x:c r="O128" s="20"/>
      <x:c r="P128" s="20"/>
      <x:c r="Q128" s="2"/>
      <x:c r="R128" s="2"/>
      <x:c r="S128" s="2"/>
      <x:c r="T128" s="23"/>
    </x:row>
    <x:row r="129">
      <x:c r="A129" s="2"/>
      <x:c r="B129" s="2"/>
      <x:c r="C129" s="2"/>
      <x:c r="D129" s="2"/>
      <x:c r="E129" s="2"/>
      <x:c r="F129" s="2"/>
      <x:c r="G129" s="24"/>
      <x:c r="H129" s="2"/>
      <x:c r="I129" s="2"/>
      <x:c r="J129" s="2"/>
      <x:c r="K129" s="25"/>
      <x:c r="L129" s="26"/>
      <x:c r="M129" s="26"/>
      <x:c r="N129" s="26"/>
      <x:c r="O129" s="20"/>
      <x:c r="P129" s="20"/>
      <x:c r="Q129" s="2"/>
      <x:c r="R129" s="2"/>
      <x:c r="S129" s="2"/>
      <x:c r="T129" s="23"/>
    </x:row>
    <x:row r="130">
      <x:c r="A130" s="2"/>
      <x:c r="B130" s="2"/>
      <x:c r="C130" s="2"/>
      <x:c r="D130" s="2"/>
      <x:c r="E130" s="2"/>
      <x:c r="F130" s="2"/>
      <x:c r="G130" s="24"/>
      <x:c r="H130" s="2"/>
      <x:c r="I130" s="2"/>
      <x:c r="J130" s="2"/>
      <x:c r="K130" s="25"/>
      <x:c r="L130" s="26"/>
      <x:c r="M130" s="26"/>
      <x:c r="N130" s="26"/>
      <x:c r="O130" s="20"/>
      <x:c r="P130" s="20"/>
      <x:c r="Q130" s="2"/>
      <x:c r="R130" s="2"/>
      <x:c r="S130" s="2"/>
      <x:c r="T130" s="23"/>
    </x:row>
    <x:row r="131">
      <x:c r="A131" s="2"/>
      <x:c r="B131" s="2"/>
      <x:c r="C131" s="2"/>
      <x:c r="D131" s="2"/>
      <x:c r="E131" s="2"/>
      <x:c r="F131" s="2"/>
      <x:c r="G131" s="24"/>
      <x:c r="H131" s="2"/>
      <x:c r="I131" s="2"/>
      <x:c r="J131" s="2"/>
      <x:c r="K131" s="25"/>
      <x:c r="L131" s="26"/>
      <x:c r="M131" s="26"/>
      <x:c r="N131" s="26"/>
      <x:c r="O131" s="20"/>
      <x:c r="P131" s="20"/>
      <x:c r="Q131" s="2"/>
      <x:c r="R131" s="2"/>
      <x:c r="S131" s="2"/>
      <x:c r="T131" s="23"/>
    </x:row>
    <x:row r="132">
      <x:c r="A132" s="2"/>
      <x:c r="B132" s="2"/>
      <x:c r="C132" s="2"/>
      <x:c r="D132" s="2"/>
      <x:c r="E132" s="2"/>
      <x:c r="F132" s="2"/>
      <x:c r="G132" s="24"/>
      <x:c r="H132" s="2"/>
      <x:c r="I132" s="2"/>
      <x:c r="J132" s="2"/>
      <x:c r="K132" s="25"/>
      <x:c r="L132" s="26"/>
      <x:c r="M132" s="26"/>
      <x:c r="N132" s="26"/>
      <x:c r="O132" s="20"/>
      <x:c r="P132" s="20"/>
      <x:c r="Q132" s="2"/>
      <x:c r="R132" s="2"/>
      <x:c r="S132" s="2"/>
      <x:c r="T132" s="23"/>
    </x:row>
    <x:row r="133">
      <x:c r="A133" s="2"/>
      <x:c r="B133" s="2"/>
      <x:c r="C133" s="2"/>
      <x:c r="D133" s="2"/>
      <x:c r="E133" s="2"/>
      <x:c r="F133" s="2"/>
      <x:c r="G133" s="24"/>
      <x:c r="H133" s="2"/>
      <x:c r="I133" s="2"/>
      <x:c r="J133" s="2"/>
      <x:c r="K133" s="25"/>
      <x:c r="L133" s="26"/>
      <x:c r="M133" s="26"/>
      <x:c r="N133" s="26"/>
      <x:c r="O133" s="20"/>
      <x:c r="P133" s="20"/>
      <x:c r="Q133" s="2"/>
      <x:c r="R133" s="2"/>
      <x:c r="S133" s="2"/>
      <x:c r="T133" s="23"/>
    </x:row>
    <x:row r="134">
      <x:c r="A134" s="2"/>
      <x:c r="B134" s="2"/>
      <x:c r="C134" s="2"/>
      <x:c r="D134" s="2"/>
      <x:c r="E134" s="2"/>
      <x:c r="F134" s="2"/>
      <x:c r="G134" s="24"/>
      <x:c r="H134" s="2"/>
      <x:c r="I134" s="2"/>
      <x:c r="J134" s="2"/>
      <x:c r="K134" s="25"/>
      <x:c r="L134" s="26"/>
      <x:c r="M134" s="26"/>
      <x:c r="N134" s="26"/>
      <x:c r="O134" s="20"/>
      <x:c r="P134" s="20"/>
      <x:c r="Q134" s="2"/>
      <x:c r="R134" s="2"/>
      <x:c r="S134" s="2"/>
      <x:c r="T134" s="23"/>
    </x:row>
    <x:row r="135">
      <x:c r="A135" s="2"/>
      <x:c r="B135" s="2"/>
      <x:c r="C135" s="2"/>
      <x:c r="D135" s="2"/>
      <x:c r="E135" s="2"/>
      <x:c r="F135" s="2"/>
      <x:c r="G135" s="24"/>
      <x:c r="H135" s="2"/>
      <x:c r="I135" s="2"/>
      <x:c r="J135" s="2"/>
      <x:c r="K135" s="25"/>
      <x:c r="L135" s="26"/>
      <x:c r="M135" s="26"/>
      <x:c r="N135" s="26"/>
      <x:c r="O135" s="20"/>
      <x:c r="P135" s="20"/>
      <x:c r="Q135" s="2"/>
      <x:c r="R135" s="2"/>
      <x:c r="S135" s="2"/>
      <x:c r="T135" s="23"/>
    </x:row>
    <x:row r="136">
      <x:c r="A136" s="2"/>
      <x:c r="B136" s="2"/>
      <x:c r="C136" s="2"/>
      <x:c r="D136" s="2"/>
      <x:c r="E136" s="2"/>
      <x:c r="F136" s="2"/>
      <x:c r="G136" s="24"/>
      <x:c r="H136" s="2"/>
      <x:c r="I136" s="2"/>
      <x:c r="J136" s="2"/>
      <x:c r="K136" s="25"/>
      <x:c r="L136" s="26"/>
      <x:c r="M136" s="26"/>
      <x:c r="N136" s="26"/>
      <x:c r="O136" s="20"/>
      <x:c r="P136" s="20"/>
      <x:c r="Q136" s="2"/>
      <x:c r="R136" s="2"/>
      <x:c r="S136" s="2"/>
      <x:c r="T136" s="23"/>
    </x:row>
    <x:row r="137">
      <x:c r="A137" s="2"/>
      <x:c r="B137" s="2"/>
      <x:c r="C137" s="2"/>
      <x:c r="D137" s="2"/>
      <x:c r="E137" s="2"/>
      <x:c r="F137" s="2"/>
      <x:c r="G137" s="24"/>
      <x:c r="H137" s="2"/>
      <x:c r="I137" s="2"/>
      <x:c r="J137" s="2"/>
      <x:c r="K137" s="25"/>
      <x:c r="L137" s="26"/>
      <x:c r="M137" s="26"/>
      <x:c r="N137" s="26"/>
      <x:c r="O137" s="20"/>
      <x:c r="P137" s="20"/>
      <x:c r="Q137" s="2"/>
      <x:c r="R137" s="2"/>
      <x:c r="S137" s="2"/>
      <x:c r="T137" s="23"/>
    </x:row>
    <x:row r="138">
      <x:c r="A138" s="2"/>
      <x:c r="B138" s="2"/>
      <x:c r="C138" s="2"/>
      <x:c r="D138" s="2"/>
      <x:c r="E138" s="2"/>
      <x:c r="F138" s="2"/>
      <x:c r="G138" s="24"/>
      <x:c r="H138" s="2"/>
      <x:c r="I138" s="2"/>
      <x:c r="J138" s="2"/>
      <x:c r="K138" s="25"/>
      <x:c r="L138" s="26"/>
      <x:c r="M138" s="26"/>
      <x:c r="N138" s="26"/>
      <x:c r="O138" s="20"/>
      <x:c r="P138" s="20"/>
      <x:c r="Q138" s="2"/>
      <x:c r="R138" s="2"/>
      <x:c r="S138" s="2"/>
      <x:c r="T138" s="23"/>
    </x:row>
    <x:row r="139">
      <x:c r="A139" s="2"/>
      <x:c r="B139" s="2"/>
      <x:c r="C139" s="2"/>
      <x:c r="D139" s="2"/>
      <x:c r="E139" s="2"/>
      <x:c r="F139" s="2"/>
      <x:c r="G139" s="24"/>
      <x:c r="H139" s="2"/>
      <x:c r="I139" s="2"/>
      <x:c r="J139" s="2"/>
      <x:c r="K139" s="25"/>
      <x:c r="L139" s="26"/>
      <x:c r="M139" s="26"/>
      <x:c r="N139" s="26"/>
      <x:c r="O139" s="20"/>
      <x:c r="P139" s="20"/>
      <x:c r="Q139" s="2"/>
      <x:c r="R139" s="2"/>
      <x:c r="S139" s="2"/>
      <x:c r="T139" s="23"/>
    </x:row>
    <x:row r="140">
      <x:c r="A140" s="2"/>
      <x:c r="B140" s="2"/>
      <x:c r="C140" s="2"/>
      <x:c r="D140" s="2"/>
      <x:c r="E140" s="2"/>
      <x:c r="F140" s="2"/>
      <x:c r="G140" s="24"/>
      <x:c r="H140" s="2"/>
      <x:c r="I140" s="2"/>
      <x:c r="J140" s="2"/>
      <x:c r="K140" s="25"/>
      <x:c r="L140" s="26"/>
      <x:c r="M140" s="26"/>
      <x:c r="N140" s="26"/>
      <x:c r="O140" s="20"/>
      <x:c r="P140" s="20"/>
      <x:c r="Q140" s="2"/>
      <x:c r="R140" s="2"/>
      <x:c r="S140" s="2"/>
      <x:c r="T140" s="23"/>
    </x:row>
    <x:row r="141">
      <x:c r="A141" s="2"/>
      <x:c r="B141" s="2"/>
      <x:c r="C141" s="2"/>
      <x:c r="D141" s="2"/>
      <x:c r="E141" s="2"/>
      <x:c r="F141" s="2"/>
      <x:c r="G141" s="24"/>
      <x:c r="H141" s="2"/>
      <x:c r="I141" s="2"/>
      <x:c r="J141" s="2"/>
      <x:c r="K141" s="25"/>
      <x:c r="L141" s="26"/>
      <x:c r="M141" s="26"/>
      <x:c r="N141" s="26"/>
      <x:c r="O141" s="20"/>
      <x:c r="P141" s="20"/>
      <x:c r="Q141" s="2"/>
      <x:c r="R141" s="2"/>
      <x:c r="S141" s="2"/>
      <x:c r="T141" s="23"/>
    </x:row>
    <x:row r="142">
      <x:c r="A142" s="2"/>
      <x:c r="B142" s="2"/>
      <x:c r="C142" s="2"/>
      <x:c r="D142" s="2"/>
      <x:c r="E142" s="2"/>
      <x:c r="F142" s="2"/>
      <x:c r="G142" s="24"/>
      <x:c r="H142" s="2"/>
      <x:c r="I142" s="2"/>
      <x:c r="J142" s="2"/>
      <x:c r="K142" s="25"/>
      <x:c r="L142" s="26"/>
      <x:c r="M142" s="26"/>
      <x:c r="N142" s="26"/>
      <x:c r="O142" s="20"/>
      <x:c r="P142" s="20"/>
      <x:c r="Q142" s="2"/>
      <x:c r="R142" s="2"/>
      <x:c r="S142" s="2"/>
      <x:c r="T142" s="23"/>
    </x:row>
    <x:row r="143">
      <x:c r="A143" s="2"/>
      <x:c r="B143" s="2"/>
      <x:c r="C143" s="2"/>
      <x:c r="D143" s="2"/>
      <x:c r="E143" s="2"/>
      <x:c r="F143" s="2"/>
      <x:c r="G143" s="24"/>
      <x:c r="H143" s="2"/>
      <x:c r="I143" s="2"/>
      <x:c r="J143" s="2"/>
      <x:c r="K143" s="25"/>
      <x:c r="L143" s="26"/>
      <x:c r="M143" s="26"/>
      <x:c r="N143" s="26"/>
      <x:c r="O143" s="20"/>
      <x:c r="P143" s="20"/>
      <x:c r="Q143" s="2"/>
      <x:c r="R143" s="2"/>
      <x:c r="S143" s="2"/>
      <x:c r="T143" s="23"/>
    </x:row>
    <x:row r="144">
      <x:c r="A144" s="2"/>
      <x:c r="B144" s="2"/>
      <x:c r="C144" s="2"/>
      <x:c r="D144" s="2"/>
      <x:c r="E144" s="2"/>
      <x:c r="F144" s="2"/>
      <x:c r="G144" s="24"/>
      <x:c r="H144" s="2"/>
      <x:c r="I144" s="2"/>
      <x:c r="J144" s="2"/>
      <x:c r="K144" s="25"/>
      <x:c r="L144" s="26"/>
      <x:c r="M144" s="26"/>
      <x:c r="N144" s="26"/>
      <x:c r="O144" s="20"/>
      <x:c r="P144" s="20"/>
      <x:c r="Q144" s="2"/>
      <x:c r="R144" s="2"/>
      <x:c r="S144" s="2"/>
      <x:c r="T144" s="23"/>
    </x:row>
    <x:row r="145">
      <x:c r="A145" s="2"/>
      <x:c r="B145" s="2"/>
      <x:c r="C145" s="2"/>
      <x:c r="D145" s="2"/>
      <x:c r="E145" s="2"/>
      <x:c r="F145" s="2"/>
      <x:c r="G145" s="24"/>
      <x:c r="H145" s="2"/>
      <x:c r="I145" s="2"/>
      <x:c r="J145" s="2"/>
      <x:c r="K145" s="25"/>
      <x:c r="L145" s="26"/>
      <x:c r="M145" s="26"/>
      <x:c r="N145" s="26"/>
      <x:c r="O145" s="20"/>
      <x:c r="P145" s="20"/>
      <x:c r="Q145" s="2"/>
      <x:c r="R145" s="2"/>
      <x:c r="S145" s="2"/>
      <x:c r="T145" s="23"/>
    </x:row>
    <x:row r="146">
      <x:c r="A146" s="2"/>
      <x:c r="B146" s="2"/>
      <x:c r="C146" s="2"/>
      <x:c r="D146" s="2"/>
      <x:c r="E146" s="2"/>
      <x:c r="F146" s="2"/>
      <x:c r="G146" s="24"/>
      <x:c r="H146" s="2"/>
      <x:c r="I146" s="2"/>
      <x:c r="J146" s="2"/>
      <x:c r="K146" s="25"/>
      <x:c r="L146" s="26"/>
      <x:c r="M146" s="26"/>
      <x:c r="N146" s="26"/>
      <x:c r="O146" s="20"/>
      <x:c r="P146" s="20"/>
      <x:c r="Q146" s="2"/>
      <x:c r="R146" s="2"/>
      <x:c r="S146" s="2"/>
      <x:c r="T146" s="23"/>
    </x:row>
    <x:row r="147">
      <x:c r="A147" s="2"/>
      <x:c r="B147" s="2"/>
      <x:c r="C147" s="2"/>
      <x:c r="D147" s="2"/>
      <x:c r="E147" s="2"/>
      <x:c r="F147" s="2"/>
      <x:c r="G147" s="24"/>
      <x:c r="H147" s="2"/>
      <x:c r="I147" s="2"/>
      <x:c r="J147" s="2"/>
      <x:c r="K147" s="25"/>
      <x:c r="L147" s="26"/>
      <x:c r="M147" s="26"/>
      <x:c r="N147" s="26"/>
      <x:c r="O147" s="20"/>
      <x:c r="P147" s="20"/>
      <x:c r="Q147" s="2"/>
      <x:c r="R147" s="2"/>
      <x:c r="S147" s="2"/>
      <x:c r="T147" s="23"/>
    </x:row>
    <x:row r="148">
      <x:c r="A148" s="2"/>
      <x:c r="B148" s="2"/>
      <x:c r="C148" s="2"/>
      <x:c r="D148" s="2"/>
      <x:c r="E148" s="2"/>
      <x:c r="F148" s="2"/>
      <x:c r="G148" s="24"/>
      <x:c r="H148" s="2"/>
      <x:c r="I148" s="2"/>
      <x:c r="J148" s="2"/>
      <x:c r="K148" s="25"/>
      <x:c r="L148" s="26"/>
      <x:c r="M148" s="26"/>
      <x:c r="N148" s="26"/>
      <x:c r="O148" s="20"/>
      <x:c r="P148" s="20"/>
      <x:c r="Q148" s="2"/>
      <x:c r="R148" s="2"/>
      <x:c r="S148" s="2"/>
      <x:c r="T148" s="23"/>
    </x:row>
    <x:row r="149">
      <x:c r="A149" s="2"/>
      <x:c r="B149" s="2"/>
      <x:c r="C149" s="2"/>
      <x:c r="D149" s="2"/>
      <x:c r="E149" s="2"/>
      <x:c r="F149" s="2"/>
      <x:c r="G149" s="24"/>
      <x:c r="H149" s="2"/>
      <x:c r="I149" s="2"/>
      <x:c r="J149" s="2"/>
      <x:c r="K149" s="25"/>
      <x:c r="L149" s="26"/>
      <x:c r="M149" s="26"/>
      <x:c r="N149" s="26"/>
      <x:c r="O149" s="20"/>
      <x:c r="P149" s="20"/>
      <x:c r="Q149" s="2"/>
      <x:c r="R149" s="2"/>
      <x:c r="S149" s="2"/>
      <x:c r="T149" s="23"/>
    </x:row>
    <x:row r="150">
      <x:c r="A150" s="2"/>
      <x:c r="B150" s="2"/>
      <x:c r="C150" s="2"/>
      <x:c r="D150" s="2"/>
      <x:c r="E150" s="2"/>
      <x:c r="F150" s="2"/>
      <x:c r="G150" s="24"/>
      <x:c r="H150" s="2"/>
      <x:c r="I150" s="2"/>
      <x:c r="J150" s="2"/>
      <x:c r="K150" s="25"/>
      <x:c r="L150" s="26"/>
      <x:c r="M150" s="26"/>
      <x:c r="N150" s="26"/>
      <x:c r="O150" s="20"/>
      <x:c r="P150" s="20"/>
      <x:c r="Q150" s="2"/>
      <x:c r="R150" s="2"/>
      <x:c r="S150" s="2"/>
      <x:c r="T150" s="23"/>
    </x:row>
    <x:row r="151">
      <x:c r="A151" s="2"/>
      <x:c r="B151" s="2"/>
      <x:c r="C151" s="2"/>
      <x:c r="D151" s="2"/>
      <x:c r="E151" s="2"/>
      <x:c r="F151" s="2"/>
      <x:c r="G151" s="24"/>
      <x:c r="H151" s="2"/>
      <x:c r="I151" s="2"/>
      <x:c r="J151" s="2"/>
      <x:c r="K151" s="25"/>
      <x:c r="L151" s="26"/>
      <x:c r="M151" s="26"/>
      <x:c r="N151" s="26"/>
      <x:c r="O151" s="20"/>
      <x:c r="P151" s="20"/>
      <x:c r="Q151" s="2"/>
      <x:c r="R151" s="2"/>
      <x:c r="S151" s="2"/>
      <x:c r="T151" s="23"/>
    </x:row>
    <x:row r="152">
      <x:c r="A152" s="2"/>
      <x:c r="B152" s="2"/>
      <x:c r="C152" s="2"/>
      <x:c r="D152" s="2"/>
      <x:c r="E152" s="2"/>
      <x:c r="F152" s="2"/>
      <x:c r="G152" s="24"/>
      <x:c r="H152" s="2"/>
      <x:c r="I152" s="2"/>
      <x:c r="J152" s="2"/>
      <x:c r="K152" s="25"/>
      <x:c r="L152" s="26"/>
      <x:c r="M152" s="26"/>
      <x:c r="N152" s="26"/>
      <x:c r="O152" s="20"/>
      <x:c r="P152" s="20"/>
      <x:c r="Q152" s="2"/>
      <x:c r="R152" s="2"/>
      <x:c r="S152" s="2"/>
      <x:c r="T152" s="23"/>
    </x:row>
    <x:row r="153">
      <x:c r="A153" s="2"/>
      <x:c r="B153" s="2"/>
      <x:c r="C153" s="2"/>
      <x:c r="D153" s="2"/>
      <x:c r="E153" s="2"/>
      <x:c r="F153" s="2"/>
      <x:c r="G153" s="24"/>
      <x:c r="H153" s="2"/>
      <x:c r="I153" s="2"/>
      <x:c r="J153" s="2"/>
      <x:c r="K153" s="25"/>
      <x:c r="L153" s="26"/>
      <x:c r="M153" s="26"/>
      <x:c r="N153" s="26"/>
      <x:c r="O153" s="20"/>
      <x:c r="P153" s="20"/>
      <x:c r="Q153" s="2"/>
      <x:c r="R153" s="2"/>
      <x:c r="S153" s="2"/>
      <x:c r="T153" s="23"/>
    </x:row>
    <x:row r="154">
      <x:c r="A154" s="2"/>
      <x:c r="B154" s="2"/>
      <x:c r="C154" s="2"/>
      <x:c r="D154" s="2"/>
      <x:c r="E154" s="2"/>
      <x:c r="F154" s="2"/>
      <x:c r="G154" s="24"/>
      <x:c r="H154" s="2"/>
      <x:c r="I154" s="2"/>
      <x:c r="J154" s="2"/>
      <x:c r="K154" s="25"/>
      <x:c r="L154" s="26"/>
      <x:c r="M154" s="26"/>
      <x:c r="N154" s="26"/>
      <x:c r="O154" s="20"/>
      <x:c r="P154" s="20"/>
      <x:c r="Q154" s="2"/>
      <x:c r="R154" s="2"/>
      <x:c r="S154" s="2"/>
      <x:c r="T154" s="23"/>
    </x:row>
    <x:row r="155">
      <x:c r="A155" s="2"/>
      <x:c r="B155" s="2"/>
      <x:c r="C155" s="2"/>
      <x:c r="D155" s="2"/>
      <x:c r="E155" s="2"/>
      <x:c r="F155" s="2"/>
      <x:c r="G155" s="24"/>
      <x:c r="H155" s="2"/>
      <x:c r="I155" s="2"/>
      <x:c r="J155" s="2"/>
      <x:c r="K155" s="25"/>
      <x:c r="L155" s="26"/>
      <x:c r="M155" s="26"/>
      <x:c r="N155" s="26"/>
      <x:c r="O155" s="20"/>
      <x:c r="P155" s="20"/>
      <x:c r="Q155" s="2"/>
      <x:c r="R155" s="2"/>
      <x:c r="S155" s="2"/>
      <x:c r="T155" s="23"/>
    </x:row>
    <x:row r="156">
      <x:c r="A156" s="2"/>
      <x:c r="B156" s="2"/>
      <x:c r="C156" s="2"/>
      <x:c r="D156" s="2"/>
      <x:c r="E156" s="2"/>
      <x:c r="F156" s="2"/>
      <x:c r="G156" s="24"/>
      <x:c r="H156" s="2"/>
      <x:c r="I156" s="2"/>
      <x:c r="J156" s="2"/>
      <x:c r="K156" s="25"/>
      <x:c r="L156" s="26"/>
      <x:c r="M156" s="26"/>
      <x:c r="N156" s="26"/>
      <x:c r="O156" s="20"/>
      <x:c r="P156" s="20"/>
      <x:c r="Q156" s="2"/>
      <x:c r="R156" s="2"/>
      <x:c r="S156" s="2"/>
      <x:c r="T156" s="23"/>
    </x:row>
    <x:row r="157">
      <x:c r="A157" s="2"/>
      <x:c r="B157" s="2"/>
      <x:c r="C157" s="2"/>
      <x:c r="D157" s="2"/>
      <x:c r="E157" s="2"/>
      <x:c r="F157" s="2"/>
      <x:c r="G157" s="24"/>
      <x:c r="H157" s="2"/>
      <x:c r="I157" s="2"/>
      <x:c r="J157" s="2"/>
      <x:c r="K157" s="25"/>
      <x:c r="L157" s="26"/>
      <x:c r="M157" s="26"/>
      <x:c r="N157" s="26"/>
      <x:c r="O157" s="20"/>
      <x:c r="P157" s="20"/>
      <x:c r="Q157" s="2"/>
      <x:c r="R157" s="2"/>
      <x:c r="S157" s="2"/>
      <x:c r="T157" s="23"/>
    </x:row>
    <x:row r="158">
      <x:c r="A158" s="2"/>
      <x:c r="B158" s="2"/>
      <x:c r="C158" s="2"/>
      <x:c r="D158" s="2"/>
      <x:c r="E158" s="2"/>
      <x:c r="F158" s="2"/>
      <x:c r="G158" s="24"/>
      <x:c r="H158" s="2"/>
      <x:c r="I158" s="2"/>
      <x:c r="J158" s="2"/>
      <x:c r="K158" s="25"/>
      <x:c r="L158" s="26"/>
      <x:c r="M158" s="26"/>
      <x:c r="N158" s="26"/>
      <x:c r="O158" s="20"/>
      <x:c r="P158" s="20"/>
      <x:c r="Q158" s="2"/>
      <x:c r="R158" s="2"/>
      <x:c r="S158" s="2"/>
      <x:c r="T158" s="23"/>
    </x:row>
    <x:row r="159">
      <x:c r="A159" s="2"/>
      <x:c r="B159" s="2"/>
      <x:c r="C159" s="2"/>
      <x:c r="D159" s="2"/>
      <x:c r="E159" s="2"/>
      <x:c r="F159" s="2"/>
      <x:c r="G159" s="24"/>
      <x:c r="H159" s="2"/>
      <x:c r="I159" s="2"/>
      <x:c r="J159" s="2"/>
      <x:c r="K159" s="25"/>
      <x:c r="L159" s="26"/>
      <x:c r="M159" s="26"/>
      <x:c r="N159" s="26"/>
      <x:c r="O159" s="20"/>
      <x:c r="P159" s="20"/>
      <x:c r="Q159" s="2"/>
      <x:c r="R159" s="2"/>
      <x:c r="S159" s="2"/>
      <x:c r="T159" s="23"/>
    </x:row>
    <x:row r="160">
      <x:c r="A160" s="2"/>
      <x:c r="B160" s="2"/>
      <x:c r="C160" s="2"/>
      <x:c r="D160" s="2"/>
      <x:c r="E160" s="2"/>
      <x:c r="F160" s="2"/>
      <x:c r="G160" s="24"/>
      <x:c r="H160" s="2"/>
      <x:c r="I160" s="2"/>
      <x:c r="J160" s="2"/>
      <x:c r="K160" s="25"/>
      <x:c r="L160" s="26"/>
      <x:c r="M160" s="26"/>
      <x:c r="N160" s="26"/>
      <x:c r="O160" s="20"/>
      <x:c r="P160" s="20"/>
      <x:c r="Q160" s="2"/>
      <x:c r="R160" s="2"/>
      <x:c r="S160" s="2"/>
      <x:c r="T160" s="23"/>
    </x:row>
    <x:row r="161">
      <x:c r="A161" s="2"/>
      <x:c r="B161" s="2"/>
      <x:c r="C161" s="2"/>
      <x:c r="D161" s="2"/>
      <x:c r="E161" s="2"/>
      <x:c r="F161" s="2"/>
      <x:c r="G161" s="24"/>
      <x:c r="H161" s="2"/>
      <x:c r="I161" s="2"/>
      <x:c r="J161" s="2"/>
      <x:c r="K161" s="25"/>
      <x:c r="L161" s="26"/>
      <x:c r="M161" s="26"/>
      <x:c r="N161" s="26"/>
      <x:c r="O161" s="20"/>
      <x:c r="P161" s="20"/>
      <x:c r="Q161" s="2"/>
      <x:c r="R161" s="2"/>
      <x:c r="S161" s="2"/>
      <x:c r="T161" s="23"/>
    </x:row>
    <x:row r="162">
      <x:c r="A162" s="2"/>
      <x:c r="B162" s="2"/>
      <x:c r="C162" s="2"/>
      <x:c r="D162" s="2"/>
      <x:c r="E162" s="2"/>
      <x:c r="F162" s="2"/>
      <x:c r="G162" s="24"/>
      <x:c r="H162" s="2"/>
      <x:c r="I162" s="2"/>
      <x:c r="J162" s="2"/>
      <x:c r="K162" s="25"/>
      <x:c r="L162" s="26"/>
      <x:c r="M162" s="26"/>
      <x:c r="N162" s="26"/>
      <x:c r="O162" s="20"/>
      <x:c r="P162" s="20"/>
      <x:c r="Q162" s="2"/>
      <x:c r="R162" s="2"/>
      <x:c r="S162" s="2"/>
      <x:c r="T162" s="23"/>
    </x:row>
    <x:row r="163">
      <x:c r="A163" s="2"/>
      <x:c r="B163" s="2"/>
      <x:c r="C163" s="2"/>
      <x:c r="D163" s="2"/>
      <x:c r="E163" s="2"/>
      <x:c r="F163" s="2"/>
      <x:c r="G163" s="24"/>
      <x:c r="H163" s="2"/>
      <x:c r="I163" s="2"/>
      <x:c r="J163" s="2"/>
      <x:c r="K163" s="25"/>
      <x:c r="L163" s="26"/>
      <x:c r="M163" s="26"/>
      <x:c r="N163" s="26"/>
      <x:c r="O163" s="20"/>
      <x:c r="P163" s="20"/>
      <x:c r="Q163" s="2"/>
      <x:c r="R163" s="2"/>
      <x:c r="S163" s="2"/>
      <x:c r="T163" s="23"/>
    </x:row>
    <x:row r="164">
      <x:c r="A164" s="2"/>
      <x:c r="B164" s="2"/>
      <x:c r="C164" s="2"/>
      <x:c r="D164" s="2"/>
      <x:c r="E164" s="2"/>
      <x:c r="F164" s="2"/>
      <x:c r="G164" s="24"/>
      <x:c r="H164" s="2"/>
      <x:c r="I164" s="2"/>
      <x:c r="J164" s="2"/>
      <x:c r="K164" s="25"/>
      <x:c r="L164" s="26"/>
      <x:c r="M164" s="26"/>
      <x:c r="N164" s="26"/>
      <x:c r="O164" s="20"/>
      <x:c r="P164" s="20"/>
      <x:c r="Q164" s="2"/>
      <x:c r="R164" s="2"/>
      <x:c r="S164" s="2"/>
      <x:c r="T164" s="23"/>
    </x:row>
    <x:row r="165">
      <x:c r="A165" s="2"/>
      <x:c r="B165" s="2"/>
      <x:c r="C165" s="2"/>
      <x:c r="D165" s="2"/>
      <x:c r="E165" s="2"/>
      <x:c r="F165" s="2"/>
      <x:c r="G165" s="24"/>
      <x:c r="H165" s="2"/>
      <x:c r="I165" s="2"/>
      <x:c r="J165" s="2"/>
      <x:c r="K165" s="25"/>
      <x:c r="L165" s="26"/>
      <x:c r="M165" s="26"/>
      <x:c r="N165" s="26"/>
      <x:c r="O165" s="20"/>
      <x:c r="P165" s="20"/>
      <x:c r="Q165" s="2"/>
      <x:c r="R165" s="2"/>
      <x:c r="S165" s="2"/>
      <x:c r="T165" s="23"/>
    </x:row>
    <x:row r="166">
      <x:c r="A166" s="2"/>
      <x:c r="B166" s="2"/>
      <x:c r="C166" s="2"/>
      <x:c r="D166" s="2"/>
      <x:c r="E166" s="2"/>
      <x:c r="F166" s="2"/>
      <x:c r="G166" s="24"/>
      <x:c r="H166" s="2"/>
      <x:c r="I166" s="2"/>
      <x:c r="J166" s="2"/>
      <x:c r="K166" s="25"/>
      <x:c r="L166" s="26"/>
      <x:c r="M166" s="26"/>
      <x:c r="N166" s="26"/>
      <x:c r="O166" s="20"/>
      <x:c r="P166" s="20"/>
      <x:c r="Q166" s="2"/>
      <x:c r="R166" s="2"/>
      <x:c r="S166" s="2"/>
      <x:c r="T166" s="23"/>
    </x:row>
    <x:row r="167">
      <x:c r="A167" s="2"/>
      <x:c r="B167" s="2"/>
      <x:c r="C167" s="2"/>
      <x:c r="D167" s="2"/>
      <x:c r="E167" s="2"/>
      <x:c r="F167" s="2"/>
      <x:c r="G167" s="24"/>
      <x:c r="H167" s="2"/>
      <x:c r="I167" s="2"/>
      <x:c r="J167" s="2"/>
      <x:c r="K167" s="25"/>
      <x:c r="L167" s="26"/>
      <x:c r="M167" s="26"/>
      <x:c r="N167" s="26"/>
      <x:c r="O167" s="20"/>
      <x:c r="P167" s="20"/>
      <x:c r="Q167" s="2"/>
      <x:c r="R167" s="2"/>
      <x:c r="S167" s="2"/>
      <x:c r="T167" s="23"/>
    </x:row>
    <x:row r="168">
      <x:c r="A168" s="2"/>
      <x:c r="B168" s="2"/>
      <x:c r="C168" s="2"/>
      <x:c r="D168" s="2"/>
      <x:c r="E168" s="2"/>
      <x:c r="F168" s="2"/>
      <x:c r="G168" s="24"/>
      <x:c r="H168" s="2"/>
      <x:c r="I168" s="2"/>
      <x:c r="J168" s="2"/>
      <x:c r="K168" s="25"/>
      <x:c r="L168" s="26"/>
      <x:c r="M168" s="26"/>
      <x:c r="N168" s="26"/>
      <x:c r="O168" s="20"/>
      <x:c r="P168" s="20"/>
      <x:c r="Q168" s="2"/>
      <x:c r="R168" s="2"/>
      <x:c r="S168" s="2"/>
      <x:c r="T168" s="23"/>
    </x:row>
    <x:row r="169">
      <x:c r="A169" s="2"/>
      <x:c r="B169" s="2"/>
      <x:c r="C169" s="2"/>
      <x:c r="D169" s="2"/>
      <x:c r="E169" s="2"/>
      <x:c r="F169" s="2"/>
      <x:c r="G169" s="24"/>
      <x:c r="H169" s="2"/>
      <x:c r="I169" s="2"/>
      <x:c r="J169" s="2"/>
      <x:c r="K169" s="25"/>
      <x:c r="L169" s="26"/>
      <x:c r="M169" s="26"/>
      <x:c r="N169" s="26"/>
      <x:c r="O169" s="20"/>
      <x:c r="P169" s="20"/>
      <x:c r="Q169" s="2"/>
      <x:c r="R169" s="2"/>
      <x:c r="S169" s="2"/>
      <x:c r="T169" s="23"/>
    </x:row>
    <x:row r="170">
      <x:c r="A170" s="2"/>
      <x:c r="B170" s="2"/>
      <x:c r="C170" s="2"/>
      <x:c r="D170" s="2"/>
      <x:c r="E170" s="2"/>
      <x:c r="F170" s="2"/>
      <x:c r="G170" s="24"/>
      <x:c r="H170" s="2"/>
      <x:c r="I170" s="2"/>
      <x:c r="J170" s="2"/>
      <x:c r="K170" s="25"/>
      <x:c r="L170" s="26"/>
      <x:c r="M170" s="26"/>
      <x:c r="N170" s="26"/>
      <x:c r="O170" s="20"/>
      <x:c r="P170" s="20"/>
      <x:c r="Q170" s="2"/>
      <x:c r="R170" s="2"/>
      <x:c r="S170" s="2"/>
      <x:c r="T170" s="23"/>
    </x:row>
    <x:row r="171">
      <x:c r="A171" s="2"/>
      <x:c r="B171" s="2"/>
      <x:c r="C171" s="2"/>
      <x:c r="D171" s="2"/>
      <x:c r="E171" s="2"/>
      <x:c r="F171" s="2"/>
      <x:c r="G171" s="24"/>
      <x:c r="H171" s="2"/>
      <x:c r="I171" s="2"/>
      <x:c r="J171" s="2"/>
      <x:c r="K171" s="25"/>
      <x:c r="L171" s="26"/>
      <x:c r="M171" s="26"/>
      <x:c r="N171" s="26"/>
      <x:c r="O171" s="20"/>
      <x:c r="P171" s="20"/>
      <x:c r="Q171" s="2"/>
      <x:c r="R171" s="2"/>
      <x:c r="S171" s="2"/>
      <x:c r="T171" s="23"/>
    </x:row>
    <x:row r="172">
      <x:c r="A172" s="2"/>
      <x:c r="B172" s="2"/>
      <x:c r="C172" s="2"/>
      <x:c r="D172" s="2"/>
      <x:c r="E172" s="2"/>
      <x:c r="F172" s="2"/>
      <x:c r="G172" s="24"/>
      <x:c r="H172" s="2"/>
      <x:c r="I172" s="2"/>
      <x:c r="J172" s="2"/>
      <x:c r="K172" s="25"/>
      <x:c r="L172" s="26"/>
      <x:c r="M172" s="26"/>
      <x:c r="N172" s="26"/>
      <x:c r="O172" s="20"/>
      <x:c r="P172" s="20"/>
      <x:c r="Q172" s="2"/>
      <x:c r="R172" s="2"/>
      <x:c r="S172" s="2"/>
      <x:c r="T172" s="23"/>
    </x:row>
    <x:row r="173">
      <x:c r="A173" s="2"/>
      <x:c r="B173" s="2"/>
      <x:c r="C173" s="2"/>
      <x:c r="D173" s="2"/>
      <x:c r="E173" s="2"/>
      <x:c r="F173" s="2"/>
      <x:c r="G173" s="24"/>
      <x:c r="H173" s="2"/>
      <x:c r="I173" s="2"/>
      <x:c r="J173" s="2"/>
      <x:c r="K173" s="25"/>
      <x:c r="L173" s="26"/>
      <x:c r="M173" s="26"/>
      <x:c r="N173" s="26"/>
      <x:c r="O173" s="20"/>
      <x:c r="P173" s="20"/>
      <x:c r="Q173" s="2"/>
      <x:c r="R173" s="2"/>
      <x:c r="S173" s="2"/>
      <x:c r="T173" s="23"/>
    </x:row>
    <x:row r="174">
      <x:c r="A174" s="2"/>
      <x:c r="B174" s="2"/>
      <x:c r="C174" s="2"/>
      <x:c r="D174" s="2"/>
      <x:c r="E174" s="2"/>
      <x:c r="F174" s="2"/>
      <x:c r="G174" s="24"/>
      <x:c r="H174" s="2"/>
      <x:c r="I174" s="2"/>
      <x:c r="J174" s="2"/>
      <x:c r="K174" s="25"/>
      <x:c r="L174" s="26"/>
      <x:c r="M174" s="26"/>
      <x:c r="N174" s="26"/>
      <x:c r="O174" s="20"/>
      <x:c r="P174" s="20"/>
      <x:c r="Q174" s="2"/>
      <x:c r="R174" s="2"/>
      <x:c r="S174" s="2"/>
      <x:c r="T174" s="23"/>
    </x:row>
    <x:row r="175">
      <x:c r="A175" s="2"/>
      <x:c r="B175" s="2"/>
      <x:c r="C175" s="2"/>
      <x:c r="D175" s="2"/>
      <x:c r="E175" s="2"/>
      <x:c r="F175" s="2"/>
      <x:c r="G175" s="24"/>
      <x:c r="H175" s="2"/>
      <x:c r="I175" s="2"/>
      <x:c r="J175" s="2"/>
      <x:c r="K175" s="25"/>
      <x:c r="L175" s="26"/>
      <x:c r="M175" s="26"/>
      <x:c r="N175" s="26"/>
      <x:c r="O175" s="20"/>
      <x:c r="P175" s="20"/>
      <x:c r="Q175" s="2"/>
      <x:c r="R175" s="2"/>
      <x:c r="S175" s="2"/>
      <x:c r="T175" s="23"/>
    </x:row>
    <x:row r="176">
      <x:c r="A176" s="2"/>
      <x:c r="B176" s="2"/>
      <x:c r="C176" s="2"/>
      <x:c r="D176" s="2"/>
      <x:c r="E176" s="2"/>
      <x:c r="F176" s="2"/>
      <x:c r="G176" s="24"/>
      <x:c r="H176" s="2"/>
      <x:c r="I176" s="2"/>
      <x:c r="J176" s="2"/>
      <x:c r="K176" s="25"/>
      <x:c r="L176" s="26"/>
      <x:c r="M176" s="26"/>
      <x:c r="N176" s="26"/>
      <x:c r="O176" s="20"/>
      <x:c r="P176" s="20"/>
      <x:c r="Q176" s="2"/>
      <x:c r="R176" s="2"/>
      <x:c r="S176" s="2"/>
      <x:c r="T176" s="23"/>
    </x:row>
    <x:row r="177">
      <x:c r="A177" s="2"/>
      <x:c r="B177" s="2"/>
      <x:c r="C177" s="2"/>
      <x:c r="D177" s="2"/>
      <x:c r="E177" s="2"/>
      <x:c r="F177" s="2"/>
      <x:c r="G177" s="24"/>
      <x:c r="H177" s="2"/>
      <x:c r="I177" s="2"/>
      <x:c r="J177" s="2"/>
      <x:c r="K177" s="25"/>
      <x:c r="L177" s="26"/>
      <x:c r="M177" s="26"/>
      <x:c r="N177" s="26"/>
      <x:c r="O177" s="20"/>
      <x:c r="P177" s="20"/>
      <x:c r="Q177" s="2"/>
      <x:c r="R177" s="2"/>
      <x:c r="S177" s="2"/>
      <x:c r="T177" s="23"/>
    </x:row>
    <x:row r="178">
      <x:c r="A178" s="2"/>
      <x:c r="B178" s="2"/>
      <x:c r="C178" s="2"/>
      <x:c r="D178" s="2"/>
      <x:c r="E178" s="2"/>
      <x:c r="F178" s="2"/>
      <x:c r="G178" s="24"/>
      <x:c r="H178" s="2"/>
      <x:c r="I178" s="2"/>
      <x:c r="J178" s="2"/>
      <x:c r="K178" s="25"/>
      <x:c r="L178" s="26"/>
      <x:c r="M178" s="26"/>
      <x:c r="N178" s="26"/>
      <x:c r="O178" s="20"/>
      <x:c r="P178" s="20"/>
      <x:c r="Q178" s="2"/>
      <x:c r="R178" s="2"/>
      <x:c r="S178" s="2"/>
      <x:c r="T178" s="23"/>
    </x:row>
    <x:row r="179">
      <x:c r="A179" s="2"/>
      <x:c r="B179" s="2"/>
      <x:c r="C179" s="2"/>
      <x:c r="D179" s="2"/>
      <x:c r="E179" s="2"/>
      <x:c r="F179" s="2"/>
      <x:c r="G179" s="24"/>
      <x:c r="H179" s="2"/>
      <x:c r="I179" s="2"/>
      <x:c r="J179" s="2"/>
      <x:c r="K179" s="25"/>
      <x:c r="L179" s="26"/>
      <x:c r="M179" s="26"/>
      <x:c r="N179" s="26"/>
      <x:c r="O179" s="20"/>
      <x:c r="P179" s="20"/>
      <x:c r="Q179" s="2"/>
      <x:c r="R179" s="2"/>
      <x:c r="S179" s="2"/>
      <x:c r="T179" s="23"/>
    </x:row>
    <x:row r="180">
      <x:c r="A180" s="2"/>
      <x:c r="B180" s="2"/>
      <x:c r="C180" s="2"/>
      <x:c r="D180" s="2"/>
      <x:c r="E180" s="2"/>
      <x:c r="F180" s="2"/>
      <x:c r="G180" s="24"/>
      <x:c r="H180" s="2"/>
      <x:c r="I180" s="2"/>
      <x:c r="J180" s="2"/>
      <x:c r="K180" s="25"/>
      <x:c r="L180" s="26"/>
      <x:c r="M180" s="26"/>
      <x:c r="N180" s="26"/>
      <x:c r="O180" s="20"/>
      <x:c r="P180" s="20"/>
      <x:c r="Q180" s="2"/>
      <x:c r="R180" s="2"/>
      <x:c r="S180" s="2"/>
      <x:c r="T180" s="23"/>
    </x:row>
    <x:row r="181">
      <x:c r="A181" s="2"/>
      <x:c r="B181" s="2"/>
      <x:c r="C181" s="2"/>
      <x:c r="D181" s="2"/>
      <x:c r="E181" s="2"/>
      <x:c r="F181" s="2"/>
      <x:c r="G181" s="24"/>
      <x:c r="H181" s="2"/>
      <x:c r="I181" s="2"/>
      <x:c r="J181" s="2"/>
      <x:c r="K181" s="25"/>
      <x:c r="L181" s="26"/>
      <x:c r="M181" s="26"/>
      <x:c r="N181" s="26"/>
      <x:c r="O181" s="20"/>
      <x:c r="P181" s="20"/>
      <x:c r="Q181" s="2"/>
      <x:c r="R181" s="2"/>
      <x:c r="S181" s="2"/>
      <x:c r="T181" s="23"/>
    </x:row>
    <x:row r="182">
      <x:c r="A182" s="2"/>
      <x:c r="B182" s="2"/>
      <x:c r="C182" s="2"/>
      <x:c r="D182" s="2"/>
      <x:c r="E182" s="2"/>
      <x:c r="F182" s="2"/>
      <x:c r="G182" s="24"/>
      <x:c r="H182" s="2"/>
      <x:c r="I182" s="2"/>
      <x:c r="J182" s="2"/>
      <x:c r="K182" s="25"/>
      <x:c r="L182" s="26"/>
      <x:c r="M182" s="26"/>
      <x:c r="N182" s="26"/>
      <x:c r="O182" s="20"/>
      <x:c r="P182" s="20"/>
      <x:c r="Q182" s="2"/>
      <x:c r="R182" s="2"/>
      <x:c r="S182" s="2"/>
      <x:c r="T182" s="23"/>
    </x:row>
    <x:row r="183">
      <x:c r="A183" s="2"/>
      <x:c r="B183" s="2"/>
      <x:c r="C183" s="2"/>
      <x:c r="D183" s="2"/>
      <x:c r="E183" s="2"/>
      <x:c r="F183" s="2"/>
      <x:c r="G183" s="24"/>
      <x:c r="H183" s="2"/>
      <x:c r="I183" s="2"/>
      <x:c r="J183" s="2"/>
      <x:c r="K183" s="25"/>
      <x:c r="L183" s="26"/>
      <x:c r="M183" s="26"/>
      <x:c r="N183" s="26"/>
      <x:c r="O183" s="20"/>
      <x:c r="P183" s="20"/>
      <x:c r="Q183" s="2"/>
      <x:c r="R183" s="2"/>
      <x:c r="S183" s="2"/>
      <x:c r="T183" s="23"/>
    </x:row>
    <x:row r="184">
      <x:c r="A184" s="2"/>
      <x:c r="B184" s="2"/>
      <x:c r="C184" s="2"/>
      <x:c r="D184" s="2"/>
      <x:c r="E184" s="2"/>
      <x:c r="F184" s="2"/>
      <x:c r="G184" s="24"/>
      <x:c r="H184" s="2"/>
      <x:c r="I184" s="2"/>
      <x:c r="J184" s="2"/>
      <x:c r="K184" s="25"/>
      <x:c r="L184" s="26"/>
      <x:c r="M184" s="26"/>
      <x:c r="N184" s="26"/>
      <x:c r="O184" s="20"/>
      <x:c r="P184" s="20"/>
      <x:c r="Q184" s="2"/>
      <x:c r="R184" s="2"/>
      <x:c r="S184" s="2"/>
      <x:c r="T184" s="23"/>
    </x:row>
    <x:row r="185">
      <x:c r="A185" s="2"/>
      <x:c r="B185" s="2"/>
      <x:c r="C185" s="2"/>
      <x:c r="D185" s="2"/>
      <x:c r="E185" s="2"/>
      <x:c r="F185" s="2"/>
      <x:c r="G185" s="24"/>
      <x:c r="H185" s="2"/>
      <x:c r="I185" s="2"/>
      <x:c r="J185" s="2"/>
      <x:c r="K185" s="25"/>
      <x:c r="L185" s="26"/>
      <x:c r="M185" s="26"/>
      <x:c r="N185" s="26"/>
      <x:c r="O185" s="20"/>
      <x:c r="P185" s="20"/>
      <x:c r="Q185" s="2"/>
      <x:c r="R185" s="2"/>
      <x:c r="S185" s="2"/>
      <x:c r="T185" s="23"/>
    </x:row>
    <x:row r="186">
      <x:c r="A186" s="2"/>
      <x:c r="B186" s="2"/>
      <x:c r="C186" s="2"/>
      <x:c r="D186" s="2"/>
      <x:c r="E186" s="2"/>
      <x:c r="F186" s="2"/>
      <x:c r="G186" s="24"/>
      <x:c r="H186" s="2"/>
      <x:c r="I186" s="2"/>
      <x:c r="J186" s="2"/>
      <x:c r="K186" s="25"/>
      <x:c r="L186" s="26"/>
      <x:c r="M186" s="26"/>
      <x:c r="N186" s="26"/>
      <x:c r="O186" s="20"/>
      <x:c r="P186" s="20"/>
      <x:c r="Q186" s="2"/>
      <x:c r="R186" s="2"/>
      <x:c r="S186" s="2"/>
      <x:c r="T186" s="23"/>
    </x:row>
    <x:row r="187">
      <x:c r="A187" s="2"/>
      <x:c r="B187" s="2"/>
      <x:c r="C187" s="2"/>
      <x:c r="D187" s="2"/>
      <x:c r="E187" s="2"/>
      <x:c r="F187" s="2"/>
      <x:c r="G187" s="24"/>
      <x:c r="H187" s="2"/>
      <x:c r="I187" s="2"/>
      <x:c r="J187" s="2"/>
      <x:c r="K187" s="25"/>
      <x:c r="L187" s="26"/>
      <x:c r="M187" s="26"/>
      <x:c r="N187" s="26"/>
      <x:c r="O187" s="20"/>
      <x:c r="P187" s="20"/>
      <x:c r="Q187" s="2"/>
      <x:c r="R187" s="2"/>
      <x:c r="S187" s="2"/>
      <x:c r="T187" s="23"/>
    </x:row>
    <x:row r="188">
      <x:c r="A188" s="2"/>
      <x:c r="B188" s="2"/>
      <x:c r="C188" s="2"/>
      <x:c r="D188" s="2"/>
      <x:c r="E188" s="2"/>
      <x:c r="F188" s="2"/>
      <x:c r="G188" s="24"/>
      <x:c r="H188" s="2"/>
      <x:c r="I188" s="2"/>
      <x:c r="J188" s="2"/>
      <x:c r="K188" s="25"/>
      <x:c r="L188" s="26"/>
      <x:c r="M188" s="26"/>
      <x:c r="N188" s="26"/>
      <x:c r="O188" s="20"/>
      <x:c r="P188" s="20"/>
      <x:c r="Q188" s="2"/>
      <x:c r="R188" s="2"/>
      <x:c r="S188" s="2"/>
      <x:c r="T188" s="23"/>
    </x:row>
    <x:row r="189">
      <x:c r="A189" s="2"/>
      <x:c r="B189" s="2"/>
      <x:c r="C189" s="2"/>
      <x:c r="D189" s="2"/>
      <x:c r="E189" s="2"/>
      <x:c r="F189" s="2"/>
      <x:c r="G189" s="24"/>
      <x:c r="H189" s="2"/>
      <x:c r="I189" s="2"/>
      <x:c r="J189" s="2"/>
      <x:c r="K189" s="25"/>
      <x:c r="L189" s="26"/>
      <x:c r="M189" s="26"/>
      <x:c r="N189" s="26"/>
      <x:c r="O189" s="20"/>
      <x:c r="P189" s="20"/>
      <x:c r="Q189" s="2"/>
      <x:c r="R189" s="2"/>
      <x:c r="S189" s="2"/>
      <x:c r="T189" s="23"/>
    </x:row>
    <x:row r="190">
      <x:c r="A190" s="2"/>
      <x:c r="B190" s="2"/>
      <x:c r="C190" s="2"/>
      <x:c r="D190" s="2"/>
      <x:c r="E190" s="2"/>
      <x:c r="F190" s="2"/>
      <x:c r="G190" s="24"/>
      <x:c r="H190" s="2"/>
      <x:c r="I190" s="2"/>
      <x:c r="J190" s="2"/>
      <x:c r="K190" s="25"/>
      <x:c r="L190" s="26"/>
      <x:c r="M190" s="26"/>
      <x:c r="N190" s="26"/>
      <x:c r="O190" s="20"/>
      <x:c r="P190" s="20"/>
      <x:c r="Q190" s="2"/>
      <x:c r="R190" s="2"/>
      <x:c r="S190" s="2"/>
      <x:c r="T190" s="23"/>
    </x:row>
    <x:row r="191">
      <x:c r="A191" s="2"/>
      <x:c r="B191" s="2"/>
      <x:c r="C191" s="2"/>
      <x:c r="D191" s="2"/>
      <x:c r="E191" s="2"/>
      <x:c r="F191" s="2"/>
      <x:c r="G191" s="24"/>
      <x:c r="H191" s="2"/>
      <x:c r="I191" s="2"/>
      <x:c r="J191" s="2"/>
      <x:c r="K191" s="25"/>
      <x:c r="L191" s="26"/>
      <x:c r="M191" s="26"/>
      <x:c r="N191" s="26"/>
      <x:c r="O191" s="20"/>
      <x:c r="P191" s="20"/>
      <x:c r="Q191" s="2"/>
      <x:c r="R191" s="2"/>
      <x:c r="S191" s="2"/>
      <x:c r="T191" s="23"/>
    </x:row>
    <x:row r="192">
      <x:c r="A192" s="2"/>
      <x:c r="B192" s="2"/>
      <x:c r="C192" s="2"/>
      <x:c r="D192" s="2"/>
      <x:c r="E192" s="2"/>
      <x:c r="F192" s="2"/>
      <x:c r="G192" s="24"/>
      <x:c r="H192" s="2"/>
      <x:c r="I192" s="2"/>
      <x:c r="J192" s="2"/>
      <x:c r="K192" s="25"/>
      <x:c r="L192" s="26"/>
      <x:c r="M192" s="26"/>
      <x:c r="N192" s="26"/>
      <x:c r="O192" s="20"/>
      <x:c r="P192" s="20"/>
      <x:c r="Q192" s="2"/>
      <x:c r="R192" s="2"/>
      <x:c r="S192" s="2"/>
      <x:c r="T192" s="23"/>
    </x:row>
    <x:row r="193">
      <x:c r="A193" s="2"/>
      <x:c r="B193" s="2"/>
      <x:c r="C193" s="2"/>
      <x:c r="D193" s="2"/>
      <x:c r="E193" s="2"/>
      <x:c r="F193" s="2"/>
      <x:c r="G193" s="24"/>
      <x:c r="H193" s="2"/>
      <x:c r="I193" s="2"/>
      <x:c r="J193" s="2"/>
      <x:c r="K193" s="25"/>
      <x:c r="L193" s="26"/>
      <x:c r="M193" s="26"/>
      <x:c r="N193" s="26"/>
      <x:c r="O193" s="20"/>
      <x:c r="P193" s="20"/>
      <x:c r="Q193" s="2"/>
      <x:c r="R193" s="2"/>
      <x:c r="S193" s="2"/>
      <x:c r="T193" s="23"/>
    </x:row>
    <x:row r="194">
      <x:c r="A194" s="2"/>
      <x:c r="B194" s="2"/>
      <x:c r="C194" s="2"/>
      <x:c r="D194" s="2"/>
      <x:c r="E194" s="2"/>
      <x:c r="F194" s="2"/>
      <x:c r="G194" s="24"/>
      <x:c r="H194" s="2"/>
      <x:c r="I194" s="2"/>
      <x:c r="J194" s="2"/>
      <x:c r="K194" s="25"/>
      <x:c r="L194" s="26"/>
      <x:c r="M194" s="26"/>
      <x:c r="N194" s="26"/>
      <x:c r="O194" s="20"/>
      <x:c r="P194" s="20"/>
      <x:c r="Q194" s="2"/>
      <x:c r="R194" s="2"/>
      <x:c r="S194" s="2"/>
      <x:c r="T194" s="23"/>
    </x:row>
    <x:row r="195">
      <x:c r="A195" s="2"/>
      <x:c r="B195" s="2"/>
      <x:c r="C195" s="2"/>
      <x:c r="D195" s="2"/>
      <x:c r="E195" s="2"/>
      <x:c r="F195" s="2"/>
      <x:c r="G195" s="24"/>
      <x:c r="H195" s="2"/>
      <x:c r="I195" s="2"/>
      <x:c r="J195" s="2"/>
      <x:c r="K195" s="25"/>
      <x:c r="L195" s="26"/>
      <x:c r="M195" s="26"/>
      <x:c r="N195" s="26"/>
      <x:c r="O195" s="20"/>
      <x:c r="P195" s="20"/>
      <x:c r="Q195" s="2"/>
      <x:c r="R195" s="2"/>
      <x:c r="S195" s="2"/>
      <x:c r="T195" s="23"/>
    </x:row>
    <x:row r="196">
      <x:c r="A196" s="2"/>
      <x:c r="B196" s="2"/>
      <x:c r="C196" s="2"/>
      <x:c r="D196" s="2"/>
      <x:c r="E196" s="2"/>
      <x:c r="F196" s="2"/>
      <x:c r="G196" s="24"/>
      <x:c r="H196" s="2"/>
      <x:c r="I196" s="2"/>
      <x:c r="J196" s="2"/>
      <x:c r="K196" s="25"/>
      <x:c r="L196" s="26"/>
      <x:c r="M196" s="26"/>
      <x:c r="N196" s="26"/>
      <x:c r="O196" s="20"/>
      <x:c r="P196" s="20"/>
      <x:c r="Q196" s="2"/>
      <x:c r="R196" s="2"/>
      <x:c r="S196" s="2"/>
      <x:c r="T196" s="23"/>
    </x:row>
    <x:row r="197">
      <x:c r="A197" s="2"/>
      <x:c r="B197" s="2"/>
      <x:c r="C197" s="2"/>
      <x:c r="D197" s="2"/>
      <x:c r="E197" s="2"/>
      <x:c r="F197" s="2"/>
      <x:c r="G197" s="24"/>
      <x:c r="H197" s="2"/>
      <x:c r="I197" s="2"/>
      <x:c r="J197" s="2"/>
      <x:c r="K197" s="25"/>
      <x:c r="L197" s="26"/>
      <x:c r="M197" s="26"/>
      <x:c r="N197" s="26"/>
      <x:c r="O197" s="20"/>
      <x:c r="P197" s="20"/>
      <x:c r="Q197" s="2"/>
      <x:c r="R197" s="2"/>
      <x:c r="S197" s="2"/>
      <x:c r="T197" s="23"/>
    </x:row>
    <x:row r="198">
      <x:c r="A198" s="2"/>
      <x:c r="B198" s="2"/>
      <x:c r="C198" s="2"/>
      <x:c r="D198" s="2"/>
      <x:c r="E198" s="2"/>
      <x:c r="F198" s="2"/>
      <x:c r="G198" s="24"/>
      <x:c r="H198" s="2"/>
      <x:c r="I198" s="2"/>
      <x:c r="J198" s="2"/>
      <x:c r="K198" s="25"/>
      <x:c r="L198" s="26"/>
      <x:c r="M198" s="26"/>
      <x:c r="N198" s="26"/>
      <x:c r="O198" s="20"/>
      <x:c r="P198" s="20"/>
      <x:c r="Q198" s="2"/>
      <x:c r="R198" s="2"/>
      <x:c r="S198" s="2"/>
      <x:c r="T198" s="23"/>
    </x:row>
    <x:row r="199">
      <x:c r="A199" s="2"/>
      <x:c r="B199" s="2"/>
      <x:c r="C199" s="2"/>
      <x:c r="D199" s="2"/>
      <x:c r="E199" s="2"/>
      <x:c r="F199" s="2"/>
      <x:c r="G199" s="24"/>
      <x:c r="H199" s="2"/>
      <x:c r="I199" s="2"/>
      <x:c r="J199" s="2"/>
      <x:c r="K199" s="25"/>
      <x:c r="L199" s="26"/>
      <x:c r="M199" s="26"/>
      <x:c r="N199" s="26"/>
      <x:c r="O199" s="20"/>
      <x:c r="P199" s="20"/>
      <x:c r="Q199" s="2"/>
      <x:c r="R199" s="2"/>
      <x:c r="S199" s="2"/>
      <x:c r="T199" s="23"/>
    </x:row>
    <x:row r="200">
      <x:c r="A200" s="2"/>
      <x:c r="B200" s="2"/>
      <x:c r="C200" s="2"/>
      <x:c r="D200" s="2"/>
      <x:c r="E200" s="2"/>
      <x:c r="F200" s="2"/>
      <x:c r="G200" s="24"/>
      <x:c r="H200" s="2"/>
      <x:c r="I200" s="2"/>
      <x:c r="J200" s="2"/>
      <x:c r="K200" s="25"/>
      <x:c r="L200" s="26"/>
      <x:c r="M200" s="26"/>
      <x:c r="N200" s="26"/>
      <x:c r="O200" s="20"/>
      <x:c r="P200" s="20"/>
      <x:c r="Q200" s="2"/>
      <x:c r="R200" s="2"/>
      <x:c r="S200" s="2"/>
      <x:c r="T200" s="23"/>
    </x:row>
    <x:row r="201">
      <x:c r="A201" s="2"/>
      <x:c r="B201" s="2"/>
      <x:c r="C201" s="2"/>
      <x:c r="D201" s="2"/>
      <x:c r="E201" s="2"/>
      <x:c r="F201" s="2"/>
      <x:c r="G201" s="24"/>
      <x:c r="H201" s="2"/>
      <x:c r="I201" s="2"/>
      <x:c r="J201" s="2"/>
      <x:c r="K201" s="25"/>
      <x:c r="L201" s="26"/>
      <x:c r="M201" s="26"/>
      <x:c r="N201" s="26"/>
      <x:c r="O201" s="20"/>
      <x:c r="P201" s="20"/>
      <x:c r="Q201" s="2"/>
      <x:c r="R201" s="2"/>
      <x:c r="S201" s="2"/>
      <x:c r="T201" s="23"/>
    </x:row>
    <x:row r="202">
      <x:c r="A202" s="2"/>
      <x:c r="B202" s="2"/>
      <x:c r="C202" s="2"/>
      <x:c r="D202" s="2"/>
      <x:c r="E202" s="2"/>
      <x:c r="F202" s="2"/>
      <x:c r="G202" s="24"/>
      <x:c r="H202" s="2"/>
      <x:c r="I202" s="2"/>
      <x:c r="J202" s="2"/>
      <x:c r="K202" s="25"/>
      <x:c r="L202" s="26"/>
      <x:c r="M202" s="26"/>
      <x:c r="N202" s="26"/>
      <x:c r="O202" s="20"/>
      <x:c r="P202" s="20"/>
      <x:c r="Q202" s="2"/>
      <x:c r="R202" s="2"/>
      <x:c r="S202" s="2"/>
      <x:c r="T202" s="23"/>
    </x:row>
    <x:row r="203">
      <x:c r="A203" s="2"/>
      <x:c r="B203" s="2"/>
      <x:c r="C203" s="2"/>
      <x:c r="D203" s="2"/>
      <x:c r="E203" s="2"/>
      <x:c r="F203" s="2"/>
      <x:c r="G203" s="24"/>
      <x:c r="H203" s="2"/>
      <x:c r="I203" s="2"/>
      <x:c r="J203" s="2"/>
      <x:c r="K203" s="25"/>
      <x:c r="L203" s="26"/>
      <x:c r="M203" s="26"/>
      <x:c r="N203" s="26"/>
      <x:c r="O203" s="20"/>
      <x:c r="P203" s="20"/>
      <x:c r="Q203" s="2"/>
      <x:c r="R203" s="2"/>
      <x:c r="S203" s="2"/>
      <x:c r="T203" s="23"/>
    </x:row>
    <x:row r="204">
      <x:c r="A204" s="2"/>
      <x:c r="B204" s="2"/>
      <x:c r="C204" s="2"/>
      <x:c r="D204" s="2"/>
      <x:c r="E204" s="2"/>
      <x:c r="F204" s="2"/>
      <x:c r="G204" s="24"/>
      <x:c r="H204" s="2"/>
      <x:c r="I204" s="2"/>
      <x:c r="J204" s="2"/>
      <x:c r="K204" s="25"/>
      <x:c r="L204" s="26"/>
      <x:c r="M204" s="26"/>
      <x:c r="N204" s="26"/>
      <x:c r="O204" s="20"/>
      <x:c r="P204" s="20"/>
      <x:c r="Q204" s="2"/>
      <x:c r="R204" s="2"/>
      <x:c r="S204" s="2"/>
      <x:c r="T204" s="23"/>
    </x:row>
  </x:sheetData>
  <x:mergeCells>
    <x:mergeCell ref="A1:T1"/>
    <x:mergeCell ref="A2:T2"/>
  </x:mergeCells>
  <x:dataValidations count="4">
    <x:dataValidation type="list" sqref="D5:D204">
      <x:formula1>"no_video,with_video"</x:formula1>
    </x:dataValidation>
    <x:dataValidation type="list" sqref="E5:E204">
      <x:formula1>"per_token"</x:formula1>
    </x:dataValidation>
    <x:dataValidation type="list" sqref="F5:F204">
      <x:formula1>"CNY,USD"</x:formula1>
    </x:dataValidation>
    <x:dataValidation type="list" sqref="Q5:Q204">
      <x:formula1>"draft,active,inactive"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000000000000020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3.5"/>
  <x:cols>
    <x:col min="1" max="1" width="42" customWidth="1"/>
    <x:col min="2" max="2" width="16" customWidth="1"/>
    <x:col min="3" max="3" width="28.75" customWidth="1"/>
    <x:col min="4" max="4" width="24" customWidth="1"/>
    <x:col min="5" max="7" width="16" customWidth="1"/>
    <x:col min="8" max="8" width="23" customWidth="1"/>
    <x:col min="9" max="9" width="24" customWidth="1"/>
    <x:col min="10" max="10" width="18" customWidth="1"/>
    <x:col min="11" max="11" width="10" customWidth="1"/>
    <x:col min="12" max="14" width="13" customWidth="1"/>
    <x:col min="15" max="15" width="16" customWidth="1"/>
    <x:col min="16" max="17" width="13" customWidth="1"/>
    <x:col min="18" max="18" width="16" customWidth="1"/>
    <x:col min="19" max="19" width="13" customWidth="1"/>
    <x:col min="20" max="20" width="15" customWidth="1"/>
    <x:col min="21" max="21" width="17" customWidth="1"/>
    <x:col min="22" max="22" width="18" customWidth="1"/>
    <x:col min="23" max="24" width="14" customWidth="1"/>
    <x:col min="25" max="25" width="12" customWidth="1"/>
    <x:col min="26" max="26" width="14" customWidth="1"/>
    <x:col min="27" max="27" width="60" customWidth="1"/>
    <x:col min="28" max="28" width="22" customWidth="1"/>
  </x:cols>
  <x:sheetData>
    <x:row r="1" ht="34.04999923706055" customHeight="1">
      <x:c r="A1" s="33" t="s">
        <x:v>40</x:v>
      </x:c>
      <x:c r="B1" s="33"/>
      <x:c r="C1" s="33"/>
      <x:c r="D1" s="33"/>
      <x:c r="E1" s="33"/>
      <x:c r="F1" s="33"/>
      <x:c r="G1" s="33"/>
      <x:c r="H1" s="33"/>
      <x:c r="I1" s="33"/>
      <x:c r="J1" s="33"/>
      <x:c r="K1" s="33"/>
      <x:c r="L1" s="33"/>
      <x:c r="M1" s="33"/>
      <x:c r="N1" s="33"/>
      <x:c r="O1" s="33"/>
      <x:c r="P1" s="33"/>
      <x:c r="Q1" s="33"/>
      <x:c r="R1" s="33"/>
      <x:c r="S1" s="33"/>
      <x:c r="T1" s="33"/>
      <x:c r="U1" s="33"/>
      <x:c r="V1" s="33"/>
      <x:c r="W1" s="33"/>
      <x:c r="X1" s="33"/>
      <x:c r="Y1" s="33"/>
      <x:c r="Z1" s="33"/>
      <x:c r="AA1" s="33"/>
      <x:c r="AB1" s="33"/>
    </x:row>
    <x:row r="2" ht="32" customHeight="1">
      <x:c r="A2" s="34" t="s">
        <x:v>171</x:v>
      </x:c>
      <x:c r="B2" s="34"/>
      <x:c r="C2" s="34"/>
      <x:c r="D2" s="34"/>
      <x:c r="E2" s="34"/>
      <x:c r="F2" s="34"/>
      <x:c r="G2" s="34"/>
      <x:c r="H2" s="34"/>
      <x:c r="I2" s="34"/>
      <x:c r="J2" s="34"/>
      <x:c r="K2" s="34"/>
      <x:c r="L2" s="34"/>
      <x:c r="M2" s="34"/>
      <x:c r="N2" s="34"/>
      <x:c r="O2" s="34"/>
      <x:c r="P2" s="34"/>
      <x:c r="Q2" s="34"/>
      <x:c r="R2" s="34"/>
      <x:c r="S2" s="34"/>
      <x:c r="T2" s="34"/>
      <x:c r="U2" s="34"/>
      <x:c r="V2" s="34"/>
      <x:c r="W2" s="34"/>
      <x:c r="X2" s="34"/>
      <x:c r="Y2" s="34"/>
      <x:c r="Z2" s="34"/>
      <x:c r="AA2" s="34"/>
      <x:c r="AB2" s="34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</x:row>
    <x:row r="4" ht="34.04999923706055" customHeight="1">
      <x:c r="A4" s="1" t="s">
        <x:v>42</x:v>
      </x:c>
      <x:c r="B4" s="1" t="s">
        <x:v>20</x:v>
      </x:c>
      <x:c r="C4" s="1" t="s">
        <x:v>172</x:v>
      </x:c>
      <x:c r="D4" s="1" t="s">
        <x:v>28</x:v>
      </x:c>
      <x:c r="E4" s="1" t="s">
        <x:v>161</x:v>
      </x:c>
      <x:c r="F4" s="1" t="s">
        <x:v>173</x:v>
      </x:c>
      <x:c r="G4" s="1" t="s">
        <x:v>174</x:v>
      </x:c>
      <x:c r="H4" s="1" t="s">
        <x:v>175</x:v>
      </x:c>
      <x:c r="I4" s="1" t="s">
        <x:v>176</x:v>
      </x:c>
      <x:c r="J4" s="1" t="s">
        <x:v>177</x:v>
      </x:c>
      <x:c r="K4" s="1" t="s">
        <x:v>163</x:v>
      </x:c>
      <x:c r="L4" s="1" t="s">
        <x:v>178</x:v>
      </x:c>
      <x:c r="M4" s="1" t="s">
        <x:v>179</x:v>
      </x:c>
      <x:c r="N4" s="1" t="s">
        <x:v>164</x:v>
      </x:c>
      <x:c r="O4" s="1" t="s">
        <x:v>180</x:v>
      </x:c>
      <x:c r="P4" s="1" t="s">
        <x:v>140</x:v>
      </x:c>
      <x:c r="Q4" s="1" t="s">
        <x:v>181</x:v>
      </x:c>
      <x:c r="R4" s="1" t="s">
        <x:v>138</x:v>
      </x:c>
      <x:c r="S4" s="1" t="s">
        <x:v>139</x:v>
      </x:c>
      <x:c r="T4" s="1" t="s">
        <x:v>182</x:v>
      </x:c>
      <x:c r="U4" s="1" t="s">
        <x:v>75</x:v>
      </x:c>
      <x:c r="V4" s="1" t="s">
        <x:v>183</x:v>
      </x:c>
      <x:c r="W4" s="1" t="s">
        <x:v>169</x:v>
      </x:c>
      <x:c r="X4" s="1" t="s">
        <x:v>170</x:v>
      </x:c>
      <x:c r="Y4" s="1" t="s">
        <x:v>142</x:v>
      </x:c>
      <x:c r="Z4" s="1" t="s">
        <x:v>62</x:v>
      </x:c>
      <x:c r="AA4" s="1" t="s">
        <x:v>9</x:v>
      </x:c>
      <x:c r="AB4" s="1" t="s">
        <x:v>67</x:v>
      </x:c>
    </x:row>
    <x:row r="5" ht="66" hidden="1" customHeight="1">
      <x:c r="A5" s="2" t="str">
        <x:v>COST-CLMM-R3-720-SEC-NOV</x:v>
      </x:c>
      <x:c r="B5" s="2" t="str">
        <x:v>CH-CLMM</x:v>
      </x:c>
      <x:c r="C5" s="2" t="str">
        <x:v>seedance 720p-fast</x:v>
      </x:c>
      <x:c r="D5" s="2" t="str">
        <x:v>SKU-SD20-FAST-720</x:v>
      </x:c>
      <x:c r="E5" s="2" t="str">
        <x:v>no_video</x:v>
      </x:c>
      <x:c r="F5" s="2" t="str">
        <x:v>per_duration</x:v>
      </x:c>
      <x:c r="G5" s="2"/>
      <x:c r="H5" s="2" t="str">
        <x:v>validated_request</x:v>
      </x:c>
      <x:c r="I5" s="2" t="str">
        <x:v>billable_duration_seconds</x:v>
      </x:c>
      <x:c r="J5" s="2" t="str">
        <x:v>task_succeeded</x:v>
      </x:c>
      <x:c r="K5" s="2" t="str">
        <x:v>CNY</x:v>
      </x:c>
      <x:c r="L5" s="27"/>
      <x:c r="M5" s="27" t="n">
        <x:v>1.38</x:v>
      </x:c>
      <x:c r="N5" s="27"/>
      <x:c r="O5" s="26" t="n">
        <x:f t="shared" ref="O5:O68" si="0">IF(F5="per_request",L5,IF(F5="per_duration",M5,IF(F5="per_token",N5,0)))</x:f>
        <x:v>1.38</x:v>
      </x:c>
      <x:c r="P5" s="27" t="n">
        <x:v>1</x:v>
      </x:c>
      <x:c r="Q5" s="27" t="n">
        <x:v>1</x:v>
      </x:c>
      <x:c r="R5" s="27" t="n">
        <x:v>1</x:v>
      </x:c>
      <x:c r="S5" s="27" t="n">
        <x:v>0</x:v>
      </x:c>
      <x:c r="T5" s="26" t="n">
        <x:f>IF(K5="USD",1,'参数'!$B$6)</x:f>
        <x:v>0.136986301369863</x:v>
      </x:c>
      <x:c r="U5" s="26" t="n">
        <x:f t="shared" ref="U5:U68" si="1">O5*P5*Q5/R5*(1+S5)*T5</x:f>
        <x:v>0.18904109589041093</x:v>
      </x:c>
      <x:c r="V5" s="23" t="str">
        <x:f t="shared" ref="V5:V68" si="2">IF(F5="per_request","USD/次",IF(F5="per_duration","USD/秒",IF(F5="per_token","USD/1M Token","")))</x:f>
        <x:v>USD/秒</x:v>
      </x:c>
      <x:c r="W5" s="20" t="n">
        <x:v>46229.393565162034</x:v>
      </x:c>
      <x:c r="X5" s="20"/>
      <x:c r="Y5" s="2" t="str">
        <x:v>active</x:v>
      </x:c>
      <x:c r="Z5" s="2" t="str">
        <x:v>SRC-CH-01</x:v>
      </x:c>
      <x:c r="AA5" s="7" t="str">
        <x:v>源行=sd!3；原模型=seedance 720p-fast；时长=4-15；比例=9:16；视频输入=是；真人脸=是；超分=否；素材库=否；NSFW=是；协议=自有；素材限制=933；原表折扣 秒 无V=1.727（成本/官价参考比，不参与成本二次计算）；破甲,破限,无审核,除了版权都能过</x:v>
      </x:c>
      <x:c r="AB5" s="23" t="str">
        <x:f t="shared" ref="AB5:AB68" si="3">IF(A5="","",IF(COUNTIF($A$5:$A$1004,A5)&gt;1,"错误:重复成本规则ID",IF(OR(B5="",C5="",E5="",F5="",K5="",O5&lt;=0,P5&lt;=0,Q5&lt;=0,R5&lt;=0,S5&lt;0,T5&lt;=0,Y5=""),"错误:必填项",IF(D5="","警告:SKU待映射","OK"))))</x:f>
        <x:v>OK</x:v>
      </x:c>
    </x:row>
    <x:row r="6" ht="66" hidden="1" customHeight="1">
      <x:c r="A6" s="2" t="str">
        <x:v>COST-CLMM-R3-720-SEC-VID</x:v>
      </x:c>
      <x:c r="B6" s="2" t="str">
        <x:v>CH-CLMM</x:v>
      </x:c>
      <x:c r="C6" s="2" t="str">
        <x:v>seedance 720p-fast</x:v>
      </x:c>
      <x:c r="D6" s="2" t="str">
        <x:v>SKU-SD20-FAST-720</x:v>
      </x:c>
      <x:c r="E6" s="2" t="str">
        <x:v>with_video</x:v>
      </x:c>
      <x:c r="F6" s="2" t="str">
        <x:v>per_duration</x:v>
      </x:c>
      <x:c r="G6" s="2"/>
      <x:c r="H6" s="2" t="str">
        <x:v>validated_request</x:v>
      </x:c>
      <x:c r="I6" s="2" t="str">
        <x:v>billable_duration_seconds</x:v>
      </x:c>
      <x:c r="J6" s="2" t="str">
        <x:v>task_succeeded</x:v>
      </x:c>
      <x:c r="K6" s="2" t="str">
        <x:v>CNY</x:v>
      </x:c>
      <x:c r="L6" s="27"/>
      <x:c r="M6" s="27" t="n">
        <x:v>1.38</x:v>
      </x:c>
      <x:c r="N6" s="27"/>
      <x:c r="O6" s="26" t="n">
        <x:f t="shared" si="0">IF(F6="per_request",L6,IF(F6="per_duration",M6,IF(F6="per_token",N6,0)))</x:f>
        <x:v>1.38</x:v>
      </x:c>
      <x:c r="P6" s="27" t="n">
        <x:v>1</x:v>
      </x:c>
      <x:c r="Q6" s="27" t="n">
        <x:v>1</x:v>
      </x:c>
      <x:c r="R6" s="27" t="n">
        <x:v>1</x:v>
      </x:c>
      <x:c r="S6" s="27" t="n">
        <x:v>0</x:v>
      </x:c>
      <x:c r="T6" s="26" t="n">
        <x:f>IF(K6="USD",1,'参数'!$B$6)</x:f>
        <x:v>0.136986301369863</x:v>
      </x:c>
      <x:c r="U6" s="26" t="n">
        <x:f t="shared" si="1">O6*P6*Q6/R6*(1+S6)*T6</x:f>
        <x:v>0.18904109589041093</x:v>
      </x:c>
      <x:c r="V6" s="23" t="str">
        <x:f t="shared" si="2">IF(F6="per_request","USD/次",IF(F6="per_duration","USD/秒",IF(F6="per_token","USD/1M Token","")))</x:f>
        <x:v>USD/秒</x:v>
      </x:c>
      <x:c r="W6" s="20" t="n">
        <x:v>46229.393565162034</x:v>
      </x:c>
      <x:c r="X6" s="20"/>
      <x:c r="Y6" s="2" t="str">
        <x:v>active</x:v>
      </x:c>
      <x:c r="Z6" s="2" t="str">
        <x:v>SRC-CH-01</x:v>
      </x:c>
      <x:c r="AA6" s="7" t="str">
        <x:v>源行=sd!3；原模型=seedance 720p-fast；时长=4-15；比例=9:16；视频输入=是；真人脸=是；超分=否；素材库=否；NSFW=是；协议=自有；素材限制=933；原表折扣 秒 含V=2.905（成本/官价参考比，不参与成本二次计算）；破甲,破限,无审核,除了版权都能过</x:v>
      </x:c>
      <x:c r="AB6" s="23" t="str">
        <x:f t="shared" si="3">IF(A6="","",IF(COUNTIF($A$5:$A$1004,A6)&gt;1,"错误:重复成本规则ID",IF(OR(B6="",C6="",E6="",F6="",K6="",O6&lt;=0,P6&lt;=0,Q6&lt;=0,R6&lt;=0,S6&lt;0,T6&lt;=0,Y6=""),"错误:必填项",IF(D6="","警告:SKU待映射","OK"))))</x:f>
        <x:v>OK</x:v>
      </x:c>
    </x:row>
    <x:row r="7" ht="39.599998474121094" hidden="1" customHeight="1">
      <x:c r="A7" s="2" t="str">
        <x:v>COST-CLMM-R4-1080-REQ-NOV</x:v>
      </x:c>
      <x:c r="B7" s="2" t="str">
        <x:v>CH-CLMM</x:v>
      </x:c>
      <x:c r="C7" s="2" t="str">
        <x:v>bb-seedance2.0 1080p-pro-gz-15s</x:v>
      </x:c>
      <x:c r="D7" s="2" t="str">
        <x:v>SKU-SD20-STD-1080</x:v>
      </x:c>
      <x:c r="E7" s="2" t="str">
        <x:v>no_video</x:v>
      </x:c>
      <x:c r="F7" s="2" t="str">
        <x:v>per_request</x:v>
      </x:c>
      <x:c r="G7" s="2"/>
      <x:c r="H7" s="2" t="str">
        <x:v>validated_request</x:v>
      </x:c>
      <x:c r="I7" s="2" t="str">
        <x:v>request_count</x:v>
      </x:c>
      <x:c r="J7" s="2" t="str">
        <x:v>task_succeeded</x:v>
      </x:c>
      <x:c r="K7" s="2" t="str">
        <x:v>CNY</x:v>
      </x:c>
      <x:c r="L7" s="27" t="n">
        <x:v>6.8</x:v>
      </x:c>
      <x:c r="M7" s="27"/>
      <x:c r="N7" s="27"/>
      <x:c r="O7" s="26" t="n">
        <x:f t="shared" si="0">IF(F7="per_request",L7,IF(F7="per_duration",M7,IF(F7="per_token",N7,0)))</x:f>
        <x:v>6.8</x:v>
      </x:c>
      <x:c r="P7" s="27" t="n">
        <x:v>1</x:v>
      </x:c>
      <x:c r="Q7" s="27" t="n">
        <x:v>1</x:v>
      </x:c>
      <x:c r="R7" s="27" t="n">
        <x:v>1</x:v>
      </x:c>
      <x:c r="S7" s="27" t="n">
        <x:v>0</x:v>
      </x:c>
      <x:c r="T7" s="26" t="n">
        <x:f>IF(K7="USD",1,'参数'!$B$6)</x:f>
        <x:v>0.136986301369863</x:v>
      </x:c>
      <x:c r="U7" s="26" t="n">
        <x:f t="shared" si="1">O7*P7*Q7/R7*(1+S7)*T7</x:f>
        <x:v>0.9315068493150684</x:v>
      </x:c>
      <x:c r="V7" s="23" t="str">
        <x:f t="shared" si="2">IF(F7="per_request","USD/次",IF(F7="per_duration","USD/秒",IF(F7="per_token","USD/1M Token","")))</x:f>
        <x:v>USD/次</x:v>
      </x:c>
      <x:c r="W7" s="20" t="n">
        <x:v>46229.393565162034</x:v>
      </x:c>
      <x:c r="X7" s="20"/>
      <x:c r="Y7" s="2" t="str">
        <x:v>active</x:v>
      </x:c>
      <x:c r="Z7" s="2" t="str">
        <x:v>SRC-CH-01</x:v>
      </x:c>
      <x:c r="AA7" s="7" t="str">
        <x:v>源行=sd!4；原模型=bb-seedance2.0 1080p-pro-gz-15s；时长=15；比例=9:16；视频输入=是；真人脸=否；超分=否；素材库=否；NSFW=否；协议=自有；素材限制=933</x:v>
      </x:c>
      <x:c r="AB7" s="23" t="str">
        <x:f t="shared" si="3">IF(A7="","",IF(COUNTIF($A$5:$A$1004,A7)&gt;1,"错误:重复成本规则ID",IF(OR(B7="",C7="",E7="",F7="",K7="",O7&lt;=0,P7&lt;=0,Q7&lt;=0,R7&lt;=0,S7&lt;0,T7&lt;=0,Y7=""),"错误:必填项",IF(D7="","警告:SKU待映射","OK"))))</x:f>
        <x:v>OK</x:v>
      </x:c>
    </x:row>
    <x:row r="8" ht="39.599998474121094" hidden="1" customHeight="1">
      <x:c r="A8" s="2" t="str">
        <x:v>COST-CLMM-R4-1080-REQ-VID</x:v>
      </x:c>
      <x:c r="B8" s="2" t="str">
        <x:v>CH-CLMM</x:v>
      </x:c>
      <x:c r="C8" s="2" t="str">
        <x:v>bb-seedance2.0 1080p-pro-gz-15s</x:v>
      </x:c>
      <x:c r="D8" s="2" t="str">
        <x:v>SKU-SD20-STD-1080</x:v>
      </x:c>
      <x:c r="E8" s="2" t="str">
        <x:v>with_video</x:v>
      </x:c>
      <x:c r="F8" s="2" t="str">
        <x:v>per_request</x:v>
      </x:c>
      <x:c r="G8" s="2"/>
      <x:c r="H8" s="2" t="str">
        <x:v>validated_request</x:v>
      </x:c>
      <x:c r="I8" s="2" t="str">
        <x:v>request_count</x:v>
      </x:c>
      <x:c r="J8" s="2" t="str">
        <x:v>task_succeeded</x:v>
      </x:c>
      <x:c r="K8" s="2" t="str">
        <x:v>CNY</x:v>
      </x:c>
      <x:c r="L8" s="27" t="n">
        <x:v>6.8</x:v>
      </x:c>
      <x:c r="M8" s="27"/>
      <x:c r="N8" s="27"/>
      <x:c r="O8" s="26" t="n">
        <x:f t="shared" si="0">IF(F8="per_request",L8,IF(F8="per_duration",M8,IF(F8="per_token",N8,0)))</x:f>
        <x:v>6.8</x:v>
      </x:c>
      <x:c r="P8" s="27" t="n">
        <x:v>1</x:v>
      </x:c>
      <x:c r="Q8" s="27" t="n">
        <x:v>1</x:v>
      </x:c>
      <x:c r="R8" s="27" t="n">
        <x:v>1</x:v>
      </x:c>
      <x:c r="S8" s="27" t="n">
        <x:v>0</x:v>
      </x:c>
      <x:c r="T8" s="26" t="n">
        <x:f>IF(K8="USD",1,'参数'!$B$6)</x:f>
        <x:v>0.136986301369863</x:v>
      </x:c>
      <x:c r="U8" s="26" t="n">
        <x:f t="shared" si="1">O8*P8*Q8/R8*(1+S8)*T8</x:f>
        <x:v>0.9315068493150684</x:v>
      </x:c>
      <x:c r="V8" s="23" t="str">
        <x:f t="shared" si="2">IF(F8="per_request","USD/次",IF(F8="per_duration","USD/秒",IF(F8="per_token","USD/1M Token","")))</x:f>
        <x:v>USD/次</x:v>
      </x:c>
      <x:c r="W8" s="20" t="n">
        <x:v>46229.393565162034</x:v>
      </x:c>
      <x:c r="X8" s="20"/>
      <x:c r="Y8" s="2" t="str">
        <x:v>active</x:v>
      </x:c>
      <x:c r="Z8" s="2" t="str">
        <x:v>SRC-CH-01</x:v>
      </x:c>
      <x:c r="AA8" s="7" t="str">
        <x:v>源行=sd!4；原模型=bb-seedance2.0 1080p-pro-gz-15s；时长=15；比例=9:16；视频输入=是；真人脸=否；超分=否；素材库=否；NSFW=否；协议=自有；素材限制=933</x:v>
      </x:c>
      <x:c r="AB8" s="23" t="str">
        <x:f t="shared" si="3">IF(A8="","",IF(COUNTIF($A$5:$A$1004,A8)&gt;1,"错误:重复成本规则ID",IF(OR(B8="",C8="",E8="",F8="",K8="",O8&lt;=0,P8&lt;=0,Q8&lt;=0,R8&lt;=0,S8&lt;0,T8&lt;=0,Y8=""),"错误:必填项",IF(D8="","警告:SKU待映射","OK"))))</x:f>
        <x:v>OK</x:v>
      </x:c>
    </x:row>
    <x:row r="9" ht="39.599998474121094" hidden="1" customHeight="1">
      <x:c r="A9" s="2" t="str">
        <x:v>COST-CLMM-R5-720-REQ-NOV</x:v>
      </x:c>
      <x:c r="B9" s="2" t="str">
        <x:v>CH-CLMM</x:v>
      </x:c>
      <x:c r="C9" s="2" t="str">
        <x:v>bb-seedance2.0 720p-fast-gz-15s</x:v>
      </x:c>
      <x:c r="D9" s="2" t="str">
        <x:v>SKU-SD20-FAST-720</x:v>
      </x:c>
      <x:c r="E9" s="2" t="str">
        <x:v>no_video</x:v>
      </x:c>
      <x:c r="F9" s="2" t="str">
        <x:v>per_request</x:v>
      </x:c>
      <x:c r="G9" s="2"/>
      <x:c r="H9" s="2" t="str">
        <x:v>validated_request</x:v>
      </x:c>
      <x:c r="I9" s="2" t="str">
        <x:v>request_count</x:v>
      </x:c>
      <x:c r="J9" s="2" t="str">
        <x:v>task_succeeded</x:v>
      </x:c>
      <x:c r="K9" s="2" t="str">
        <x:v>CNY</x:v>
      </x:c>
      <x:c r="L9" s="27" t="n">
        <x:v>4.68</x:v>
      </x:c>
      <x:c r="M9" s="27"/>
      <x:c r="N9" s="27"/>
      <x:c r="O9" s="26" t="n">
        <x:f t="shared" si="0">IF(F9="per_request",L9,IF(F9="per_duration",M9,IF(F9="per_token",N9,0)))</x:f>
        <x:v>4.68</x:v>
      </x:c>
      <x:c r="P9" s="27" t="n">
        <x:v>1</x:v>
      </x:c>
      <x:c r="Q9" s="27" t="n">
        <x:v>1</x:v>
      </x:c>
      <x:c r="R9" s="27" t="n">
        <x:v>1</x:v>
      </x:c>
      <x:c r="S9" s="27" t="n">
        <x:v>0</x:v>
      </x:c>
      <x:c r="T9" s="26" t="n">
        <x:f>IF(K9="USD",1,'参数'!$B$6)</x:f>
        <x:v>0.136986301369863</x:v>
      </x:c>
      <x:c r="U9" s="26" t="n">
        <x:f t="shared" si="1">O9*P9*Q9/R9*(1+S9)*T9</x:f>
        <x:v>0.6410958904109588</x:v>
      </x:c>
      <x:c r="V9" s="23" t="str">
        <x:f t="shared" si="2">IF(F9="per_request","USD/次",IF(F9="per_duration","USD/秒",IF(F9="per_token","USD/1M Token","")))</x:f>
        <x:v>USD/次</x:v>
      </x:c>
      <x:c r="W9" s="20" t="n">
        <x:v>46229.393565162034</x:v>
      </x:c>
      <x:c r="X9" s="20"/>
      <x:c r="Y9" s="2" t="str">
        <x:v>active</x:v>
      </x:c>
      <x:c r="Z9" s="2" t="str">
        <x:v>SRC-CH-01</x:v>
      </x:c>
      <x:c r="AA9" s="7" t="str">
        <x:v>源行=sd!5；原模型=bb-seedance2.0 720p-fast-gz-15s；时长=15；比例=9:16；视频输入=是；真人脸=否；超分=否；素材库=否；NSFW=否；协议=自有；素材限制=933</x:v>
      </x:c>
      <x:c r="AB9" s="23" t="str">
        <x:f t="shared" si="3">IF(A9="","",IF(COUNTIF($A$5:$A$1004,A9)&gt;1,"错误:重复成本规则ID",IF(OR(B9="",C9="",E9="",F9="",K9="",O9&lt;=0,P9&lt;=0,Q9&lt;=0,R9&lt;=0,S9&lt;0,T9&lt;=0,Y9=""),"错误:必填项",IF(D9="","警告:SKU待映射","OK"))))</x:f>
        <x:v>OK</x:v>
      </x:c>
    </x:row>
    <x:row r="10" ht="39.599998474121094" hidden="1" customHeight="1">
      <x:c r="A10" s="2" t="str">
        <x:v>COST-CLMM-R5-720-REQ-VID</x:v>
      </x:c>
      <x:c r="B10" s="2" t="str">
        <x:v>CH-CLMM</x:v>
      </x:c>
      <x:c r="C10" s="2" t="str">
        <x:v>bb-seedance2.0 720p-fast-gz-15s</x:v>
      </x:c>
      <x:c r="D10" s="2" t="str">
        <x:v>SKU-SD20-FAST-720</x:v>
      </x:c>
      <x:c r="E10" s="2" t="str">
        <x:v>with_video</x:v>
      </x:c>
      <x:c r="F10" s="2" t="str">
        <x:v>per_request</x:v>
      </x:c>
      <x:c r="G10" s="2"/>
      <x:c r="H10" s="2" t="str">
        <x:v>validated_request</x:v>
      </x:c>
      <x:c r="I10" s="2" t="str">
        <x:v>request_count</x:v>
      </x:c>
      <x:c r="J10" s="2" t="str">
        <x:v>task_succeeded</x:v>
      </x:c>
      <x:c r="K10" s="2" t="str">
        <x:v>CNY</x:v>
      </x:c>
      <x:c r="L10" s="27" t="n">
        <x:v>4.68</x:v>
      </x:c>
      <x:c r="M10" s="27"/>
      <x:c r="N10" s="27"/>
      <x:c r="O10" s="26" t="n">
        <x:f t="shared" si="0">IF(F10="per_request",L10,IF(F10="per_duration",M10,IF(F10="per_token",N10,0)))</x:f>
        <x:v>4.68</x:v>
      </x:c>
      <x:c r="P10" s="27" t="n">
        <x:v>1</x:v>
      </x:c>
      <x:c r="Q10" s="27" t="n">
        <x:v>1</x:v>
      </x:c>
      <x:c r="R10" s="27" t="n">
        <x:v>1</x:v>
      </x:c>
      <x:c r="S10" s="27" t="n">
        <x:v>0</x:v>
      </x:c>
      <x:c r="T10" s="26" t="n">
        <x:f>IF(K10="USD",1,'参数'!$B$6)</x:f>
        <x:v>0.136986301369863</x:v>
      </x:c>
      <x:c r="U10" s="26" t="n">
        <x:f t="shared" si="1">O10*P10*Q10/R10*(1+S10)*T10</x:f>
        <x:v>0.6410958904109588</x:v>
      </x:c>
      <x:c r="V10" s="23" t="str">
        <x:f t="shared" si="2">IF(F10="per_request","USD/次",IF(F10="per_duration","USD/秒",IF(F10="per_token","USD/1M Token","")))</x:f>
        <x:v>USD/次</x:v>
      </x:c>
      <x:c r="W10" s="20" t="n">
        <x:v>46229.393565162034</x:v>
      </x:c>
      <x:c r="X10" s="20"/>
      <x:c r="Y10" s="2" t="str">
        <x:v>active</x:v>
      </x:c>
      <x:c r="Z10" s="2" t="str">
        <x:v>SRC-CH-01</x:v>
      </x:c>
      <x:c r="AA10" s="7" t="str">
        <x:v>源行=sd!5；原模型=bb-seedance2.0 720p-fast-gz-15s；时长=15；比例=9:16；视频输入=是；真人脸=否；超分=否；素材库=否；NSFW=否；协议=自有；素材限制=933</x:v>
      </x:c>
      <x:c r="AB10" s="23" t="str">
        <x:f t="shared" si="3">IF(A10="","",IF(COUNTIF($A$5:$A$1004,A10)&gt;1,"错误:重复成本规则ID",IF(OR(B10="",C10="",E10="",F10="",K10="",O10&lt;=0,P10&lt;=0,Q10&lt;=0,R10&lt;=0,S10&lt;0,T10&lt;=0,Y10=""),"错误:必填项",IF(D10="","警告:SKU待映射","OK"))))</x:f>
        <x:v>OK</x:v>
      </x:c>
    </x:row>
    <x:row r="11" ht="39.599998474121094" hidden="1" customHeight="1">
      <x:c r="A11" s="2" t="str">
        <x:v>COST-CLMM-R6-720-REQ-NOV</x:v>
      </x:c>
      <x:c r="B11" s="2" t="str">
        <x:v>CH-CLMM</x:v>
      </x:c>
      <x:c r="C11" s="2" t="str">
        <x:v>bb-seedance2.0 720p-pro-gz-15s</x:v>
      </x:c>
      <x:c r="D11" s="2" t="str">
        <x:v>SKU-SD20-STD-720</x:v>
      </x:c>
      <x:c r="E11" s="2" t="str">
        <x:v>no_video</x:v>
      </x:c>
      <x:c r="F11" s="2" t="str">
        <x:v>per_request</x:v>
      </x:c>
      <x:c r="G11" s="2"/>
      <x:c r="H11" s="2" t="str">
        <x:v>validated_request</x:v>
      </x:c>
      <x:c r="I11" s="2" t="str">
        <x:v>request_count</x:v>
      </x:c>
      <x:c r="J11" s="2" t="str">
        <x:v>task_succeeded</x:v>
      </x:c>
      <x:c r="K11" s="2" t="str">
        <x:v>CNY</x:v>
      </x:c>
      <x:c r="L11" s="27" t="n">
        <x:v>5.58</x:v>
      </x:c>
      <x:c r="M11" s="27"/>
      <x:c r="N11" s="27"/>
      <x:c r="O11" s="26" t="n">
        <x:f t="shared" si="0">IF(F11="per_request",L11,IF(F11="per_duration",M11,IF(F11="per_token",N11,0)))</x:f>
        <x:v>5.58</x:v>
      </x:c>
      <x:c r="P11" s="27" t="n">
        <x:v>1</x:v>
      </x:c>
      <x:c r="Q11" s="27" t="n">
        <x:v>1</x:v>
      </x:c>
      <x:c r="R11" s="27" t="n">
        <x:v>1</x:v>
      </x:c>
      <x:c r="S11" s="27" t="n">
        <x:v>0</x:v>
      </x:c>
      <x:c r="T11" s="26" t="n">
        <x:f>IF(K11="USD",1,'参数'!$B$6)</x:f>
        <x:v>0.136986301369863</x:v>
      </x:c>
      <x:c r="U11" s="26" t="n">
        <x:f t="shared" si="1">O11*P11*Q11/R11*(1+S11)*T11</x:f>
        <x:v>0.7643835616438356</x:v>
      </x:c>
      <x:c r="V11" s="23" t="str">
        <x:f t="shared" si="2">IF(F11="per_request","USD/次",IF(F11="per_duration","USD/秒",IF(F11="per_token","USD/1M Token","")))</x:f>
        <x:v>USD/次</x:v>
      </x:c>
      <x:c r="W11" s="20" t="n">
        <x:v>46229.393565162034</x:v>
      </x:c>
      <x:c r="X11" s="20"/>
      <x:c r="Y11" s="2" t="str">
        <x:v>active</x:v>
      </x:c>
      <x:c r="Z11" s="2" t="str">
        <x:v>SRC-CH-01</x:v>
      </x:c>
      <x:c r="AA11" s="7" t="str">
        <x:v>源行=sd!6；原模型=bb-seedance2.0 720p-pro-gz-15s；时长=15；比例=9:16；视频输入=是；真人脸=否；超分=否；素材库=否；NSFW=否；协议=自有；素材限制=933</x:v>
      </x:c>
      <x:c r="AB11" s="23" t="str">
        <x:f t="shared" si="3">IF(A11="","",IF(COUNTIF($A$5:$A$1004,A11)&gt;1,"错误:重复成本规则ID",IF(OR(B11="",C11="",E11="",F11="",K11="",O11&lt;=0,P11&lt;=0,Q11&lt;=0,R11&lt;=0,S11&lt;0,T11&lt;=0,Y11=""),"错误:必填项",IF(D11="","警告:SKU待映射","OK"))))</x:f>
        <x:v>OK</x:v>
      </x:c>
    </x:row>
    <x:row r="12" ht="39.599998474121094" hidden="1" customHeight="1">
      <x:c r="A12" s="2" t="str">
        <x:v>COST-CLMM-R6-720-REQ-VID</x:v>
      </x:c>
      <x:c r="B12" s="2" t="str">
        <x:v>CH-CLMM</x:v>
      </x:c>
      <x:c r="C12" s="2" t="str">
        <x:v>bb-seedance2.0 720p-pro-gz-15s</x:v>
      </x:c>
      <x:c r="D12" s="2" t="str">
        <x:v>SKU-SD20-STD-720</x:v>
      </x:c>
      <x:c r="E12" s="2" t="str">
        <x:v>with_video</x:v>
      </x:c>
      <x:c r="F12" s="2" t="str">
        <x:v>per_request</x:v>
      </x:c>
      <x:c r="G12" s="2"/>
      <x:c r="H12" s="2" t="str">
        <x:v>validated_request</x:v>
      </x:c>
      <x:c r="I12" s="2" t="str">
        <x:v>request_count</x:v>
      </x:c>
      <x:c r="J12" s="2" t="str">
        <x:v>task_succeeded</x:v>
      </x:c>
      <x:c r="K12" s="2" t="str">
        <x:v>CNY</x:v>
      </x:c>
      <x:c r="L12" s="27" t="n">
        <x:v>5.58</x:v>
      </x:c>
      <x:c r="M12" s="27"/>
      <x:c r="N12" s="27"/>
      <x:c r="O12" s="26" t="n">
        <x:f t="shared" si="0">IF(F12="per_request",L12,IF(F12="per_duration",M12,IF(F12="per_token",N12,0)))</x:f>
        <x:v>5.58</x:v>
      </x:c>
      <x:c r="P12" s="27" t="n">
        <x:v>1</x:v>
      </x:c>
      <x:c r="Q12" s="27" t="n">
        <x:v>1</x:v>
      </x:c>
      <x:c r="R12" s="27" t="n">
        <x:v>1</x:v>
      </x:c>
      <x:c r="S12" s="27" t="n">
        <x:v>0</x:v>
      </x:c>
      <x:c r="T12" s="26" t="n">
        <x:f>IF(K12="USD",1,'参数'!$B$6)</x:f>
        <x:v>0.136986301369863</x:v>
      </x:c>
      <x:c r="U12" s="26" t="n">
        <x:f t="shared" si="1">O12*P12*Q12/R12*(1+S12)*T12</x:f>
        <x:v>0.7643835616438356</x:v>
      </x:c>
      <x:c r="V12" s="23" t="str">
        <x:f t="shared" si="2">IF(F12="per_request","USD/次",IF(F12="per_duration","USD/秒",IF(F12="per_token","USD/1M Token","")))</x:f>
        <x:v>USD/次</x:v>
      </x:c>
      <x:c r="W12" s="20" t="n">
        <x:v>46229.393565162034</x:v>
      </x:c>
      <x:c r="X12" s="20"/>
      <x:c r="Y12" s="2" t="str">
        <x:v>active</x:v>
      </x:c>
      <x:c r="Z12" s="2" t="str">
        <x:v>SRC-CH-01</x:v>
      </x:c>
      <x:c r="AA12" s="7" t="str">
        <x:v>源行=sd!6；原模型=bb-seedance2.0 720p-pro-gz-15s；时长=15；比例=9:16；视频输入=是；真人脸=否；超分=否；素材库=否；NSFW=否；协议=自有；素材限制=933</x:v>
      </x:c>
      <x:c r="AB12" s="23" t="str">
        <x:f t="shared" si="3">IF(A12="","",IF(COUNTIF($A$5:$A$1004,A12)&gt;1,"错误:重复成本规则ID",IF(OR(B12="",C12="",E12="",F12="",K12="",O12&lt;=0,P12&lt;=0,Q12&lt;=0,R12&lt;=0,S12&lt;0,T12&lt;=0,Y12=""),"错误:必填项",IF(D12="","警告:SKU待映射","OK"))))</x:f>
        <x:v>OK</x:v>
      </x:c>
    </x:row>
    <x:row r="13" ht="52.79999923706055" hidden="1" customHeight="1">
      <x:c r="A13" s="2" t="str">
        <x:v>COST-CLMM-R7-480-SEC-NOV</x:v>
      </x:c>
      <x:c r="B13" s="2" t="str">
        <x:v>CH-CLMM</x:v>
      </x:c>
      <x:c r="C13" s="2" t="str">
        <x:v>mg-seedance2.0 -480p</x:v>
      </x:c>
      <x:c r="D13" s="2" t="str">
        <x:v>SKU-SD20-STD-480</x:v>
      </x:c>
      <x:c r="E13" s="2" t="str">
        <x:v>no_video</x:v>
      </x:c>
      <x:c r="F13" s="2" t="str">
        <x:v>per_duration</x:v>
      </x:c>
      <x:c r="G13" s="2"/>
      <x:c r="H13" s="2" t="str">
        <x:v>validated_request</x:v>
      </x:c>
      <x:c r="I13" s="2" t="str">
        <x:v>billable_duration_seconds</x:v>
      </x:c>
      <x:c r="J13" s="2" t="str">
        <x:v>task_succeeded</x:v>
      </x:c>
      <x:c r="K13" s="2" t="str">
        <x:v>CNY</x:v>
      </x:c>
      <x:c r="L13" s="27"/>
      <x:c r="M13" s="27" t="n">
        <x:v>0.268</x:v>
      </x:c>
      <x:c r="N13" s="27"/>
      <x:c r="O13" s="26" t="n">
        <x:f t="shared" si="0">IF(F13="per_request",L13,IF(F13="per_duration",M13,IF(F13="per_token",N13,0)))</x:f>
        <x:v>0.268</x:v>
      </x:c>
      <x:c r="P13" s="27" t="n">
        <x:v>1</x:v>
      </x:c>
      <x:c r="Q13" s="27" t="n">
        <x:v>1</x:v>
      </x:c>
      <x:c r="R13" s="27" t="n">
        <x:v>1</x:v>
      </x:c>
      <x:c r="S13" s="27" t="n">
        <x:v>0</x:v>
      </x:c>
      <x:c r="T13" s="26" t="n">
        <x:f>IF(K13="USD",1,'参数'!$B$6)</x:f>
        <x:v>0.136986301369863</x:v>
      </x:c>
      <x:c r="U13" s="26" t="n">
        <x:f t="shared" si="1">O13*P13*Q13/R13*(1+S13)*T13</x:f>
        <x:v>0.03671232876712329</x:v>
      </x:c>
      <x:c r="V13" s="23" t="str">
        <x:f t="shared" si="2">IF(F13="per_request","USD/次",IF(F13="per_duration","USD/秒",IF(F13="per_token","USD/1M Token","")))</x:f>
        <x:v>USD/秒</x:v>
      </x:c>
      <x:c r="W13" s="20" t="n">
        <x:v>46229.393565162034</x:v>
      </x:c>
      <x:c r="X13" s="20"/>
      <x:c r="Y13" s="2" t="str">
        <x:v>active</x:v>
      </x:c>
      <x:c r="Z13" s="2" t="str">
        <x:v>SRC-CH-01</x:v>
      </x:c>
      <x:c r="AA13" s="7" t="str">
        <x:v>源行=sd!7；原模型=mg-seedance2.0 -480p；时长=4-15；比例=不限；视频输入=是；真人脸=是；超分=否；素材库=否；NSFW=否；协议=自有；素材限制=431；原表折扣 秒 无V=0.58（成本/官价参考比，不参与成本二次计算）</x:v>
      </x:c>
      <x:c r="AB13" s="23" t="str">
        <x:f t="shared" si="3">IF(A13="","",IF(COUNTIF($A$5:$A$1004,A13)&gt;1,"错误:重复成本规则ID",IF(OR(B13="",C13="",E13="",F13="",K13="",O13&lt;=0,P13&lt;=0,Q13&lt;=0,R13&lt;=0,S13&lt;0,T13&lt;=0,Y13=""),"错误:必填项",IF(D13="","警告:SKU待映射","OK"))))</x:f>
        <x:v>OK</x:v>
      </x:c>
    </x:row>
    <x:row r="14" ht="52.79999923706055" hidden="1" customHeight="1">
      <x:c r="A14" s="2" t="str">
        <x:v>COST-CLMM-R7-480-SEC-VID</x:v>
      </x:c>
      <x:c r="B14" s="2" t="str">
        <x:v>CH-CLMM</x:v>
      </x:c>
      <x:c r="C14" s="2" t="str">
        <x:v>mg-seedance2.0 -480p</x:v>
      </x:c>
      <x:c r="D14" s="2" t="str">
        <x:v>SKU-SD20-STD-480</x:v>
      </x:c>
      <x:c r="E14" s="2" t="str">
        <x:v>with_video</x:v>
      </x:c>
      <x:c r="F14" s="2" t="str">
        <x:v>per_duration</x:v>
      </x:c>
      <x:c r="G14" s="2"/>
      <x:c r="H14" s="2" t="str">
        <x:v>validated_request</x:v>
      </x:c>
      <x:c r="I14" s="2" t="str">
        <x:v>billable_duration_seconds</x:v>
      </x:c>
      <x:c r="J14" s="2" t="str">
        <x:v>task_succeeded</x:v>
      </x:c>
      <x:c r="K14" s="2" t="str">
        <x:v>CNY</x:v>
      </x:c>
      <x:c r="L14" s="27"/>
      <x:c r="M14" s="27" t="n">
        <x:v>0.268</x:v>
      </x:c>
      <x:c r="N14" s="27"/>
      <x:c r="O14" s="26" t="n">
        <x:f t="shared" si="0">IF(F14="per_request",L14,IF(F14="per_duration",M14,IF(F14="per_token",N14,0)))</x:f>
        <x:v>0.268</x:v>
      </x:c>
      <x:c r="P14" s="27" t="n">
        <x:v>1</x:v>
      </x:c>
      <x:c r="Q14" s="27" t="n">
        <x:v>1</x:v>
      </x:c>
      <x:c r="R14" s="27" t="n">
        <x:v>1</x:v>
      </x:c>
      <x:c r="S14" s="27" t="n">
        <x:v>0</x:v>
      </x:c>
      <x:c r="T14" s="26" t="n">
        <x:f>IF(K14="USD",1,'参数'!$B$6)</x:f>
        <x:v>0.136986301369863</x:v>
      </x:c>
      <x:c r="U14" s="26" t="n">
        <x:f t="shared" si="1">O14*P14*Q14/R14*(1+S14)*T14</x:f>
        <x:v>0.03671232876712329</x:v>
      </x:c>
      <x:c r="V14" s="23" t="str">
        <x:f t="shared" si="2">IF(F14="per_request","USD/次",IF(F14="per_duration","USD/秒",IF(F14="per_token","USD/1M Token","")))</x:f>
        <x:v>USD/秒</x:v>
      </x:c>
      <x:c r="W14" s="20" t="n">
        <x:v>46229.393565162034</x:v>
      </x:c>
      <x:c r="X14" s="20"/>
      <x:c r="Y14" s="2" t="str">
        <x:v>active</x:v>
      </x:c>
      <x:c r="Z14" s="2" t="str">
        <x:v>SRC-CH-01</x:v>
      </x:c>
      <x:c r="AA14" s="7" t="str">
        <x:v>源行=sd!7；原模型=mg-seedance2.0 -480p；时长=4-15；比例=不限；视频输入=是；真人脸=是；超分=否；素材库=否；NSFW=否；协议=自有；素材限制=431；原表折扣 秒 含V=0.954（成本/官价参考比，不参与成本二次计算）</x:v>
      </x:c>
      <x:c r="AB14" s="23" t="str">
        <x:f t="shared" si="3">IF(A14="","",IF(COUNTIF($A$5:$A$1004,A14)&gt;1,"错误:重复成本规则ID",IF(OR(B14="",C14="",E14="",F14="",K14="",O14&lt;=0,P14&lt;=0,Q14&lt;=0,R14&lt;=0,S14&lt;0,T14&lt;=0,Y14=""),"错误:必填项",IF(D14="","警告:SKU待映射","OK"))))</x:f>
        <x:v>OK</x:v>
      </x:c>
    </x:row>
    <x:row r="15" ht="52.79999923706055" hidden="1" customHeight="1">
      <x:c r="A15" s="2" t="str">
        <x:v>COST-CLMM-R8-480-SEC-NOV</x:v>
      </x:c>
      <x:c r="B15" s="2" t="str">
        <x:v>CH-CLMM</x:v>
      </x:c>
      <x:c r="C15" s="2" t="str">
        <x:v>mg-seedance2.0 -480p fast</x:v>
      </x:c>
      <x:c r="D15" s="2" t="str">
        <x:v>SKU-SD20-FAST-480</x:v>
      </x:c>
      <x:c r="E15" s="2" t="str">
        <x:v>no_video</x:v>
      </x:c>
      <x:c r="F15" s="2" t="str">
        <x:v>per_duration</x:v>
      </x:c>
      <x:c r="G15" s="2"/>
      <x:c r="H15" s="2" t="str">
        <x:v>validated_request</x:v>
      </x:c>
      <x:c r="I15" s="2" t="str">
        <x:v>billable_duration_seconds</x:v>
      </x:c>
      <x:c r="J15" s="2" t="str">
        <x:v>task_succeeded</x:v>
      </x:c>
      <x:c r="K15" s="2" t="str">
        <x:v>CNY</x:v>
      </x:c>
      <x:c r="L15" s="27"/>
      <x:c r="M15" s="27" t="n">
        <x:v>0.165</x:v>
      </x:c>
      <x:c r="N15" s="27"/>
      <x:c r="O15" s="26" t="n">
        <x:f t="shared" si="0">IF(F15="per_request",L15,IF(F15="per_duration",M15,IF(F15="per_token",N15,0)))</x:f>
        <x:v>0.165</x:v>
      </x:c>
      <x:c r="P15" s="27" t="n">
        <x:v>1</x:v>
      </x:c>
      <x:c r="Q15" s="27" t="n">
        <x:v>1</x:v>
      </x:c>
      <x:c r="R15" s="27" t="n">
        <x:v>1</x:v>
      </x:c>
      <x:c r="S15" s="27" t="n">
        <x:v>0</x:v>
      </x:c>
      <x:c r="T15" s="26" t="n">
        <x:f>IF(K15="USD",1,'参数'!$B$6)</x:f>
        <x:v>0.136986301369863</x:v>
      </x:c>
      <x:c r="U15" s="26" t="n">
        <x:f t="shared" si="1">O15*P15*Q15/R15*(1+S15)*T15</x:f>
        <x:v>0.022602739726027398</x:v>
      </x:c>
      <x:c r="V15" s="23" t="str">
        <x:f t="shared" si="2">IF(F15="per_request","USD/次",IF(F15="per_duration","USD/秒",IF(F15="per_token","USD/1M Token","")))</x:f>
        <x:v>USD/秒</x:v>
      </x:c>
      <x:c r="W15" s="20" t="n">
        <x:v>46229.393565162034</x:v>
      </x:c>
      <x:c r="X15" s="20"/>
      <x:c r="Y15" s="2" t="str">
        <x:v>active</x:v>
      </x:c>
      <x:c r="Z15" s="2" t="str">
        <x:v>SRC-CH-01</x:v>
      </x:c>
      <x:c r="AA15" s="7" t="str">
        <x:v>源行=sd!8；原模型=mg-seedance2.0 -480p fast；时长=4-15；比例=不限；视频输入=是；真人脸=是；超分=否；素材库=否；NSFW=否；协议=自有；素材限制=431；原表折扣 秒 无V=0.444（成本/官价参考比，不参与成本二次计算）</x:v>
      </x:c>
      <x:c r="AB15" s="23" t="str">
        <x:f t="shared" si="3">IF(A15="","",IF(COUNTIF($A$5:$A$1004,A15)&gt;1,"错误:重复成本规则ID",IF(OR(B15="",C15="",E15="",F15="",K15="",O15&lt;=0,P15&lt;=0,Q15&lt;=0,R15&lt;=0,S15&lt;0,T15&lt;=0,Y15=""),"错误:必填项",IF(D15="","警告:SKU待映射","OK"))))</x:f>
        <x:v>OK</x:v>
      </x:c>
    </x:row>
    <x:row r="16" ht="52.79999923706055" hidden="1" customHeight="1">
      <x:c r="A16" s="2" t="str">
        <x:v>COST-CLMM-R8-480-SEC-VID</x:v>
      </x:c>
      <x:c r="B16" s="2" t="str">
        <x:v>CH-CLMM</x:v>
      </x:c>
      <x:c r="C16" s="2" t="str">
        <x:v>mg-seedance2.0 -480p fast</x:v>
      </x:c>
      <x:c r="D16" s="2" t="str">
        <x:v>SKU-SD20-FAST-480</x:v>
      </x:c>
      <x:c r="E16" s="2" t="str">
        <x:v>with_video</x:v>
      </x:c>
      <x:c r="F16" s="2" t="str">
        <x:v>per_duration</x:v>
      </x:c>
      <x:c r="G16" s="2"/>
      <x:c r="H16" s="2" t="str">
        <x:v>validated_request</x:v>
      </x:c>
      <x:c r="I16" s="2" t="str">
        <x:v>billable_duration_seconds</x:v>
      </x:c>
      <x:c r="J16" s="2" t="str">
        <x:v>task_succeeded</x:v>
      </x:c>
      <x:c r="K16" s="2" t="str">
        <x:v>CNY</x:v>
      </x:c>
      <x:c r="L16" s="27"/>
      <x:c r="M16" s="27" t="n">
        <x:v>0.165</x:v>
      </x:c>
      <x:c r="N16" s="27"/>
      <x:c r="O16" s="26" t="n">
        <x:f t="shared" si="0">IF(F16="per_request",L16,IF(F16="per_duration",M16,IF(F16="per_token",N16,0)))</x:f>
        <x:v>0.165</x:v>
      </x:c>
      <x:c r="P16" s="27" t="n">
        <x:v>1</x:v>
      </x:c>
      <x:c r="Q16" s="27" t="n">
        <x:v>1</x:v>
      </x:c>
      <x:c r="R16" s="27" t="n">
        <x:v>1</x:v>
      </x:c>
      <x:c r="S16" s="27" t="n">
        <x:v>0</x:v>
      </x:c>
      <x:c r="T16" s="26" t="n">
        <x:f>IF(K16="USD",1,'参数'!$B$6)</x:f>
        <x:v>0.136986301369863</x:v>
      </x:c>
      <x:c r="U16" s="26" t="n">
        <x:f t="shared" si="1">O16*P16*Q16/R16*(1+S16)*T16</x:f>
        <x:v>0.022602739726027398</x:v>
      </x:c>
      <x:c r="V16" s="23" t="str">
        <x:f t="shared" si="2">IF(F16="per_request","USD/次",IF(F16="per_duration","USD/秒",IF(F16="per_token","USD/1M Token","")))</x:f>
        <x:v>USD/秒</x:v>
      </x:c>
      <x:c r="W16" s="20" t="n">
        <x:v>46229.393565162034</x:v>
      </x:c>
      <x:c r="X16" s="20"/>
      <x:c r="Y16" s="2" t="str">
        <x:v>active</x:v>
      </x:c>
      <x:c r="Z16" s="2" t="str">
        <x:v>SRC-CH-01</x:v>
      </x:c>
      <x:c r="AA16" s="7" t="str">
        <x:v>源行=sd!8；原模型=mg-seedance2.0 -480p fast；时长=4-15；比例=不限；视频输入=是；真人脸=是；超分=否；素材库=否；NSFW=否；协议=自有；素材限制=431；原表折扣 秒 含V=0.747（成本/官价参考比，不参与成本二次计算）</x:v>
      </x:c>
      <x:c r="AB16" s="23" t="str">
        <x:f t="shared" si="3">IF(A16="","",IF(COUNTIF($A$5:$A$1004,A16)&gt;1,"错误:重复成本规则ID",IF(OR(B16="",C16="",E16="",F16="",K16="",O16&lt;=0,P16&lt;=0,Q16&lt;=0,R16&lt;=0,S16&lt;0,T16&lt;=0,Y16=""),"错误:必填项",IF(D16="","警告:SKU待映射","OK"))))</x:f>
        <x:v>OK</x:v>
      </x:c>
    </x:row>
    <x:row r="17" ht="52.79999923706055" hidden="1" customHeight="1">
      <x:c r="A17" s="2" t="str">
        <x:v>COST-CLMM-R9-480-SEC-NOV</x:v>
      </x:c>
      <x:c r="B17" s="2" t="str">
        <x:v>CH-CLMM</x:v>
      </x:c>
      <x:c r="C17" s="2" t="str">
        <x:v>mg-seedance2.0 -480p mini</x:v>
      </x:c>
      <x:c r="D17" s="2" t="str">
        <x:v>SKU-SD20-MINI-480</x:v>
      </x:c>
      <x:c r="E17" s="2" t="str">
        <x:v>no_video</x:v>
      </x:c>
      <x:c r="F17" s="2" t="str">
        <x:v>per_duration</x:v>
      </x:c>
      <x:c r="G17" s="2"/>
      <x:c r="H17" s="2" t="str">
        <x:v>validated_request</x:v>
      </x:c>
      <x:c r="I17" s="2" t="str">
        <x:v>billable_duration_seconds</x:v>
      </x:c>
      <x:c r="J17" s="2" t="str">
        <x:v>task_succeeded</x:v>
      </x:c>
      <x:c r="K17" s="2" t="str">
        <x:v>CNY</x:v>
      </x:c>
      <x:c r="L17" s="27"/>
      <x:c r="M17" s="27" t="n">
        <x:v>0.128</x:v>
      </x:c>
      <x:c r="N17" s="27"/>
      <x:c r="O17" s="26" t="n">
        <x:f t="shared" si="0">IF(F17="per_request",L17,IF(F17="per_duration",M17,IF(F17="per_token",N17,0)))</x:f>
        <x:v>0.128</x:v>
      </x:c>
      <x:c r="P17" s="27" t="n">
        <x:v>1</x:v>
      </x:c>
      <x:c r="Q17" s="27" t="n">
        <x:v>1</x:v>
      </x:c>
      <x:c r="R17" s="27" t="n">
        <x:v>1</x:v>
      </x:c>
      <x:c r="S17" s="27" t="n">
        <x:v>0</x:v>
      </x:c>
      <x:c r="T17" s="26" t="n">
        <x:f>IF(K17="USD",1,'参数'!$B$6)</x:f>
        <x:v>0.136986301369863</x:v>
      </x:c>
      <x:c r="U17" s="26" t="n">
        <x:f t="shared" si="1">O17*P17*Q17/R17*(1+S17)*T17</x:f>
        <x:v>0.017534246575342465</x:v>
      </x:c>
      <x:c r="V17" s="23" t="str">
        <x:f t="shared" si="2">IF(F17="per_request","USD/次",IF(F17="per_duration","USD/秒",IF(F17="per_token","USD/1M Token","")))</x:f>
        <x:v>USD/秒</x:v>
      </x:c>
      <x:c r="W17" s="20" t="n">
        <x:v>46229.393565162034</x:v>
      </x:c>
      <x:c r="X17" s="20"/>
      <x:c r="Y17" s="2" t="str">
        <x:v>active</x:v>
      </x:c>
      <x:c r="Z17" s="2" t="str">
        <x:v>SRC-CH-01</x:v>
      </x:c>
      <x:c r="AA17" s="7" t="str">
        <x:v>源行=sd!9；原模型=mg-seedance2.0 -480p mini；时长=4-15；比例=不限；视频输入=是；真人脸=是；超分=否；素材库=否；NSFW=否；协议=自有；素材限制=431；原表折扣 秒 无V=0.554（成本/官价参考比，不参与成本二次计算）</x:v>
      </x:c>
      <x:c r="AB17" s="23" t="str">
        <x:f t="shared" si="3">IF(A17="","",IF(COUNTIF($A$5:$A$1004,A17)&gt;1,"错误:重复成本规则ID",IF(OR(B17="",C17="",E17="",F17="",K17="",O17&lt;=0,P17&lt;=0,Q17&lt;=0,R17&lt;=0,S17&lt;0,T17&lt;=0,Y17=""),"错误:必填项",IF(D17="","警告:SKU待映射","OK"))))</x:f>
        <x:v>OK</x:v>
      </x:c>
    </x:row>
    <x:row r="18" ht="52.79999923706055" hidden="1" customHeight="1">
      <x:c r="A18" s="2" t="str">
        <x:v>COST-CLMM-R9-480-SEC-VID</x:v>
      </x:c>
      <x:c r="B18" s="2" t="str">
        <x:v>CH-CLMM</x:v>
      </x:c>
      <x:c r="C18" s="2" t="str">
        <x:v>mg-seedance2.0 -480p mini</x:v>
      </x:c>
      <x:c r="D18" s="2" t="str">
        <x:v>SKU-SD20-MINI-480</x:v>
      </x:c>
      <x:c r="E18" s="2" t="str">
        <x:v>with_video</x:v>
      </x:c>
      <x:c r="F18" s="2" t="str">
        <x:v>per_duration</x:v>
      </x:c>
      <x:c r="G18" s="2"/>
      <x:c r="H18" s="2" t="str">
        <x:v>validated_request</x:v>
      </x:c>
      <x:c r="I18" s="2" t="str">
        <x:v>billable_duration_seconds</x:v>
      </x:c>
      <x:c r="J18" s="2" t="str">
        <x:v>task_succeeded</x:v>
      </x:c>
      <x:c r="K18" s="2" t="str">
        <x:v>CNY</x:v>
      </x:c>
      <x:c r="L18" s="27"/>
      <x:c r="M18" s="27" t="n">
        <x:v>0.128</x:v>
      </x:c>
      <x:c r="N18" s="27"/>
      <x:c r="O18" s="26" t="n">
        <x:f t="shared" si="0">IF(F18="per_request",L18,IF(F18="per_duration",M18,IF(F18="per_token",N18,0)))</x:f>
        <x:v>0.128</x:v>
      </x:c>
      <x:c r="P18" s="27" t="n">
        <x:v>1</x:v>
      </x:c>
      <x:c r="Q18" s="27" t="n">
        <x:v>1</x:v>
      </x:c>
      <x:c r="R18" s="27" t="n">
        <x:v>1</x:v>
      </x:c>
      <x:c r="S18" s="27" t="n">
        <x:v>0</x:v>
      </x:c>
      <x:c r="T18" s="26" t="n">
        <x:f>IF(K18="USD",1,'参数'!$B$6)</x:f>
        <x:v>0.136986301369863</x:v>
      </x:c>
      <x:c r="U18" s="26" t="n">
        <x:f t="shared" si="1">O18*P18*Q18/R18*(1+S18)*T18</x:f>
        <x:v>0.017534246575342465</x:v>
      </x:c>
      <x:c r="V18" s="23" t="str">
        <x:f t="shared" si="2">IF(F18="per_request","USD/次",IF(F18="per_duration","USD/秒",IF(F18="per_token","USD/1M Token","")))</x:f>
        <x:v>USD/秒</x:v>
      </x:c>
      <x:c r="W18" s="20" t="n">
        <x:v>46229.393565162034</x:v>
      </x:c>
      <x:c r="X18" s="20"/>
      <x:c r="Y18" s="2" t="str">
        <x:v>active</x:v>
      </x:c>
      <x:c r="Z18" s="2" t="str">
        <x:v>SRC-CH-01</x:v>
      </x:c>
      <x:c r="AA18" s="7" t="str">
        <x:v>源行=sd!9；原模型=mg-seedance2.0 -480p mini；时长=4-15；比例=不限；视频输入=是；真人脸=是；超分=否；素材库=否；NSFW=否；协议=自有；素材限制=431；原表折扣 秒 含V=0.908（成本/官价参考比，不参与成本二次计算）</x:v>
      </x:c>
      <x:c r="AB18" s="23" t="str">
        <x:f t="shared" si="3">IF(A18="","",IF(COUNTIF($A$5:$A$1004,A18)&gt;1,"错误:重复成本规则ID",IF(OR(B18="",C18="",E18="",F18="",K18="",O18&lt;=0,P18&lt;=0,Q18&lt;=0,R18&lt;=0,S18&lt;0,T18&lt;=0,Y18=""),"错误:必填项",IF(D18="","警告:SKU待映射","OK"))))</x:f>
        <x:v>OK</x:v>
      </x:c>
    </x:row>
    <x:row r="19" ht="52.79999923706055" hidden="1" customHeight="1">
      <x:c r="A19" s="2" t="str">
        <x:v>COST-CLMM-R10-720-SEC-NOV</x:v>
      </x:c>
      <x:c r="B19" s="2" t="str">
        <x:v>CH-CLMM</x:v>
      </x:c>
      <x:c r="C19" s="2" t="str">
        <x:v>mg-seedance2.0 -720p fast</x:v>
      </x:c>
      <x:c r="D19" s="2" t="str">
        <x:v>SKU-SD20-FAST-720</x:v>
      </x:c>
      <x:c r="E19" s="2" t="str">
        <x:v>no_video</x:v>
      </x:c>
      <x:c r="F19" s="2" t="str">
        <x:v>per_duration</x:v>
      </x:c>
      <x:c r="G19" s="2"/>
      <x:c r="H19" s="2" t="str">
        <x:v>validated_request</x:v>
      </x:c>
      <x:c r="I19" s="2" t="str">
        <x:v>billable_duration_seconds</x:v>
      </x:c>
      <x:c r="J19" s="2" t="str">
        <x:v>task_succeeded</x:v>
      </x:c>
      <x:c r="K19" s="2" t="str">
        <x:v>CNY</x:v>
      </x:c>
      <x:c r="L19" s="27"/>
      <x:c r="M19" s="27" t="n">
        <x:v>0.268</x:v>
      </x:c>
      <x:c r="N19" s="27"/>
      <x:c r="O19" s="26" t="n">
        <x:f t="shared" si="0">IF(F19="per_request",L19,IF(F19="per_duration",M19,IF(F19="per_token",N19,0)))</x:f>
        <x:v>0.268</x:v>
      </x:c>
      <x:c r="P19" s="27" t="n">
        <x:v>1</x:v>
      </x:c>
      <x:c r="Q19" s="27" t="n">
        <x:v>1</x:v>
      </x:c>
      <x:c r="R19" s="27" t="n">
        <x:v>1</x:v>
      </x:c>
      <x:c r="S19" s="27" t="n">
        <x:v>0</x:v>
      </x:c>
      <x:c r="T19" s="26" t="n">
        <x:f>IF(K19="USD",1,'参数'!$B$6)</x:f>
        <x:v>0.136986301369863</x:v>
      </x:c>
      <x:c r="U19" s="26" t="n">
        <x:f t="shared" si="1">O19*P19*Q19/R19*(1+S19)*T19</x:f>
        <x:v>0.03671232876712329</x:v>
      </x:c>
      <x:c r="V19" s="23" t="str">
        <x:f t="shared" si="2">IF(F19="per_request","USD/次",IF(F19="per_duration","USD/秒",IF(F19="per_token","USD/1M Token","")))</x:f>
        <x:v>USD/秒</x:v>
      </x:c>
      <x:c r="W19" s="20" t="n">
        <x:v>46229.393565162034</x:v>
      </x:c>
      <x:c r="X19" s="20"/>
      <x:c r="Y19" s="2" t="str">
        <x:v>active</x:v>
      </x:c>
      <x:c r="Z19" s="2" t="str">
        <x:v>SRC-CH-01</x:v>
      </x:c>
      <x:c r="AA19" s="7" t="str">
        <x:v>源行=sd!10；原模型=mg-seedance2.0 -720p fast；时长=4-15；比例=不限；视频输入=是；真人脸=是；超分=否；素材库=否；NSFW=否；协议=自有；素材限制=431；原表折扣 秒 无V=0.335（成本/官价参考比，不参与成本二次计算）</x:v>
      </x:c>
      <x:c r="AB19" s="23" t="str">
        <x:f t="shared" si="3">IF(A19="","",IF(COUNTIF($A$5:$A$1004,A19)&gt;1,"错误:重复成本规则ID",IF(OR(B19="",C19="",E19="",F19="",K19="",O19&lt;=0,P19&lt;=0,Q19&lt;=0,R19&lt;=0,S19&lt;0,T19&lt;=0,Y19=""),"错误:必填项",IF(D19="","警告:SKU待映射","OK"))))</x:f>
        <x:v>OK</x:v>
      </x:c>
    </x:row>
    <x:row r="20" ht="52.79999923706055" hidden="1" customHeight="1">
      <x:c r="A20" s="2" t="str">
        <x:v>COST-CLMM-R10-720-SEC-VID</x:v>
      </x:c>
      <x:c r="B20" s="2" t="str">
        <x:v>CH-CLMM</x:v>
      </x:c>
      <x:c r="C20" s="2" t="str">
        <x:v>mg-seedance2.0 -720p fast</x:v>
      </x:c>
      <x:c r="D20" s="2" t="str">
        <x:v>SKU-SD20-FAST-720</x:v>
      </x:c>
      <x:c r="E20" s="2" t="str">
        <x:v>with_video</x:v>
      </x:c>
      <x:c r="F20" s="2" t="str">
        <x:v>per_duration</x:v>
      </x:c>
      <x:c r="G20" s="2"/>
      <x:c r="H20" s="2" t="str">
        <x:v>validated_request</x:v>
      </x:c>
      <x:c r="I20" s="2" t="str">
        <x:v>billable_duration_seconds</x:v>
      </x:c>
      <x:c r="J20" s="2" t="str">
        <x:v>task_succeeded</x:v>
      </x:c>
      <x:c r="K20" s="2" t="str">
        <x:v>CNY</x:v>
      </x:c>
      <x:c r="L20" s="27"/>
      <x:c r="M20" s="27" t="n">
        <x:v>0.268</x:v>
      </x:c>
      <x:c r="N20" s="27"/>
      <x:c r="O20" s="26" t="n">
        <x:f t="shared" si="0">IF(F20="per_request",L20,IF(F20="per_duration",M20,IF(F20="per_token",N20,0)))</x:f>
        <x:v>0.268</x:v>
      </x:c>
      <x:c r="P20" s="27" t="n">
        <x:v>1</x:v>
      </x:c>
      <x:c r="Q20" s="27" t="n">
        <x:v>1</x:v>
      </x:c>
      <x:c r="R20" s="27" t="n">
        <x:v>1</x:v>
      </x:c>
      <x:c r="S20" s="27" t="n">
        <x:v>0</x:v>
      </x:c>
      <x:c r="T20" s="26" t="n">
        <x:f>IF(K20="USD",1,'参数'!$B$6)</x:f>
        <x:v>0.136986301369863</x:v>
      </x:c>
      <x:c r="U20" s="26" t="n">
        <x:f t="shared" si="1">O20*P20*Q20/R20*(1+S20)*T20</x:f>
        <x:v>0.03671232876712329</x:v>
      </x:c>
      <x:c r="V20" s="23" t="str">
        <x:f t="shared" si="2">IF(F20="per_request","USD/次",IF(F20="per_duration","USD/秒",IF(F20="per_token","USD/1M Token","")))</x:f>
        <x:v>USD/秒</x:v>
      </x:c>
      <x:c r="W20" s="20" t="n">
        <x:v>46229.393565162034</x:v>
      </x:c>
      <x:c r="X20" s="20"/>
      <x:c r="Y20" s="2" t="str">
        <x:v>active</x:v>
      </x:c>
      <x:c r="Z20" s="2" t="str">
        <x:v>SRC-CH-01</x:v>
      </x:c>
      <x:c r="AA20" s="7" t="str">
        <x:v>源行=sd!10；原模型=mg-seedance2.0 -720p fast；时长=4-15；比例=不限；视频输入=是；真人脸=是；超分=否；素材库=否；NSFW=否；协议=自有；素材限制=431；原表折扣 秒 含V=0.564（成本/官价参考比，不参与成本二次计算）</x:v>
      </x:c>
      <x:c r="AB20" s="23" t="str">
        <x:f t="shared" si="3">IF(A20="","",IF(COUNTIF($A$5:$A$1004,A20)&gt;1,"错误:重复成本规则ID",IF(OR(B20="",C20="",E20="",F20="",K20="",O20&lt;=0,P20&lt;=0,Q20&lt;=0,R20&lt;=0,S20&lt;0,T20&lt;=0,Y20=""),"错误:必填项",IF(D20="","警告:SKU待映射","OK"))))</x:f>
        <x:v>OK</x:v>
      </x:c>
    </x:row>
    <x:row r="21" ht="52.79999923706055" hidden="1" customHeight="1">
      <x:c r="A21" s="2" t="str">
        <x:v>COST-CLMM-R11-720-SEC-NOV</x:v>
      </x:c>
      <x:c r="B21" s="2" t="str">
        <x:v>CH-CLMM</x:v>
      </x:c>
      <x:c r="C21" s="2" t="str">
        <x:v>mg-seedance2.0 -720p mini</x:v>
      </x:c>
      <x:c r="D21" s="2" t="str">
        <x:v>SKU-SD20-MINI-720</x:v>
      </x:c>
      <x:c r="E21" s="2" t="str">
        <x:v>no_video</x:v>
      </x:c>
      <x:c r="F21" s="2" t="str">
        <x:v>per_duration</x:v>
      </x:c>
      <x:c r="G21" s="2"/>
      <x:c r="H21" s="2" t="str">
        <x:v>validated_request</x:v>
      </x:c>
      <x:c r="I21" s="2" t="str">
        <x:v>billable_duration_seconds</x:v>
      </x:c>
      <x:c r="J21" s="2" t="str">
        <x:v>task_succeeded</x:v>
      </x:c>
      <x:c r="K21" s="2" t="str">
        <x:v>CNY</x:v>
      </x:c>
      <x:c r="L21" s="27"/>
      <x:c r="M21" s="27" t="n">
        <x:v>0.198</x:v>
      </x:c>
      <x:c r="N21" s="27"/>
      <x:c r="O21" s="26" t="n">
        <x:f t="shared" si="0">IF(F21="per_request",L21,IF(F21="per_duration",M21,IF(F21="per_token",N21,0)))</x:f>
        <x:v>0.198</x:v>
      </x:c>
      <x:c r="P21" s="27" t="n">
        <x:v>1</x:v>
      </x:c>
      <x:c r="Q21" s="27" t="n">
        <x:v>1</x:v>
      </x:c>
      <x:c r="R21" s="27" t="n">
        <x:v>1</x:v>
      </x:c>
      <x:c r="S21" s="27" t="n">
        <x:v>0</x:v>
      </x:c>
      <x:c r="T21" s="26" t="n">
        <x:f>IF(K21="USD",1,'参数'!$B$6)</x:f>
        <x:v>0.136986301369863</x:v>
      </x:c>
      <x:c r="U21" s="26" t="n">
        <x:f t="shared" si="1">O21*P21*Q21/R21*(1+S21)*T21</x:f>
        <x:v>0.027123287671232878</x:v>
      </x:c>
      <x:c r="V21" s="23" t="str">
        <x:f t="shared" si="2">IF(F21="per_request","USD/次",IF(F21="per_duration","USD/秒",IF(F21="per_token","USD/1M Token","")))</x:f>
        <x:v>USD/秒</x:v>
      </x:c>
      <x:c r="W21" s="20" t="n">
        <x:v>46229.393565162034</x:v>
      </x:c>
      <x:c r="X21" s="20"/>
      <x:c r="Y21" s="2" t="str">
        <x:v>active</x:v>
      </x:c>
      <x:c r="Z21" s="2" t="str">
        <x:v>SRC-CH-01</x:v>
      </x:c>
      <x:c r="AA21" s="7" t="str">
        <x:v>源行=sd!11；原模型=mg-seedance2.0 -720p mini；时长=4-15；比例=不限；视频输入=是；真人脸=是；超分=否；素材库=否；NSFW=否；协议=自有；素材限制=431；原表折扣 秒 无V=0.398（成本/官价参考比，不参与成本二次计算）</x:v>
      </x:c>
      <x:c r="AB21" s="23" t="str">
        <x:f t="shared" si="3">IF(A21="","",IF(COUNTIF($A$5:$A$1004,A21)&gt;1,"错误:重复成本规则ID",IF(OR(B21="",C21="",E21="",F21="",K21="",O21&lt;=0,P21&lt;=0,Q21&lt;=0,R21&lt;=0,S21&lt;0,T21&lt;=0,Y21=""),"错误:必填项",IF(D21="","警告:SKU待映射","OK"))))</x:f>
        <x:v>OK</x:v>
      </x:c>
    </x:row>
    <x:row r="22" ht="52.79999923706055" hidden="1" customHeight="1">
      <x:c r="A22" s="2" t="str">
        <x:v>COST-CLMM-R11-720-SEC-VID</x:v>
      </x:c>
      <x:c r="B22" s="2" t="str">
        <x:v>CH-CLMM</x:v>
      </x:c>
      <x:c r="C22" s="2" t="str">
        <x:v>mg-seedance2.0 -720p mini</x:v>
      </x:c>
      <x:c r="D22" s="2" t="str">
        <x:v>SKU-SD20-MINI-720</x:v>
      </x:c>
      <x:c r="E22" s="2" t="str">
        <x:v>with_video</x:v>
      </x:c>
      <x:c r="F22" s="2" t="str">
        <x:v>per_duration</x:v>
      </x:c>
      <x:c r="G22" s="2"/>
      <x:c r="H22" s="2" t="str">
        <x:v>validated_request</x:v>
      </x:c>
      <x:c r="I22" s="2" t="str">
        <x:v>billable_duration_seconds</x:v>
      </x:c>
      <x:c r="J22" s="2" t="str">
        <x:v>task_succeeded</x:v>
      </x:c>
      <x:c r="K22" s="2" t="str">
        <x:v>CNY</x:v>
      </x:c>
      <x:c r="L22" s="27"/>
      <x:c r="M22" s="27" t="n">
        <x:v>0.198</x:v>
      </x:c>
      <x:c r="N22" s="27"/>
      <x:c r="O22" s="26" t="n">
        <x:f t="shared" si="0">IF(F22="per_request",L22,IF(F22="per_duration",M22,IF(F22="per_token",N22,0)))</x:f>
        <x:v>0.198</x:v>
      </x:c>
      <x:c r="P22" s="27" t="n">
        <x:v>1</x:v>
      </x:c>
      <x:c r="Q22" s="27" t="n">
        <x:v>1</x:v>
      </x:c>
      <x:c r="R22" s="27" t="n">
        <x:v>1</x:v>
      </x:c>
      <x:c r="S22" s="27" t="n">
        <x:v>0</x:v>
      </x:c>
      <x:c r="T22" s="26" t="n">
        <x:f>IF(K22="USD",1,'参数'!$B$6)</x:f>
        <x:v>0.136986301369863</x:v>
      </x:c>
      <x:c r="U22" s="26" t="n">
        <x:f t="shared" si="1">O22*P22*Q22/R22*(1+S22)*T22</x:f>
        <x:v>0.027123287671232878</x:v>
      </x:c>
      <x:c r="V22" s="23" t="str">
        <x:f t="shared" si="2">IF(F22="per_request","USD/次",IF(F22="per_duration","USD/秒",IF(F22="per_token","USD/1M Token","")))</x:f>
        <x:v>USD/秒</x:v>
      </x:c>
      <x:c r="W22" s="20" t="n">
        <x:v>46229.393565162034</x:v>
      </x:c>
      <x:c r="X22" s="20"/>
      <x:c r="Y22" s="2" t="str">
        <x:v>active</x:v>
      </x:c>
      <x:c r="Z22" s="2" t="str">
        <x:v>SRC-CH-01</x:v>
      </x:c>
      <x:c r="AA22" s="7" t="str">
        <x:v>源行=sd!11；原模型=mg-seedance2.0 -720p mini；时长=4-15；比例=不限；视频输入=是；真人脸=是；超分=否；素材库=否；NSFW=否；协议=自有；素材限制=431；原表折扣 秒 含V=0.656（成本/官价参考比，不参与成本二次计算）</x:v>
      </x:c>
      <x:c r="AB22" s="23" t="str">
        <x:f t="shared" si="3">IF(A22="","",IF(COUNTIF($A$5:$A$1004,A22)&gt;1,"错误:重复成本规则ID",IF(OR(B22="",C22="",E22="",F22="",K22="",O22&lt;=0,P22&lt;=0,Q22&lt;=0,R22&lt;=0,S22&lt;0,T22&lt;=0,Y22=""),"错误:必填项",IF(D22="","警告:SKU待映射","OK"))))</x:f>
        <x:v>OK</x:v>
      </x:c>
    </x:row>
    <x:row r="23" ht="52.79999923706055" hidden="1" customHeight="1">
      <x:c r="A23" s="2" t="str">
        <x:v>COST-CLMM-R12-720-SEC-NOV</x:v>
      </x:c>
      <x:c r="B23" s="2" t="str">
        <x:v>CH-CLMM</x:v>
      </x:c>
      <x:c r="C23" s="2" t="str">
        <x:v>mg-seedance2.0 -720p pro</x:v>
      </x:c>
      <x:c r="D23" s="2" t="str">
        <x:v>SKU-SD20-STD-720</x:v>
      </x:c>
      <x:c r="E23" s="2" t="str">
        <x:v>no_video</x:v>
      </x:c>
      <x:c r="F23" s="2" t="str">
        <x:v>per_duration</x:v>
      </x:c>
      <x:c r="G23" s="2"/>
      <x:c r="H23" s="2" t="str">
        <x:v>validated_request</x:v>
      </x:c>
      <x:c r="I23" s="2" t="str">
        <x:v>billable_duration_seconds</x:v>
      </x:c>
      <x:c r="J23" s="2" t="str">
        <x:v>task_succeeded</x:v>
      </x:c>
      <x:c r="K23" s="2" t="str">
        <x:v>CNY</x:v>
      </x:c>
      <x:c r="L23" s="27"/>
      <x:c r="M23" s="27" t="n">
        <x:v>0.368</x:v>
      </x:c>
      <x:c r="N23" s="27"/>
      <x:c r="O23" s="26" t="n">
        <x:f t="shared" si="0">IF(F23="per_request",L23,IF(F23="per_duration",M23,IF(F23="per_token",N23,0)))</x:f>
        <x:v>0.368</x:v>
      </x:c>
      <x:c r="P23" s="27" t="n">
        <x:v>1</x:v>
      </x:c>
      <x:c r="Q23" s="27" t="n">
        <x:v>1</x:v>
      </x:c>
      <x:c r="R23" s="27" t="n">
        <x:v>1</x:v>
      </x:c>
      <x:c r="S23" s="27" t="n">
        <x:v>0</x:v>
      </x:c>
      <x:c r="T23" s="26" t="n">
        <x:f>IF(K23="USD",1,'参数'!$B$6)</x:f>
        <x:v>0.136986301369863</x:v>
      </x:c>
      <x:c r="U23" s="26" t="n">
        <x:f t="shared" si="1">O23*P23*Q23/R23*(1+S23)*T23</x:f>
        <x:v>0.050410958904109585</x:v>
      </x:c>
      <x:c r="V23" s="23" t="str">
        <x:f t="shared" si="2">IF(F23="per_request","USD/次",IF(F23="per_duration","USD/秒",IF(F23="per_token","USD/1M Token","")))</x:f>
        <x:v>USD/秒</x:v>
      </x:c>
      <x:c r="W23" s="20" t="n">
        <x:v>46229.393565162034</x:v>
      </x:c>
      <x:c r="X23" s="20"/>
      <x:c r="Y23" s="2" t="str">
        <x:v>active</x:v>
      </x:c>
      <x:c r="Z23" s="2" t="str">
        <x:v>SRC-CH-01</x:v>
      </x:c>
      <x:c r="AA23" s="7" t="str">
        <x:v>源行=sd!12；原模型=mg-seedance2.0 -720p pro；时长=4-15；比例=不限；视频输入=是；真人脸=是；超分=否；素材库=否；NSFW=否；协议=自有；素材限制=431；原表折扣 秒 无V=0.37（成本/官价参考比，不参与成本二次计算）</x:v>
      </x:c>
      <x:c r="AB23" s="23" t="str">
        <x:f t="shared" si="3">IF(A23="","",IF(COUNTIF($A$5:$A$1004,A23)&gt;1,"错误:重复成本规则ID",IF(OR(B23="",C23="",E23="",F23="",K23="",O23&lt;=0,P23&lt;=0,Q23&lt;=0,R23&lt;=0,S23&lt;0,T23&lt;=0,Y23=""),"错误:必填项",IF(D23="","警告:SKU待映射","OK"))))</x:f>
        <x:v>OK</x:v>
      </x:c>
    </x:row>
    <x:row r="24" ht="52.79999923706055" hidden="1" customHeight="1">
      <x:c r="A24" s="2" t="str">
        <x:v>COST-CLMM-R12-720-SEC-VID</x:v>
      </x:c>
      <x:c r="B24" s="2" t="str">
        <x:v>CH-CLMM</x:v>
      </x:c>
      <x:c r="C24" s="2" t="str">
        <x:v>mg-seedance2.0 -720p pro</x:v>
      </x:c>
      <x:c r="D24" s="2" t="str">
        <x:v>SKU-SD20-STD-720</x:v>
      </x:c>
      <x:c r="E24" s="2" t="str">
        <x:v>with_video</x:v>
      </x:c>
      <x:c r="F24" s="2" t="str">
        <x:v>per_duration</x:v>
      </x:c>
      <x:c r="G24" s="2"/>
      <x:c r="H24" s="2" t="str">
        <x:v>validated_request</x:v>
      </x:c>
      <x:c r="I24" s="2" t="str">
        <x:v>billable_duration_seconds</x:v>
      </x:c>
      <x:c r="J24" s="2" t="str">
        <x:v>task_succeeded</x:v>
      </x:c>
      <x:c r="K24" s="2" t="str">
        <x:v>CNY</x:v>
      </x:c>
      <x:c r="L24" s="27"/>
      <x:c r="M24" s="27" t="n">
        <x:v>0.368</x:v>
      </x:c>
      <x:c r="N24" s="27"/>
      <x:c r="O24" s="26" t="n">
        <x:f t="shared" si="0">IF(F24="per_request",L24,IF(F24="per_duration",M24,IF(F24="per_token",N24,0)))</x:f>
        <x:v>0.368</x:v>
      </x:c>
      <x:c r="P24" s="27" t="n">
        <x:v>1</x:v>
      </x:c>
      <x:c r="Q24" s="27" t="n">
        <x:v>1</x:v>
      </x:c>
      <x:c r="R24" s="27" t="n">
        <x:v>1</x:v>
      </x:c>
      <x:c r="S24" s="27" t="n">
        <x:v>0</x:v>
      </x:c>
      <x:c r="T24" s="26" t="n">
        <x:f>IF(K24="USD",1,'参数'!$B$6)</x:f>
        <x:v>0.136986301369863</x:v>
      </x:c>
      <x:c r="U24" s="26" t="n">
        <x:f t="shared" si="1">O24*P24*Q24/R24*(1+S24)*T24</x:f>
        <x:v>0.050410958904109585</x:v>
      </x:c>
      <x:c r="V24" s="23" t="str">
        <x:f t="shared" si="2">IF(F24="per_request","USD/次",IF(F24="per_duration","USD/秒",IF(F24="per_token","USD/1M Token","")))</x:f>
        <x:v>USD/秒</x:v>
      </x:c>
      <x:c r="W24" s="20" t="n">
        <x:v>46229.393565162034</x:v>
      </x:c>
      <x:c r="X24" s="20"/>
      <x:c r="Y24" s="2" t="str">
        <x:v>active</x:v>
      </x:c>
      <x:c r="Z24" s="2" t="str">
        <x:v>SRC-CH-01</x:v>
      </x:c>
      <x:c r="AA24" s="7" t="str">
        <x:v>源行=sd!12；原模型=mg-seedance2.0 -720p pro；时长=4-15；比例=不限；视频输入=是；真人脸=是；超分=否；素材库=否；NSFW=否；协议=自有；素材限制=431；原表折扣 秒 含V=0.608（成本/官价参考比，不参与成本二次计算）</x:v>
      </x:c>
      <x:c r="AB24" s="23" t="str">
        <x:f t="shared" si="3">IF(A24="","",IF(COUNTIF($A$5:$A$1004,A24)&gt;1,"错误:重复成本规则ID",IF(OR(B24="",C24="",E24="",F24="",K24="",O24&lt;=0,P24&lt;=0,Q24&lt;=0,R24&lt;=0,S24&lt;0,T24&lt;=0,Y24=""),"错误:必填项",IF(D24="","警告:SKU待映射","OK"))))</x:f>
        <x:v>OK</x:v>
      </x:c>
    </x:row>
    <x:row r="25" ht="39.599998474121094" customHeight="1">
      <x:c r="A25" s="2" t="str">
        <x:v>COST-PAIPU-R14-720-REQ-NOV</x:v>
      </x:c>
      <x:c r="B25" s="2" t="str">
        <x:v>CH-PAIPU</x:v>
      </x:c>
      <x:c r="C25" s="2" t="str">
        <x:v>lec-seedance-2-0</x:v>
      </x:c>
      <x:c r="D25" s="2" t="str">
        <x:v>SKU-SD20-STD-720</x:v>
      </x:c>
      <x:c r="E25" s="2" t="str">
        <x:v>no_video</x:v>
      </x:c>
      <x:c r="F25" s="2" t="str">
        <x:v>per_request</x:v>
      </x:c>
      <x:c r="G25" s="2"/>
      <x:c r="H25" s="2" t="str">
        <x:v>validated_request</x:v>
      </x:c>
      <x:c r="I25" s="2" t="str">
        <x:v>request_count</x:v>
      </x:c>
      <x:c r="J25" s="2" t="str">
        <x:v>task_succeeded</x:v>
      </x:c>
      <x:c r="K25" s="2" t="str">
        <x:v>CNY</x:v>
      </x:c>
      <x:c r="L25" s="27" t="n">
        <x:v>2.3</x:v>
      </x:c>
      <x:c r="M25" s="27"/>
      <x:c r="N25" s="27"/>
      <x:c r="O25" s="26" t="n">
        <x:f t="shared" si="0">IF(F25="per_request",L25,IF(F25="per_duration",M25,IF(F25="per_token",N25,0)))</x:f>
        <x:v>2.3</x:v>
      </x:c>
      <x:c r="P25" s="27" t="n">
        <x:v>1</x:v>
      </x:c>
      <x:c r="Q25" s="27" t="n">
        <x:v>1</x:v>
      </x:c>
      <x:c r="R25" s="27" t="n">
        <x:v>1</x:v>
      </x:c>
      <x:c r="S25" s="27" t="n">
        <x:v>0</x:v>
      </x:c>
      <x:c r="T25" s="26" t="n">
        <x:f>IF(K25="USD",1,'参数'!$B$6)</x:f>
        <x:v>0.136986301369863</x:v>
      </x:c>
      <x:c r="U25" s="26" t="n">
        <x:f t="shared" si="1">O25*P25*Q25/R25*(1+S25)*T25</x:f>
        <x:v>0.3150684931506849</x:v>
      </x:c>
      <x:c r="V25" s="23" t="str">
        <x:f t="shared" si="2">IF(F25="per_request","USD/次",IF(F25="per_duration","USD/秒",IF(F25="per_token","USD/1M Token","")))</x:f>
        <x:v>USD/次</x:v>
      </x:c>
      <x:c r="W25" s="20" t="n">
        <x:v>46229.393565162034</x:v>
      </x:c>
      <x:c r="X25" s="20"/>
      <x:c r="Y25" s="2" t="str">
        <x:v>active</x:v>
      </x:c>
      <x:c r="Z25" s="2" t="str">
        <x:v>SRC-CH-02</x:v>
      </x:c>
      <x:c r="AA25" s="7" t="str">
        <x:v>源行=sd!14；原模型=lec-seedance-2-0；时长=5,10,15；比例=不限；视频输入=否；真人脸=是；超分=否；素材库=否；NSFW=否；协议=自有；素材限制=900</x:v>
      </x:c>
      <x:c r="AB25" s="23" t="str">
        <x:f t="shared" si="3">IF(A25="","",IF(COUNTIF($A$5:$A$1004,A25)&gt;1,"错误:重复成本规则ID",IF(OR(B25="",C25="",E25="",F25="",K25="",O25&lt;=0,P25&lt;=0,Q25&lt;=0,R25&lt;=0,S25&lt;0,T25&lt;=0,Y25=""),"错误:必填项",IF(D25="","警告:SKU待映射","OK"))))</x:f>
        <x:v>OK</x:v>
      </x:c>
    </x:row>
    <x:row r="26" ht="39.599998474121094" customHeight="1">
      <x:c r="A26" s="2" t="str">
        <x:v>COST-PAIPU-R15-720-REQ-NOV</x:v>
      </x:c>
      <x:c r="B26" s="2" t="str">
        <x:v>CH-PAIPU</x:v>
      </x:c>
      <x:c r="C26" s="2" t="str">
        <x:v>lec-seedance-fast-ht-720p</x:v>
      </x:c>
      <x:c r="D26" s="2" t="str">
        <x:v>SKU-SD20-FAST-720</x:v>
      </x:c>
      <x:c r="E26" s="2" t="str">
        <x:v>no_video</x:v>
      </x:c>
      <x:c r="F26" s="2" t="str">
        <x:v>per_request</x:v>
      </x:c>
      <x:c r="G26" s="2"/>
      <x:c r="H26" s="2" t="str">
        <x:v>validated_request</x:v>
      </x:c>
      <x:c r="I26" s="2" t="str">
        <x:v>request_count</x:v>
      </x:c>
      <x:c r="J26" s="2" t="str">
        <x:v>task_succeeded</x:v>
      </x:c>
      <x:c r="K26" s="2" t="str">
        <x:v>CNY</x:v>
      </x:c>
      <x:c r="L26" s="27" t="n">
        <x:v>2</x:v>
      </x:c>
      <x:c r="M26" s="27"/>
      <x:c r="N26" s="27"/>
      <x:c r="O26" s="26" t="n">
        <x:f t="shared" si="0">IF(F26="per_request",L26,IF(F26="per_duration",M26,IF(F26="per_token",N26,0)))</x:f>
        <x:v>2</x:v>
      </x:c>
      <x:c r="P26" s="27" t="n">
        <x:v>1</x:v>
      </x:c>
      <x:c r="Q26" s="27" t="n">
        <x:v>1</x:v>
      </x:c>
      <x:c r="R26" s="27" t="n">
        <x:v>1</x:v>
      </x:c>
      <x:c r="S26" s="27" t="n">
        <x:v>0</x:v>
      </x:c>
      <x:c r="T26" s="26" t="n">
        <x:f>IF(K26="USD",1,'参数'!$B$6)</x:f>
        <x:v>0.136986301369863</x:v>
      </x:c>
      <x:c r="U26" s="26" t="n">
        <x:f t="shared" si="1">O26*P26*Q26/R26*(1+S26)*T26</x:f>
        <x:v>0.273972602739726</x:v>
      </x:c>
      <x:c r="V26" s="23" t="str">
        <x:f t="shared" si="2">IF(F26="per_request","USD/次",IF(F26="per_duration","USD/秒",IF(F26="per_token","USD/1M Token","")))</x:f>
        <x:v>USD/次</x:v>
      </x:c>
      <x:c r="W26" s="20" t="n">
        <x:v>46229.393565162034</x:v>
      </x:c>
      <x:c r="X26" s="20"/>
      <x:c r="Y26" s="2" t="str">
        <x:v>active</x:v>
      </x:c>
      <x:c r="Z26" s="2" t="str">
        <x:v>SRC-CH-02</x:v>
      </x:c>
      <x:c r="AA26" s="7" t="str">
        <x:v>源行=sd!15；原模型=lec-seedance-fast-ht-720p；时长=10,15；比例=不限；视频输入=否；真人脸=否；超分=否；素材库=否；NSFW=否；协议=自有；素材限制=900</x:v>
      </x:c>
      <x:c r="AB26" s="23" t="str">
        <x:f t="shared" si="3">IF(A26="","",IF(COUNTIF($A$5:$A$1004,A26)&gt;1,"错误:重复成本规则ID",IF(OR(B26="",C26="",E26="",F26="",K26="",O26&lt;=0,P26&lt;=0,Q26&lt;=0,R26&lt;=0,S26&lt;0,T26&lt;=0,Y26=""),"错误:必填项",IF(D26="","警告:SKU待映射","OK"))))</x:f>
        <x:v>OK</x:v>
      </x:c>
    </x:row>
    <x:row r="27" ht="39.599998474121094" customHeight="1">
      <x:c r="A27" s="2" t="str">
        <x:v>COST-PAIPU-R16-720-REQ-NOV</x:v>
      </x:c>
      <x:c r="B27" s="2" t="str">
        <x:v>CH-PAIPU</x:v>
      </x:c>
      <x:c r="C27" s="2" t="str">
        <x:v>lec-feituo-seedance-2-0-hn-fast-720p</x:v>
      </x:c>
      <x:c r="D27" s="2" t="str">
        <x:v>SKU-SD20-FAST-720</x:v>
      </x:c>
      <x:c r="E27" s="2" t="str">
        <x:v>no_video</x:v>
      </x:c>
      <x:c r="F27" s="2" t="str">
        <x:v>per_request</x:v>
      </x:c>
      <x:c r="G27" s="2"/>
      <x:c r="H27" s="2" t="str">
        <x:v>validated_request</x:v>
      </x:c>
      <x:c r="I27" s="2" t="str">
        <x:v>request_count</x:v>
      </x:c>
      <x:c r="J27" s="2" t="str">
        <x:v>task_succeeded</x:v>
      </x:c>
      <x:c r="K27" s="2" t="str">
        <x:v>CNY</x:v>
      </x:c>
      <x:c r="L27" s="27" t="n">
        <x:v>4.3</x:v>
      </x:c>
      <x:c r="M27" s="27"/>
      <x:c r="N27" s="27"/>
      <x:c r="O27" s="26" t="n">
        <x:f t="shared" si="0">IF(F27="per_request",L27,IF(F27="per_duration",M27,IF(F27="per_token",N27,0)))</x:f>
        <x:v>4.3</x:v>
      </x:c>
      <x:c r="P27" s="27" t="n">
        <x:v>1</x:v>
      </x:c>
      <x:c r="Q27" s="27" t="n">
        <x:v>1</x:v>
      </x:c>
      <x:c r="R27" s="27" t="n">
        <x:v>1</x:v>
      </x:c>
      <x:c r="S27" s="27" t="n">
        <x:v>0</x:v>
      </x:c>
      <x:c r="T27" s="26" t="n">
        <x:f>IF(K27="USD",1,'参数'!$B$6)</x:f>
        <x:v>0.136986301369863</x:v>
      </x:c>
      <x:c r="U27" s="26" t="n">
        <x:f t="shared" si="1">O27*P27*Q27/R27*(1+S27)*T27</x:f>
        <x:v>0.5890410958904109</x:v>
      </x:c>
      <x:c r="V27" s="23" t="str">
        <x:f t="shared" si="2">IF(F27="per_request","USD/次",IF(F27="per_duration","USD/秒",IF(F27="per_token","USD/1M Token","")))</x:f>
        <x:v>USD/次</x:v>
      </x:c>
      <x:c r="W27" s="20" t="n">
        <x:v>46229.393565162034</x:v>
      </x:c>
      <x:c r="X27" s="20"/>
      <x:c r="Y27" s="2" t="str">
        <x:v>invalid</x:v>
      </x:c>
      <x:c r="Z27" s="2" t="str">
        <x:v>SRC-CH-02</x:v>
      </x:c>
      <x:c r="AA27" s="7" t="str">
        <x:v>源行=sd!16；原模型=lec-feituo-seedance-2-0-hn-fast-720p；时长=5,10,15；比例=16:9, 9:16；视频输入=是；真人脸=待确认；超分=否；素材库=否；NSFW=否；协议=自有；素材限制=431；原表状态=异常，已导入为invalid</x:v>
      </x:c>
      <x:c r="AB27" s="23" t="str">
        <x:f t="shared" si="3">IF(A27="","",IF(COUNTIF($A$5:$A$1004,A27)&gt;1,"错误:重复成本规则ID",IF(OR(B27="",C27="",E27="",F27="",K27="",O27&lt;=0,P27&lt;=0,Q27&lt;=0,R27&lt;=0,S27&lt;0,T27&lt;=0,Y27=""),"错误:必填项",IF(D27="","警告:SKU待映射","OK"))))</x:f>
        <x:v>OK</x:v>
      </x:c>
    </x:row>
    <x:row r="28" ht="39.599998474121094" customHeight="1">
      <x:c r="A28" s="2" t="str">
        <x:v>COST-PAIPU-R16-720-REQ-VID</x:v>
      </x:c>
      <x:c r="B28" s="2" t="str">
        <x:v>CH-PAIPU</x:v>
      </x:c>
      <x:c r="C28" s="2" t="str">
        <x:v>lec-feituo-seedance-2-0-hn-fast-720p</x:v>
      </x:c>
      <x:c r="D28" s="2" t="str">
        <x:v>SKU-SD20-FAST-720</x:v>
      </x:c>
      <x:c r="E28" s="2" t="str">
        <x:v>with_video</x:v>
      </x:c>
      <x:c r="F28" s="2" t="str">
        <x:v>per_request</x:v>
      </x:c>
      <x:c r="G28" s="2"/>
      <x:c r="H28" s="2" t="str">
        <x:v>validated_request</x:v>
      </x:c>
      <x:c r="I28" s="2" t="str">
        <x:v>request_count</x:v>
      </x:c>
      <x:c r="J28" s="2" t="str">
        <x:v>task_succeeded</x:v>
      </x:c>
      <x:c r="K28" s="2" t="str">
        <x:v>CNY</x:v>
      </x:c>
      <x:c r="L28" s="27" t="n">
        <x:v>4.3</x:v>
      </x:c>
      <x:c r="M28" s="27"/>
      <x:c r="N28" s="27"/>
      <x:c r="O28" s="26" t="n">
        <x:f t="shared" si="0">IF(F28="per_request",L28,IF(F28="per_duration",M28,IF(F28="per_token",N28,0)))</x:f>
        <x:v>4.3</x:v>
      </x:c>
      <x:c r="P28" s="27" t="n">
        <x:v>1</x:v>
      </x:c>
      <x:c r="Q28" s="27" t="n">
        <x:v>1</x:v>
      </x:c>
      <x:c r="R28" s="27" t="n">
        <x:v>1</x:v>
      </x:c>
      <x:c r="S28" s="27" t="n">
        <x:v>0</x:v>
      </x:c>
      <x:c r="T28" s="26" t="n">
        <x:f>IF(K28="USD",1,'参数'!$B$6)</x:f>
        <x:v>0.136986301369863</x:v>
      </x:c>
      <x:c r="U28" s="26" t="n">
        <x:f t="shared" si="1">O28*P28*Q28/R28*(1+S28)*T28</x:f>
        <x:v>0.5890410958904109</x:v>
      </x:c>
      <x:c r="V28" s="23" t="str">
        <x:f t="shared" si="2">IF(F28="per_request","USD/次",IF(F28="per_duration","USD/秒",IF(F28="per_token","USD/1M Token","")))</x:f>
        <x:v>USD/次</x:v>
      </x:c>
      <x:c r="W28" s="20" t="n">
        <x:v>46229.393565162034</x:v>
      </x:c>
      <x:c r="X28" s="20"/>
      <x:c r="Y28" s="2" t="str">
        <x:v>invalid</x:v>
      </x:c>
      <x:c r="Z28" s="2" t="str">
        <x:v>SRC-CH-02</x:v>
      </x:c>
      <x:c r="AA28" s="7" t="str">
        <x:v>源行=sd!16；原模型=lec-feituo-seedance-2-0-hn-fast-720p；时长=5,10,15；比例=16:9, 9:16；视频输入=是；真人脸=待确认；超分=否；素材库=否；NSFW=否；协议=自有；素材限制=431；原表状态=异常，已导入为invalid</x:v>
      </x:c>
      <x:c r="AB28" s="23" t="str">
        <x:f t="shared" si="3">IF(A28="","",IF(COUNTIF($A$5:$A$1004,A28)&gt;1,"错误:重复成本规则ID",IF(OR(B28="",C28="",E28="",F28="",K28="",O28&lt;=0,P28&lt;=0,Q28&lt;=0,R28&lt;=0,S28&lt;0,T28&lt;=0,Y28=""),"错误:必填项",IF(D28="","警告:SKU待映射","OK"))))</x:f>
        <x:v>OK</x:v>
      </x:c>
    </x:row>
    <x:row r="29" ht="39.599998474121094" customHeight="1">
      <x:c r="A29" s="2" t="str">
        <x:v>COST-PAIPU-R17-720-REQ-NOV</x:v>
      </x:c>
      <x:c r="B29" s="2" t="str">
        <x:v>CH-PAIPU</x:v>
      </x:c>
      <x:c r="C29" s="2" t="str">
        <x:v>lec-feituo-seedance-2-0-hn-720p</x:v>
      </x:c>
      <x:c r="D29" s="2" t="str">
        <x:v>SKU-SD20-STD-720</x:v>
      </x:c>
      <x:c r="E29" s="2" t="str">
        <x:v>no_video</x:v>
      </x:c>
      <x:c r="F29" s="2" t="str">
        <x:v>per_request</x:v>
      </x:c>
      <x:c r="G29" s="2"/>
      <x:c r="H29" s="2" t="str">
        <x:v>validated_request</x:v>
      </x:c>
      <x:c r="I29" s="2" t="str">
        <x:v>request_count</x:v>
      </x:c>
      <x:c r="J29" s="2" t="str">
        <x:v>task_succeeded</x:v>
      </x:c>
      <x:c r="K29" s="2" t="str">
        <x:v>CNY</x:v>
      </x:c>
      <x:c r="L29" s="27" t="n">
        <x:v>5.3</x:v>
      </x:c>
      <x:c r="M29" s="27"/>
      <x:c r="N29" s="27"/>
      <x:c r="O29" s="26" t="n">
        <x:f t="shared" si="0">IF(F29="per_request",L29,IF(F29="per_duration",M29,IF(F29="per_token",N29,0)))</x:f>
        <x:v>5.3</x:v>
      </x:c>
      <x:c r="P29" s="27" t="n">
        <x:v>1</x:v>
      </x:c>
      <x:c r="Q29" s="27" t="n">
        <x:v>1</x:v>
      </x:c>
      <x:c r="R29" s="27" t="n">
        <x:v>1</x:v>
      </x:c>
      <x:c r="S29" s="27" t="n">
        <x:v>0</x:v>
      </x:c>
      <x:c r="T29" s="26" t="n">
        <x:f>IF(K29="USD",1,'参数'!$B$6)</x:f>
        <x:v>0.136986301369863</x:v>
      </x:c>
      <x:c r="U29" s="26" t="n">
        <x:f t="shared" si="1">O29*P29*Q29/R29*(1+S29)*T29</x:f>
        <x:v>0.7260273972602739</x:v>
      </x:c>
      <x:c r="V29" s="23" t="str">
        <x:f t="shared" si="2">IF(F29="per_request","USD/次",IF(F29="per_duration","USD/秒",IF(F29="per_token","USD/1M Token","")))</x:f>
        <x:v>USD/次</x:v>
      </x:c>
      <x:c r="W29" s="20" t="n">
        <x:v>46229.393565162034</x:v>
      </x:c>
      <x:c r="X29" s="20"/>
      <x:c r="Y29" s="2" t="str">
        <x:v>invalid</x:v>
      </x:c>
      <x:c r="Z29" s="2" t="str">
        <x:v>SRC-CH-02</x:v>
      </x:c>
      <x:c r="AA29" s="7" t="str">
        <x:v>源行=sd!17；原模型=lec-feituo-seedance-2-0-hn-720p；时长=5,10,15；比例=9:16, 16:9；视频输入=是；真人脸=待确认；超分=否；素材库=否；NSFW=否；协议=自有；素材限制=431；原表状态=异常，已导入为invalid</x:v>
      </x:c>
      <x:c r="AB29" s="23" t="str">
        <x:f t="shared" si="3">IF(A29="","",IF(COUNTIF($A$5:$A$1004,A29)&gt;1,"错误:重复成本规则ID",IF(OR(B29="",C29="",E29="",F29="",K29="",O29&lt;=0,P29&lt;=0,Q29&lt;=0,R29&lt;=0,S29&lt;0,T29&lt;=0,Y29=""),"错误:必填项",IF(D29="","警告:SKU待映射","OK"))))</x:f>
        <x:v>OK</x:v>
      </x:c>
    </x:row>
    <x:row r="30" ht="39.599998474121094" customHeight="1">
      <x:c r="A30" s="2" t="str">
        <x:v>COST-PAIPU-R17-720-REQ-VID</x:v>
      </x:c>
      <x:c r="B30" s="2" t="str">
        <x:v>CH-PAIPU</x:v>
      </x:c>
      <x:c r="C30" s="2" t="str">
        <x:v>lec-feituo-seedance-2-0-hn-720p</x:v>
      </x:c>
      <x:c r="D30" s="2" t="str">
        <x:v>SKU-SD20-STD-720</x:v>
      </x:c>
      <x:c r="E30" s="2" t="str">
        <x:v>with_video</x:v>
      </x:c>
      <x:c r="F30" s="2" t="str">
        <x:v>per_request</x:v>
      </x:c>
      <x:c r="G30" s="2"/>
      <x:c r="H30" s="2" t="str">
        <x:v>validated_request</x:v>
      </x:c>
      <x:c r="I30" s="2" t="str">
        <x:v>request_count</x:v>
      </x:c>
      <x:c r="J30" s="2" t="str">
        <x:v>task_succeeded</x:v>
      </x:c>
      <x:c r="K30" s="2" t="str">
        <x:v>CNY</x:v>
      </x:c>
      <x:c r="L30" s="27" t="n">
        <x:v>5.3</x:v>
      </x:c>
      <x:c r="M30" s="27"/>
      <x:c r="N30" s="27"/>
      <x:c r="O30" s="26" t="n">
        <x:f t="shared" si="0">IF(F30="per_request",L30,IF(F30="per_duration",M30,IF(F30="per_token",N30,0)))</x:f>
        <x:v>5.3</x:v>
      </x:c>
      <x:c r="P30" s="27" t="n">
        <x:v>1</x:v>
      </x:c>
      <x:c r="Q30" s="27" t="n">
        <x:v>1</x:v>
      </x:c>
      <x:c r="R30" s="27" t="n">
        <x:v>1</x:v>
      </x:c>
      <x:c r="S30" s="27" t="n">
        <x:v>0</x:v>
      </x:c>
      <x:c r="T30" s="26" t="n">
        <x:f>IF(K30="USD",1,'参数'!$B$6)</x:f>
        <x:v>0.136986301369863</x:v>
      </x:c>
      <x:c r="U30" s="26" t="n">
        <x:f t="shared" si="1">O30*P30*Q30/R30*(1+S30)*T30</x:f>
        <x:v>0.7260273972602739</x:v>
      </x:c>
      <x:c r="V30" s="23" t="str">
        <x:f t="shared" si="2">IF(F30="per_request","USD/次",IF(F30="per_duration","USD/秒",IF(F30="per_token","USD/1M Token","")))</x:f>
        <x:v>USD/次</x:v>
      </x:c>
      <x:c r="W30" s="20" t="n">
        <x:v>46229.393565162034</x:v>
      </x:c>
      <x:c r="X30" s="20"/>
      <x:c r="Y30" s="2" t="str">
        <x:v>invalid</x:v>
      </x:c>
      <x:c r="Z30" s="2" t="str">
        <x:v>SRC-CH-02</x:v>
      </x:c>
      <x:c r="AA30" s="7" t="str">
        <x:v>源行=sd!17；原模型=lec-feituo-seedance-2-0-hn-720p；时长=5,10,15；比例=9:16, 16:9；视频输入=是；真人脸=待确认；超分=否；素材库=否；NSFW=否；协议=自有；素材限制=431；原表状态=异常，已导入为invalid</x:v>
      </x:c>
      <x:c r="AB30" s="23" t="str">
        <x:f t="shared" si="3">IF(A30="","",IF(COUNTIF($A$5:$A$1004,A30)&gt;1,"错误:重复成本规则ID",IF(OR(B30="",C30="",E30="",F30="",K30="",O30&lt;=0,P30&lt;=0,Q30&lt;=0,R30&lt;=0,S30&lt;0,T30&lt;=0,Y30=""),"错误:必填项",IF(D30="","警告:SKU待映射","OK"))))</x:f>
        <x:v>OK</x:v>
      </x:c>
    </x:row>
    <x:row r="31" ht="26.350000381469727" customHeight="1">
      <x:c r="A31" s="2" t="str">
        <x:v>COST-PAIPU-R18-720-REQ-NOV</x:v>
      </x:c>
      <x:c r="B31" s="2" t="str">
        <x:v>CH-PAIPU</x:v>
      </x:c>
      <x:c r="C31" s="2" t="str">
        <x:v>lec-feituo-seedance-2-0-ld-cvk-2</x:v>
      </x:c>
      <x:c r="D31" s="2" t="str">
        <x:v>SKU-SD20-STD-720</x:v>
      </x:c>
      <x:c r="E31" s="2" t="str">
        <x:v>no_video</x:v>
      </x:c>
      <x:c r="F31" s="2" t="str">
        <x:v>per_request</x:v>
      </x:c>
      <x:c r="G31" s="2"/>
      <x:c r="H31" s="2" t="str">
        <x:v>validated_request</x:v>
      </x:c>
      <x:c r="I31" s="2" t="str">
        <x:v>request_count</x:v>
      </x:c>
      <x:c r="J31" s="2" t="str">
        <x:v>task_succeeded</x:v>
      </x:c>
      <x:c r="K31" s="2" t="str">
        <x:v>CNY</x:v>
      </x:c>
      <x:c r="L31" s="27" t="n">
        <x:v>6</x:v>
      </x:c>
      <x:c r="M31" s="27"/>
      <x:c r="N31" s="27"/>
      <x:c r="O31" s="26" t="n">
        <x:f t="shared" si="0">IF(F31="per_request",L31,IF(F31="per_duration",M31,IF(F31="per_token",N31,0)))</x:f>
        <x:v>6</x:v>
      </x:c>
      <x:c r="P31" s="27" t="n">
        <x:v>1</x:v>
      </x:c>
      <x:c r="Q31" s="27" t="n">
        <x:v>1</x:v>
      </x:c>
      <x:c r="R31" s="27" t="n">
        <x:v>1</x:v>
      </x:c>
      <x:c r="S31" s="27" t="n">
        <x:v>0</x:v>
      </x:c>
      <x:c r="T31" s="26" t="n">
        <x:f>IF(K31="USD",1,'参数'!$B$6)</x:f>
        <x:v>0.136986301369863</x:v>
      </x:c>
      <x:c r="U31" s="26" t="n">
        <x:f t="shared" si="1">O31*P31*Q31/R31*(1+S31)*T31</x:f>
        <x:v>0.821917808219178</x:v>
      </x:c>
      <x:c r="V31" s="23" t="str">
        <x:f t="shared" si="2">IF(F31="per_request","USD/次",IF(F31="per_duration","USD/秒",IF(F31="per_token","USD/1M Token","")))</x:f>
        <x:v>USD/次</x:v>
      </x:c>
      <x:c r="W31" s="20" t="n">
        <x:v>46229.393565162034</x:v>
      </x:c>
      <x:c r="X31" s="20"/>
      <x:c r="Y31" s="2" t="str">
        <x:v>invalid</x:v>
      </x:c>
      <x:c r="Z31" s="2" t="str">
        <x:v>SRC-CH-02</x:v>
      </x:c>
      <x:c r="AA31" s="7" t="str">
        <x:v>源行=sd!18；原模型=lec-feituo-seedance-2-0-ld-cvk-2；时长=5-15；比例=不限；视频输入=是；真人脸=待确认；超分=否；素材库=否；NSFW=否；协议=自有；素材限制=933；原表状态=异常，已导入为invalid</x:v>
      </x:c>
      <x:c r="AB31" s="23" t="str">
        <x:f t="shared" si="3">IF(A31="","",IF(COUNTIF($A$5:$A$1004,A31)&gt;1,"错误:重复成本规则ID",IF(OR(B31="",C31="",E31="",F31="",K31="",O31&lt;=0,P31&lt;=0,Q31&lt;=0,R31&lt;=0,S31&lt;0,T31&lt;=0,Y31=""),"错误:必填项",IF(D31="","警告:SKU待映射","OK"))))</x:f>
        <x:v>OK</x:v>
      </x:c>
    </x:row>
    <x:row r="32" ht="26.350000381469727" customHeight="1">
      <x:c r="A32" s="2" t="str">
        <x:v>COST-PAIPU-R18-720-REQ-VID</x:v>
      </x:c>
      <x:c r="B32" s="2" t="str">
        <x:v>CH-PAIPU</x:v>
      </x:c>
      <x:c r="C32" s="2" t="str">
        <x:v>lec-feituo-seedance-2-0-ld-cvk-2</x:v>
      </x:c>
      <x:c r="D32" s="2" t="str">
        <x:v>SKU-SD20-STD-720</x:v>
      </x:c>
      <x:c r="E32" s="2" t="str">
        <x:v>with_video</x:v>
      </x:c>
      <x:c r="F32" s="2" t="str">
        <x:v>per_request</x:v>
      </x:c>
      <x:c r="G32" s="2"/>
      <x:c r="H32" s="2" t="str">
        <x:v>validated_request</x:v>
      </x:c>
      <x:c r="I32" s="2" t="str">
        <x:v>request_count</x:v>
      </x:c>
      <x:c r="J32" s="2" t="str">
        <x:v>task_succeeded</x:v>
      </x:c>
      <x:c r="K32" s="2" t="str">
        <x:v>CNY</x:v>
      </x:c>
      <x:c r="L32" s="27" t="n">
        <x:v>6</x:v>
      </x:c>
      <x:c r="M32" s="27"/>
      <x:c r="N32" s="27"/>
      <x:c r="O32" s="26" t="n">
        <x:f t="shared" si="0">IF(F32="per_request",L32,IF(F32="per_duration",M32,IF(F32="per_token",N32,0)))</x:f>
        <x:v>6</x:v>
      </x:c>
      <x:c r="P32" s="27" t="n">
        <x:v>1</x:v>
      </x:c>
      <x:c r="Q32" s="27" t="n">
        <x:v>1</x:v>
      </x:c>
      <x:c r="R32" s="27" t="n">
        <x:v>1</x:v>
      </x:c>
      <x:c r="S32" s="27" t="n">
        <x:v>0</x:v>
      </x:c>
      <x:c r="T32" s="26" t="n">
        <x:f>IF(K32="USD",1,'参数'!$B$6)</x:f>
        <x:v>0.136986301369863</x:v>
      </x:c>
      <x:c r="U32" s="26" t="n">
        <x:f t="shared" si="1">O32*P32*Q32/R32*(1+S32)*T32</x:f>
        <x:v>0.821917808219178</x:v>
      </x:c>
      <x:c r="V32" s="23" t="str">
        <x:f t="shared" si="2">IF(F32="per_request","USD/次",IF(F32="per_duration","USD/秒",IF(F32="per_token","USD/1M Token","")))</x:f>
        <x:v>USD/次</x:v>
      </x:c>
      <x:c r="W32" s="20" t="n">
        <x:v>46229.393565162034</x:v>
      </x:c>
      <x:c r="X32" s="20"/>
      <x:c r="Y32" s="2" t="str">
        <x:v>invalid</x:v>
      </x:c>
      <x:c r="Z32" s="2" t="str">
        <x:v>SRC-CH-02</x:v>
      </x:c>
      <x:c r="AA32" s="7" t="str">
        <x:v>源行=sd!18；原模型=lec-feituo-seedance-2-0-ld-cvk-2；时长=5-15；比例=不限；视频输入=是；真人脸=待确认；超分=否；素材库=否；NSFW=否；协议=自有；素材限制=933；原表状态=异常，已导入为invalid</x:v>
      </x:c>
      <x:c r="AB32" s="23" t="str">
        <x:f t="shared" si="3">IF(A32="","",IF(COUNTIF($A$5:$A$1004,A32)&gt;1,"错误:重复成本规则ID",IF(OR(B32="",C32="",E32="",F32="",K32="",O32&lt;=0,P32&lt;=0,Q32&lt;=0,R32&lt;=0,S32&lt;0,T32&lt;=0,Y32=""),"错误:必填项",IF(D32="","警告:SKU待映射","OK"))))</x:f>
        <x:v>OK</x:v>
      </x:c>
    </x:row>
    <x:row r="33" ht="39.599998474121094" customHeight="1">
      <x:c r="A33" s="2" t="str">
        <x:v>COST-PAIPU-R19-720-SEC-NOV</x:v>
      </x:c>
      <x:c r="B33" s="2" t="str">
        <x:v>CH-PAIPU</x:v>
      </x:c>
      <x:c r="C33" s="2" t="str">
        <x:v>lec-feituo-seedance-2-0-limited-720p</x:v>
      </x:c>
      <x:c r="D33" s="2" t="str">
        <x:v>SKU-SD20-STD-720</x:v>
      </x:c>
      <x:c r="E33" s="2" t="str">
        <x:v>no_video</x:v>
      </x:c>
      <x:c r="F33" s="2" t="str">
        <x:v>per_duration</x:v>
      </x:c>
      <x:c r="G33" s="2"/>
      <x:c r="H33" s="2" t="str">
        <x:v>validated_request</x:v>
      </x:c>
      <x:c r="I33" s="2" t="str">
        <x:v>billable_duration_seconds</x:v>
      </x:c>
      <x:c r="J33" s="2" t="str">
        <x:v>task_succeeded</x:v>
      </x:c>
      <x:c r="K33" s="2" t="str">
        <x:v>CNY</x:v>
      </x:c>
      <x:c r="L33" s="27"/>
      <x:c r="M33" s="27" t="n">
        <x:v>0.25</x:v>
      </x:c>
      <x:c r="N33" s="27"/>
      <x:c r="O33" s="26" t="n">
        <x:f t="shared" si="0">IF(F33="per_request",L33,IF(F33="per_duration",M33,IF(F33="per_token",N33,0)))</x:f>
        <x:v>0.25</x:v>
      </x:c>
      <x:c r="P33" s="27" t="n">
        <x:v>1</x:v>
      </x:c>
      <x:c r="Q33" s="27" t="n">
        <x:v>1</x:v>
      </x:c>
      <x:c r="R33" s="27" t="n">
        <x:v>1</x:v>
      </x:c>
      <x:c r="S33" s="27" t="n">
        <x:v>0</x:v>
      </x:c>
      <x:c r="T33" s="26" t="n">
        <x:f>IF(K33="USD",1,'参数'!$B$6)</x:f>
        <x:v>0.136986301369863</x:v>
      </x:c>
      <x:c r="U33" s="26" t="n">
        <x:f t="shared" si="1">O33*P33*Q33/R33*(1+S33)*T33</x:f>
        <x:v>0.03424657534246575</x:v>
      </x:c>
      <x:c r="V33" s="23" t="str">
        <x:f t="shared" si="2">IF(F33="per_request","USD/次",IF(F33="per_duration","USD/秒",IF(F33="per_token","USD/1M Token","")))</x:f>
        <x:v>USD/秒</x:v>
      </x:c>
      <x:c r="W33" s="20" t="n">
        <x:v>46229.393565162034</x:v>
      </x:c>
      <x:c r="X33" s="20"/>
      <x:c r="Y33" s="2" t="str">
        <x:v>invalid</x:v>
      </x:c>
      <x:c r="Z33" s="2" t="str">
        <x:v>SRC-CH-02</x:v>
      </x:c>
      <x:c r="AA33" s="7" t="str">
        <x:v>源行=sd!19；原模型=lec-feituo-seedance-2-0-limited-720p；时长=4-15；比例=不限；视频输入=否；真人脸=待确认；超分=否；素材库=否；NSFW=否；协议=自有；素材限制=900；原表折扣 秒 无V=0.252（成本/官价参考比，不参与成本二次计算）；原表状态=异常，已导入为invalid</x:v>
      </x:c>
      <x:c r="AB33" s="23" t="str">
        <x:f t="shared" si="3">IF(A33="","",IF(COUNTIF($A$5:$A$1004,A33)&gt;1,"错误:重复成本规则ID",IF(OR(B33="",C33="",E33="",F33="",K33="",O33&lt;=0,P33&lt;=0,Q33&lt;=0,R33&lt;=0,S33&lt;0,T33&lt;=0,Y33=""),"错误:必填项",IF(D33="","警告:SKU待映射","OK"))))</x:f>
        <x:v>OK</x:v>
      </x:c>
    </x:row>
    <x:row r="34" ht="26.350000381469727" customHeight="1">
      <x:c r="A34" s="2" t="str">
        <x:v>COST-PAIPU-R20-720-REQ-NOV</x:v>
      </x:c>
      <x:c r="B34" s="2" t="str">
        <x:v>CH-PAIPU</x:v>
      </x:c>
      <x:c r="C34" s="2" t="str">
        <x:v>lec-feituo-seedance-2-0-lg-720p</x:v>
      </x:c>
      <x:c r="D34" s="2" t="str">
        <x:v>SKU-SD20-STD-720</x:v>
      </x:c>
      <x:c r="E34" s="2" t="str">
        <x:v>no_video</x:v>
      </x:c>
      <x:c r="F34" s="2" t="str">
        <x:v>per_request</x:v>
      </x:c>
      <x:c r="G34" s="2"/>
      <x:c r="H34" s="2" t="str">
        <x:v>validated_request</x:v>
      </x:c>
      <x:c r="I34" s="2" t="str">
        <x:v>request_count</x:v>
      </x:c>
      <x:c r="J34" s="2" t="str">
        <x:v>task_succeeded</x:v>
      </x:c>
      <x:c r="K34" s="2" t="str">
        <x:v>CNY</x:v>
      </x:c>
      <x:c r="L34" s="27" t="n">
        <x:v>6</x:v>
      </x:c>
      <x:c r="M34" s="27"/>
      <x:c r="N34" s="27"/>
      <x:c r="O34" s="26" t="n">
        <x:f t="shared" si="0">IF(F34="per_request",L34,IF(F34="per_duration",M34,IF(F34="per_token",N34,0)))</x:f>
        <x:v>6</x:v>
      </x:c>
      <x:c r="P34" s="27" t="n">
        <x:v>1</x:v>
      </x:c>
      <x:c r="Q34" s="27" t="n">
        <x:v>1</x:v>
      </x:c>
      <x:c r="R34" s="27" t="n">
        <x:v>1</x:v>
      </x:c>
      <x:c r="S34" s="27" t="n">
        <x:v>0</x:v>
      </x:c>
      <x:c r="T34" s="26" t="n">
        <x:f>IF(K34="USD",1,'参数'!$B$6)</x:f>
        <x:v>0.136986301369863</x:v>
      </x:c>
      <x:c r="U34" s="26" t="n">
        <x:f t="shared" si="1">O34*P34*Q34/R34*(1+S34)*T34</x:f>
        <x:v>0.821917808219178</x:v>
      </x:c>
      <x:c r="V34" s="23" t="str">
        <x:f t="shared" si="2">IF(F34="per_request","USD/次",IF(F34="per_duration","USD/秒",IF(F34="per_token","USD/1M Token","")))</x:f>
        <x:v>USD/次</x:v>
      </x:c>
      <x:c r="W34" s="20" t="n">
        <x:v>46229.393565162034</x:v>
      </x:c>
      <x:c r="X34" s="20"/>
      <x:c r="Y34" s="2" t="str">
        <x:v>invalid</x:v>
      </x:c>
      <x:c r="Z34" s="2" t="str">
        <x:v>SRC-CH-02</x:v>
      </x:c>
      <x:c r="AA34" s="7" t="str">
        <x:v>源行=sd!20；原模型=lec-feituo-seedance-2-0-lg-720p；时长=4-15；比例=不限；视频输入=是；真人脸=待确认；超分=否；素材库=否；NSFW=否；协议=自有；素材限制=933；原表状态=异常，已导入为invalid</x:v>
      </x:c>
      <x:c r="AB34" s="23" t="str">
        <x:f t="shared" si="3">IF(A34="","",IF(COUNTIF($A$5:$A$1004,A34)&gt;1,"错误:重复成本规则ID",IF(OR(B34="",C34="",E34="",F34="",K34="",O34&lt;=0,P34&lt;=0,Q34&lt;=0,R34&lt;=0,S34&lt;0,T34&lt;=0,Y34=""),"错误:必填项",IF(D34="","警告:SKU待映射","OK"))))</x:f>
        <x:v>OK</x:v>
      </x:c>
    </x:row>
    <x:row r="35" ht="26.350000381469727" customHeight="1">
      <x:c r="A35" s="2" t="str">
        <x:v>COST-PAIPU-R20-720-REQ-VID</x:v>
      </x:c>
      <x:c r="B35" s="2" t="str">
        <x:v>CH-PAIPU</x:v>
      </x:c>
      <x:c r="C35" s="2" t="str">
        <x:v>lec-feituo-seedance-2-0-lg-720p</x:v>
      </x:c>
      <x:c r="D35" s="2" t="str">
        <x:v>SKU-SD20-STD-720</x:v>
      </x:c>
      <x:c r="E35" s="2" t="str">
        <x:v>with_video</x:v>
      </x:c>
      <x:c r="F35" s="2" t="str">
        <x:v>per_request</x:v>
      </x:c>
      <x:c r="G35" s="2"/>
      <x:c r="H35" s="2" t="str">
        <x:v>validated_request</x:v>
      </x:c>
      <x:c r="I35" s="2" t="str">
        <x:v>request_count</x:v>
      </x:c>
      <x:c r="J35" s="2" t="str">
        <x:v>task_succeeded</x:v>
      </x:c>
      <x:c r="K35" s="2" t="str">
        <x:v>CNY</x:v>
      </x:c>
      <x:c r="L35" s="27" t="n">
        <x:v>6</x:v>
      </x:c>
      <x:c r="M35" s="27"/>
      <x:c r="N35" s="27"/>
      <x:c r="O35" s="26" t="n">
        <x:f t="shared" si="0">IF(F35="per_request",L35,IF(F35="per_duration",M35,IF(F35="per_token",N35,0)))</x:f>
        <x:v>6</x:v>
      </x:c>
      <x:c r="P35" s="27" t="n">
        <x:v>1</x:v>
      </x:c>
      <x:c r="Q35" s="27" t="n">
        <x:v>1</x:v>
      </x:c>
      <x:c r="R35" s="27" t="n">
        <x:v>1</x:v>
      </x:c>
      <x:c r="S35" s="27" t="n">
        <x:v>0</x:v>
      </x:c>
      <x:c r="T35" s="26" t="n">
        <x:f>IF(K35="USD",1,'参数'!$B$6)</x:f>
        <x:v>0.136986301369863</x:v>
      </x:c>
      <x:c r="U35" s="26" t="n">
        <x:f t="shared" si="1">O35*P35*Q35/R35*(1+S35)*T35</x:f>
        <x:v>0.821917808219178</x:v>
      </x:c>
      <x:c r="V35" s="23" t="str">
        <x:f t="shared" si="2">IF(F35="per_request","USD/次",IF(F35="per_duration","USD/秒",IF(F35="per_token","USD/1M Token","")))</x:f>
        <x:v>USD/次</x:v>
      </x:c>
      <x:c r="W35" s="20" t="n">
        <x:v>46229.393565162034</x:v>
      </x:c>
      <x:c r="X35" s="20"/>
      <x:c r="Y35" s="2" t="str">
        <x:v>invalid</x:v>
      </x:c>
      <x:c r="Z35" s="2" t="str">
        <x:v>SRC-CH-02</x:v>
      </x:c>
      <x:c r="AA35" s="7" t="str">
        <x:v>源行=sd!20；原模型=lec-feituo-seedance-2-0-lg-720p；时长=4-15；比例=不限；视频输入=是；真人脸=待确认；超分=否；素材库=否；NSFW=否；协议=自有；素材限制=933；原表状态=异常，已导入为invalid</x:v>
      </x:c>
      <x:c r="AB35" s="23" t="str">
        <x:f t="shared" si="3">IF(A35="","",IF(COUNTIF($A$5:$A$1004,A35)&gt;1,"错误:重复成本规则ID",IF(OR(B35="",C35="",E35="",F35="",K35="",O35&lt;=0,P35&lt;=0,Q35&lt;=0,R35&lt;=0,S35&lt;0,T35&lt;=0,Y35=""),"错误:必填项",IF(D35="","警告:SKU待映射","OK"))))</x:f>
        <x:v>OK</x:v>
      </x:c>
    </x:row>
    <x:row r="36" ht="39.599998474121094" customHeight="1">
      <x:c r="A36" s="2" t="str">
        <x:v>COST-PAIPU-R21-1080-REQ-NOV</x:v>
      </x:c>
      <x:c r="B36" s="2" t="str">
        <x:v>CH-PAIPU</x:v>
      </x:c>
      <x:c r="C36" s="2" t="str">
        <x:v>lec-feituo-seedance-2-0-my-fast-upscaled-1080p</x:v>
      </x:c>
      <x:c r="D36" s="2" t="str">
        <x:v>SKU-SD20-FAST-1080</x:v>
      </x:c>
      <x:c r="E36" s="2" t="str">
        <x:v>no_video</x:v>
      </x:c>
      <x:c r="F36" s="2" t="str">
        <x:v>per_request</x:v>
      </x:c>
      <x:c r="G36" s="2"/>
      <x:c r="H36" s="2" t="str">
        <x:v>validated_request</x:v>
      </x:c>
      <x:c r="I36" s="2" t="str">
        <x:v>request_count</x:v>
      </x:c>
      <x:c r="J36" s="2" t="str">
        <x:v>task_succeeded</x:v>
      </x:c>
      <x:c r="K36" s="2" t="str">
        <x:v>CNY</x:v>
      </x:c>
      <x:c r="L36" s="27" t="n">
        <x:v>3.8</x:v>
      </x:c>
      <x:c r="M36" s="27"/>
      <x:c r="N36" s="27"/>
      <x:c r="O36" s="26" t="n">
        <x:f t="shared" si="0">IF(F36="per_request",L36,IF(F36="per_duration",M36,IF(F36="per_token",N36,0)))</x:f>
        <x:v>3.8</x:v>
      </x:c>
      <x:c r="P36" s="27" t="n">
        <x:v>1</x:v>
      </x:c>
      <x:c r="Q36" s="27" t="n">
        <x:v>1</x:v>
      </x:c>
      <x:c r="R36" s="27" t="n">
        <x:v>1</x:v>
      </x:c>
      <x:c r="S36" s="27" t="n">
        <x:v>0</x:v>
      </x:c>
      <x:c r="T36" s="26" t="n">
        <x:f>IF(K36="USD",1,'参数'!$B$6)</x:f>
        <x:v>0.136986301369863</x:v>
      </x:c>
      <x:c r="U36" s="26" t="n">
        <x:f t="shared" si="1">O36*P36*Q36/R36*(1+S36)*T36</x:f>
        <x:v>0.5205479452054794</x:v>
      </x:c>
      <x:c r="V36" s="23" t="str">
        <x:f t="shared" si="2">IF(F36="per_request","USD/次",IF(F36="per_duration","USD/秒",IF(F36="per_token","USD/1M Token","")))</x:f>
        <x:v>USD/次</x:v>
      </x:c>
      <x:c r="W36" s="20" t="n">
        <x:v>46229.393565162034</x:v>
      </x:c>
      <x:c r="X36" s="20"/>
      <x:c r="Y36" s="2" t="str">
        <x:v>draft</x:v>
      </x:c>
      <x:c r="Z36" s="2" t="str">
        <x:v>SRC-CH-02</x:v>
      </x:c>
      <x:c r="AA36" s="7" t="str">
        <x:v>源行=sd!21；原模型=lec-feituo-seedance-2-0-my-fast-upscaled-1080p；时长=4-15；比例=不限；视频输入=是；真人脸=待确认；超分=720；素材库=否；NSFW=否；协议=自有；素材限制=431；原表状态=异常，已导入为invalid</x:v>
      </x:c>
      <x:c r="AB36" s="23" t="str">
        <x:f t="shared" si="3">IF(A36="","",IF(COUNTIF($A$5:$A$1004,A36)&gt;1,"错误:重复成本规则ID",IF(OR(B36="",C36="",E36="",F36="",K36="",O36&lt;=0,P36&lt;=0,Q36&lt;=0,R36&lt;=0,S36&lt;0,T36&lt;=0,Y36=""),"错误:必填项",IF(D36="","警告:SKU待映射","OK"))))</x:f>
        <x:v>OK</x:v>
      </x:c>
    </x:row>
    <x:row r="37" ht="39.599998474121094" customHeight="1">
      <x:c r="A37" s="2" t="str">
        <x:v>COST-PAIPU-R21-1080-REQ-VID</x:v>
      </x:c>
      <x:c r="B37" s="2" t="str">
        <x:v>CH-PAIPU</x:v>
      </x:c>
      <x:c r="C37" s="2" t="str">
        <x:v>lec-feituo-seedance-2-0-my-fast-upscaled-1080p</x:v>
      </x:c>
      <x:c r="D37" s="2" t="str">
        <x:v>SKU-SD20-FAST-1080</x:v>
      </x:c>
      <x:c r="E37" s="2" t="str">
        <x:v>with_video</x:v>
      </x:c>
      <x:c r="F37" s="2" t="str">
        <x:v>per_request</x:v>
      </x:c>
      <x:c r="G37" s="2"/>
      <x:c r="H37" s="2" t="str">
        <x:v>validated_request</x:v>
      </x:c>
      <x:c r="I37" s="2" t="str">
        <x:v>request_count</x:v>
      </x:c>
      <x:c r="J37" s="2" t="str">
        <x:v>task_succeeded</x:v>
      </x:c>
      <x:c r="K37" s="2" t="str">
        <x:v>CNY</x:v>
      </x:c>
      <x:c r="L37" s="27" t="n">
        <x:v>3.8</x:v>
      </x:c>
      <x:c r="M37" s="27"/>
      <x:c r="N37" s="27"/>
      <x:c r="O37" s="26" t="n">
        <x:f t="shared" si="0">IF(F37="per_request",L37,IF(F37="per_duration",M37,IF(F37="per_token",N37,0)))</x:f>
        <x:v>3.8</x:v>
      </x:c>
      <x:c r="P37" s="27" t="n">
        <x:v>1</x:v>
      </x:c>
      <x:c r="Q37" s="27" t="n">
        <x:v>1</x:v>
      </x:c>
      <x:c r="R37" s="27" t="n">
        <x:v>1</x:v>
      </x:c>
      <x:c r="S37" s="27" t="n">
        <x:v>0</x:v>
      </x:c>
      <x:c r="T37" s="26" t="n">
        <x:f>IF(K37="USD",1,'参数'!$B$6)</x:f>
        <x:v>0.136986301369863</x:v>
      </x:c>
      <x:c r="U37" s="26" t="n">
        <x:f t="shared" si="1">O37*P37*Q37/R37*(1+S37)*T37</x:f>
        <x:v>0.5205479452054794</x:v>
      </x:c>
      <x:c r="V37" s="23" t="str">
        <x:f t="shared" si="2">IF(F37="per_request","USD/次",IF(F37="per_duration","USD/秒",IF(F37="per_token","USD/1M Token","")))</x:f>
        <x:v>USD/次</x:v>
      </x:c>
      <x:c r="W37" s="20" t="n">
        <x:v>46229.393565162034</x:v>
      </x:c>
      <x:c r="X37" s="20"/>
      <x:c r="Y37" s="2" t="str">
        <x:v>draft</x:v>
      </x:c>
      <x:c r="Z37" s="2" t="str">
        <x:v>SRC-CH-02</x:v>
      </x:c>
      <x:c r="AA37" s="7" t="str">
        <x:v>源行=sd!21；原模型=lec-feituo-seedance-2-0-my-fast-upscaled-1080p；时长=4-15；比例=不限；视频输入=是；真人脸=待确认；超分=720；素材库=否；NSFW=否；协议=自有；素材限制=431；原表状态=异常，已导入为invalid</x:v>
      </x:c>
      <x:c r="AB37" s="23" t="str">
        <x:f t="shared" si="3">IF(A37="","",IF(COUNTIF($A$5:$A$1004,A37)&gt;1,"错误:重复成本规则ID",IF(OR(B37="",C37="",E37="",F37="",K37="",O37&lt;=0,P37&lt;=0,Q37&lt;=0,R37&lt;=0,S37&lt;0,T37&lt;=0,Y37=""),"错误:必填项",IF(D37="","警告:SKU待映射","OK"))))</x:f>
        <x:v>OK</x:v>
      </x:c>
    </x:row>
    <x:row r="38" ht="39.599998474121094" customHeight="1">
      <x:c r="A38" s="2" t="str">
        <x:v>COST-PAIPU-R22-1080-REQ-NOV</x:v>
      </x:c>
      <x:c r="B38" s="2" t="str">
        <x:v>CH-PAIPU</x:v>
      </x:c>
      <x:c r="C38" s="2" t="str">
        <x:v>lec-feituo-seedance-2-0-my-upscaled-1080p</x:v>
      </x:c>
      <x:c r="D38" s="2" t="str">
        <x:v>SKU-SD20-STD-1080</x:v>
      </x:c>
      <x:c r="E38" s="2" t="str">
        <x:v>no_video</x:v>
      </x:c>
      <x:c r="F38" s="2" t="str">
        <x:v>per_request</x:v>
      </x:c>
      <x:c r="G38" s="2"/>
      <x:c r="H38" s="2" t="str">
        <x:v>validated_request</x:v>
      </x:c>
      <x:c r="I38" s="2" t="str">
        <x:v>request_count</x:v>
      </x:c>
      <x:c r="J38" s="2" t="str">
        <x:v>task_succeeded</x:v>
      </x:c>
      <x:c r="K38" s="2" t="str">
        <x:v>CNY</x:v>
      </x:c>
      <x:c r="L38" s="27" t="n">
        <x:v>4.8</x:v>
      </x:c>
      <x:c r="M38" s="27"/>
      <x:c r="N38" s="27"/>
      <x:c r="O38" s="26" t="n">
        <x:f t="shared" si="0">IF(F38="per_request",L38,IF(F38="per_duration",M38,IF(F38="per_token",N38,0)))</x:f>
        <x:v>4.8</x:v>
      </x:c>
      <x:c r="P38" s="27" t="n">
        <x:v>1</x:v>
      </x:c>
      <x:c r="Q38" s="27" t="n">
        <x:v>1</x:v>
      </x:c>
      <x:c r="R38" s="27" t="n">
        <x:v>1</x:v>
      </x:c>
      <x:c r="S38" s="27" t="n">
        <x:v>0</x:v>
      </x:c>
      <x:c r="T38" s="26" t="n">
        <x:f>IF(K38="USD",1,'参数'!$B$6)</x:f>
        <x:v>0.136986301369863</x:v>
      </x:c>
      <x:c r="U38" s="26" t="n">
        <x:f t="shared" si="1">O38*P38*Q38/R38*(1+S38)*T38</x:f>
        <x:v>0.6575342465753424</x:v>
      </x:c>
      <x:c r="V38" s="23" t="str">
        <x:f t="shared" si="2">IF(F38="per_request","USD/次",IF(F38="per_duration","USD/秒",IF(F38="per_token","USD/1M Token","")))</x:f>
        <x:v>USD/次</x:v>
      </x:c>
      <x:c r="W38" s="20" t="n">
        <x:v>46229.393565162034</x:v>
      </x:c>
      <x:c r="X38" s="20"/>
      <x:c r="Y38" s="2" t="str">
        <x:v>invalid</x:v>
      </x:c>
      <x:c r="Z38" s="2" t="str">
        <x:v>SRC-CH-02</x:v>
      </x:c>
      <x:c r="AA38" s="7" t="str">
        <x:v>源行=sd!22；原模型=lec-feituo-seedance-2-0-my-upscaled-1080p；时长=4-15；比例=不限；视频输入=是；真人脸=待确认；超分=720；素材库=否；NSFW=否；协议=自有；素材限制=431；原表状态=异常，已导入为invalid</x:v>
      </x:c>
      <x:c r="AB38" s="23" t="str">
        <x:f t="shared" si="3">IF(A38="","",IF(COUNTIF($A$5:$A$1004,A38)&gt;1,"错误:重复成本规则ID",IF(OR(B38="",C38="",E38="",F38="",K38="",O38&lt;=0,P38&lt;=0,Q38&lt;=0,R38&lt;=0,S38&lt;0,T38&lt;=0,Y38=""),"错误:必填项",IF(D38="","警告:SKU待映射","OK"))))</x:f>
        <x:v>OK</x:v>
      </x:c>
    </x:row>
    <x:row r="39" ht="39.599998474121094" customHeight="1">
      <x:c r="A39" s="2" t="str">
        <x:v>COST-PAIPU-R22-1080-REQ-VID</x:v>
      </x:c>
      <x:c r="B39" s="2" t="str">
        <x:v>CH-PAIPU</x:v>
      </x:c>
      <x:c r="C39" s="2" t="str">
        <x:v>lec-feituo-seedance-2-0-my-upscaled-1080p</x:v>
      </x:c>
      <x:c r="D39" s="2" t="str">
        <x:v>SKU-SD20-STD-1080</x:v>
      </x:c>
      <x:c r="E39" s="2" t="str">
        <x:v>with_video</x:v>
      </x:c>
      <x:c r="F39" s="2" t="str">
        <x:v>per_request</x:v>
      </x:c>
      <x:c r="G39" s="2"/>
      <x:c r="H39" s="2" t="str">
        <x:v>validated_request</x:v>
      </x:c>
      <x:c r="I39" s="2" t="str">
        <x:v>request_count</x:v>
      </x:c>
      <x:c r="J39" s="2" t="str">
        <x:v>task_succeeded</x:v>
      </x:c>
      <x:c r="K39" s="2" t="str">
        <x:v>CNY</x:v>
      </x:c>
      <x:c r="L39" s="27" t="n">
        <x:v>4.8</x:v>
      </x:c>
      <x:c r="M39" s="27"/>
      <x:c r="N39" s="27"/>
      <x:c r="O39" s="26" t="n">
        <x:f t="shared" si="0">IF(F39="per_request",L39,IF(F39="per_duration",M39,IF(F39="per_token",N39,0)))</x:f>
        <x:v>4.8</x:v>
      </x:c>
      <x:c r="P39" s="27" t="n">
        <x:v>1</x:v>
      </x:c>
      <x:c r="Q39" s="27" t="n">
        <x:v>1</x:v>
      </x:c>
      <x:c r="R39" s="27" t="n">
        <x:v>1</x:v>
      </x:c>
      <x:c r="S39" s="27" t="n">
        <x:v>0</x:v>
      </x:c>
      <x:c r="T39" s="26" t="n">
        <x:f>IF(K39="USD",1,'参数'!$B$6)</x:f>
        <x:v>0.136986301369863</x:v>
      </x:c>
      <x:c r="U39" s="26" t="n">
        <x:f t="shared" si="1">O39*P39*Q39/R39*(1+S39)*T39</x:f>
        <x:v>0.6575342465753424</x:v>
      </x:c>
      <x:c r="V39" s="23" t="str">
        <x:f t="shared" si="2">IF(F39="per_request","USD/次",IF(F39="per_duration","USD/秒",IF(F39="per_token","USD/1M Token","")))</x:f>
        <x:v>USD/次</x:v>
      </x:c>
      <x:c r="W39" s="20" t="n">
        <x:v>46229.393565162034</x:v>
      </x:c>
      <x:c r="X39" s="20"/>
      <x:c r="Y39" s="2" t="str">
        <x:v>invalid</x:v>
      </x:c>
      <x:c r="Z39" s="2" t="str">
        <x:v>SRC-CH-02</x:v>
      </x:c>
      <x:c r="AA39" s="7" t="str">
        <x:v>源行=sd!22；原模型=lec-feituo-seedance-2-0-my-upscaled-1080p；时长=4-15；比例=不限；视频输入=是；真人脸=待确认；超分=720；素材库=否；NSFW=否；协议=自有；素材限制=431；原表状态=异常，已导入为invalid</x:v>
      </x:c>
      <x:c r="AB39" s="23" t="str">
        <x:f t="shared" si="3">IF(A39="","",IF(COUNTIF($A$5:$A$1004,A39)&gt;1,"错误:重复成本规则ID",IF(OR(B39="",C39="",E39="",F39="",K39="",O39&lt;=0,P39&lt;=0,Q39&lt;=0,R39&lt;=0,S39&lt;0,T39&lt;=0,Y39=""),"错误:必填项",IF(D39="","警告:SKU待映射","OK"))))</x:f>
        <x:v>OK</x:v>
      </x:c>
    </x:row>
    <x:row r="40" ht="52.79999923706055" customHeight="1">
      <x:c r="A40" s="2" t="str">
        <x:v>COST-PAIPU-R23-480-REQ-NOV</x:v>
      </x:c>
      <x:c r="B40" s="2" t="str">
        <x:v>CH-PAIPU</x:v>
      </x:c>
      <x:c r="C40" s="2" t="str">
        <x:v>lec-seedance-videos-standard</x:v>
      </x:c>
      <x:c r="D40" s="2" t="str">
        <x:v>SKU-SD20-STD-480</x:v>
      </x:c>
      <x:c r="E40" s="2" t="str">
        <x:v>no_video</x:v>
      </x:c>
      <x:c r="F40" s="2" t="str">
        <x:v>per_request</x:v>
      </x:c>
      <x:c r="G40" s="2"/>
      <x:c r="H40" s="2" t="str">
        <x:v>validated_request</x:v>
      </x:c>
      <x:c r="I40" s="2" t="str">
        <x:v>request_count</x:v>
      </x:c>
      <x:c r="J40" s="2" t="str">
        <x:v>task_succeeded</x:v>
      </x:c>
      <x:c r="K40" s="2" t="str">
        <x:v>CNY</x:v>
      </x:c>
      <x:c r="L40" s="27" t="n">
        <x:v>4.8</x:v>
      </x:c>
      <x:c r="M40" s="27"/>
      <x:c r="N40" s="27"/>
      <x:c r="O40" s="26" t="n">
        <x:f t="shared" si="0">IF(F40="per_request",L40,IF(F40="per_duration",M40,IF(F40="per_token",N40,0)))</x:f>
        <x:v>4.8</x:v>
      </x:c>
      <x:c r="P40" s="27" t="n">
        <x:v>1</x:v>
      </x:c>
      <x:c r="Q40" s="27" t="n">
        <x:v>1</x:v>
      </x:c>
      <x:c r="R40" s="27" t="n">
        <x:v>1</x:v>
      </x:c>
      <x:c r="S40" s="27" t="n">
        <x:v>0</x:v>
      </x:c>
      <x:c r="T40" s="26" t="n">
        <x:f>IF(K40="USD",1,'参数'!$B$6)</x:f>
        <x:v>0.136986301369863</x:v>
      </x:c>
      <x:c r="U40" s="26" t="n">
        <x:f t="shared" si="1">O40*P40*Q40/R40*(1+S40)*T40</x:f>
        <x:v>0.6575342465753424</x:v>
      </x:c>
      <x:c r="V40" s="23" t="str">
        <x:f t="shared" si="2">IF(F40="per_request","USD/次",IF(F40="per_duration","USD/秒",IF(F40="per_token","USD/1M Token","")))</x:f>
        <x:v>USD/次</x:v>
      </x:c>
      <x:c r="W40" s="20" t="n">
        <x:v>46229.393565162034</x:v>
      </x:c>
      <x:c r="X40" s="20"/>
      <x:c r="Y40" s="2" t="str">
        <x:v>active</x:v>
      </x:c>
      <x:c r="Z40" s="2" t="str">
        <x:v>SRC-CH-02</x:v>
      </x:c>
      <x:c r="AA40" s="7" t="str">
        <x:v>源行=sd!23；原模型=lec-seedance-videos-standard；时长=4-15；比例=9:16, 16:9, 1:1；视频输入=是；真人脸=是；超分=否；素材库=否；NSFW=否；协议=自有；素材限制=933</x:v>
      </x:c>
      <x:c r="AB40" s="23" t="str">
        <x:f t="shared" si="3">IF(A40="","",IF(COUNTIF($A$5:$A$1004,A40)&gt;1,"错误:重复成本规则ID",IF(OR(B40="",C40="",E40="",F40="",K40="",O40&lt;=0,P40&lt;=0,Q40&lt;=0,R40&lt;=0,S40&lt;0,T40&lt;=0,Y40=""),"错误:必填项",IF(D40="","警告:SKU待映射","OK"))))</x:f>
        <x:v>OK</x:v>
      </x:c>
    </x:row>
    <x:row r="41" ht="52.79999923706055" customHeight="1">
      <x:c r="A41" s="2" t="str">
        <x:v>COST-PAIPU-R23-480-REQ-VID</x:v>
      </x:c>
      <x:c r="B41" s="2" t="str">
        <x:v>CH-PAIPU</x:v>
      </x:c>
      <x:c r="C41" s="2" t="str">
        <x:v>lec-seedance-videos-standard</x:v>
      </x:c>
      <x:c r="D41" s="2" t="str">
        <x:v>SKU-SD20-STD-480</x:v>
      </x:c>
      <x:c r="E41" s="2" t="str">
        <x:v>with_video</x:v>
      </x:c>
      <x:c r="F41" s="2" t="str">
        <x:v>per_request</x:v>
      </x:c>
      <x:c r="G41" s="2"/>
      <x:c r="H41" s="2" t="str">
        <x:v>validated_request</x:v>
      </x:c>
      <x:c r="I41" s="2" t="str">
        <x:v>request_count</x:v>
      </x:c>
      <x:c r="J41" s="2" t="str">
        <x:v>task_succeeded</x:v>
      </x:c>
      <x:c r="K41" s="2" t="str">
        <x:v>CNY</x:v>
      </x:c>
      <x:c r="L41" s="27" t="n">
        <x:v>4.8</x:v>
      </x:c>
      <x:c r="M41" s="27"/>
      <x:c r="N41" s="27"/>
      <x:c r="O41" s="26" t="n">
        <x:f t="shared" si="0">IF(F41="per_request",L41,IF(F41="per_duration",M41,IF(F41="per_token",N41,0)))</x:f>
        <x:v>4.8</x:v>
      </x:c>
      <x:c r="P41" s="27" t="n">
        <x:v>1</x:v>
      </x:c>
      <x:c r="Q41" s="27" t="n">
        <x:v>1</x:v>
      </x:c>
      <x:c r="R41" s="27" t="n">
        <x:v>1</x:v>
      </x:c>
      <x:c r="S41" s="27" t="n">
        <x:v>0</x:v>
      </x:c>
      <x:c r="T41" s="26" t="n">
        <x:f>IF(K41="USD",1,'参数'!$B$6)</x:f>
        <x:v>0.136986301369863</x:v>
      </x:c>
      <x:c r="U41" s="26" t="n">
        <x:f t="shared" si="1">O41*P41*Q41/R41*(1+S41)*T41</x:f>
        <x:v>0.6575342465753424</x:v>
      </x:c>
      <x:c r="V41" s="23" t="str">
        <x:f t="shared" si="2">IF(F41="per_request","USD/次",IF(F41="per_duration","USD/秒",IF(F41="per_token","USD/1M Token","")))</x:f>
        <x:v>USD/次</x:v>
      </x:c>
      <x:c r="W41" s="20" t="n">
        <x:v>46229.393565162034</x:v>
      </x:c>
      <x:c r="X41" s="20"/>
      <x:c r="Y41" s="2" t="str">
        <x:v>active</x:v>
      </x:c>
      <x:c r="Z41" s="2" t="str">
        <x:v>SRC-CH-02</x:v>
      </x:c>
      <x:c r="AA41" s="7" t="str">
        <x:v>源行=sd!23；原模型=lec-seedance-videos-standard；时长=4-15；比例=9:16, 16:9, 1:1；视频输入=是；真人脸=是；超分=否；素材库=否；NSFW=否；协议=自有；素材限制=933</x:v>
      </x:c>
      <x:c r="AB41" s="23" t="str">
        <x:f t="shared" si="3">IF(A41="","",IF(COUNTIF($A$5:$A$1004,A41)&gt;1,"错误:重复成本规则ID",IF(OR(B41="",C41="",E41="",F41="",K41="",O41&lt;=0,P41&lt;=0,Q41&lt;=0,R41&lt;=0,S41&lt;0,T41&lt;=0,Y41=""),"错误:必填项",IF(D41="","警告:SKU待映射","OK"))))</x:f>
        <x:v>OK</x:v>
      </x:c>
    </x:row>
    <x:row r="42" ht="52.79999923706055" customHeight="1">
      <x:c r="A42" s="2" t="str">
        <x:v>COST-PAIPU-R24-720-REQ-NOV</x:v>
      </x:c>
      <x:c r="B42" s="2" t="str">
        <x:v>CH-PAIPU</x:v>
      </x:c>
      <x:c r="C42" s="2" t="str">
        <x:v>lec-seedance-videos-standard</x:v>
      </x:c>
      <x:c r="D42" s="2" t="str">
        <x:v>SKU-SD20-STD-720</x:v>
      </x:c>
      <x:c r="E42" s="2" t="str">
        <x:v>no_video</x:v>
      </x:c>
      <x:c r="F42" s="2" t="str">
        <x:v>per_request</x:v>
      </x:c>
      <x:c r="G42" s="2"/>
      <x:c r="H42" s="2" t="str">
        <x:v>validated_request</x:v>
      </x:c>
      <x:c r="I42" s="2" t="str">
        <x:v>request_count</x:v>
      </x:c>
      <x:c r="J42" s="2" t="str">
        <x:v>task_succeeded</x:v>
      </x:c>
      <x:c r="K42" s="2" t="str">
        <x:v>CNY</x:v>
      </x:c>
      <x:c r="L42" s="27" t="n">
        <x:v>5.8</x:v>
      </x:c>
      <x:c r="M42" s="27"/>
      <x:c r="N42" s="27"/>
      <x:c r="O42" s="26" t="n">
        <x:f t="shared" si="0">IF(F42="per_request",L42,IF(F42="per_duration",M42,IF(F42="per_token",N42,0)))</x:f>
        <x:v>5.8</x:v>
      </x:c>
      <x:c r="P42" s="27" t="n">
        <x:v>1</x:v>
      </x:c>
      <x:c r="Q42" s="27" t="n">
        <x:v>1</x:v>
      </x:c>
      <x:c r="R42" s="27" t="n">
        <x:v>1</x:v>
      </x:c>
      <x:c r="S42" s="27" t="n">
        <x:v>0</x:v>
      </x:c>
      <x:c r="T42" s="26" t="n">
        <x:f>IF(K42="USD",1,'参数'!$B$6)</x:f>
        <x:v>0.136986301369863</x:v>
      </x:c>
      <x:c r="U42" s="26" t="n">
        <x:f t="shared" si="1">O42*P42*Q42/R42*(1+S42)*T42</x:f>
        <x:v>0.7945205479452054</x:v>
      </x:c>
      <x:c r="V42" s="23" t="str">
        <x:f t="shared" si="2">IF(F42="per_request","USD/次",IF(F42="per_duration","USD/秒",IF(F42="per_token","USD/1M Token","")))</x:f>
        <x:v>USD/次</x:v>
      </x:c>
      <x:c r="W42" s="20" t="n">
        <x:v>46229.393565162034</x:v>
      </x:c>
      <x:c r="X42" s="20"/>
      <x:c r="Y42" s="2" t="str">
        <x:v>active</x:v>
      </x:c>
      <x:c r="Z42" s="2" t="str">
        <x:v>SRC-CH-02</x:v>
      </x:c>
      <x:c r="AA42" s="7" t="str">
        <x:v>源行=sd!24；原模型=lec-seedance-videos-standard；时长=4-15；比例=9:16, 16:9, 1:1；视频输入=是；真人脸=是；超分=否；素材库=否；NSFW=否；协议=自有；素材限制=933</x:v>
      </x:c>
      <x:c r="AB42" s="23" t="str">
        <x:f t="shared" si="3">IF(A42="","",IF(COUNTIF($A$5:$A$1004,A42)&gt;1,"错误:重复成本规则ID",IF(OR(B42="",C42="",E42="",F42="",K42="",O42&lt;=0,P42&lt;=0,Q42&lt;=0,R42&lt;=0,S42&lt;0,T42&lt;=0,Y42=""),"错误:必填项",IF(D42="","警告:SKU待映射","OK"))))</x:f>
        <x:v>OK</x:v>
      </x:c>
    </x:row>
    <x:row r="43" ht="52.79999923706055" customHeight="1">
      <x:c r="A43" s="2" t="str">
        <x:v>COST-PAIPU-R24-720-REQ-VID</x:v>
      </x:c>
      <x:c r="B43" s="2" t="str">
        <x:v>CH-PAIPU</x:v>
      </x:c>
      <x:c r="C43" s="2" t="str">
        <x:v>lec-seedance-videos-standard</x:v>
      </x:c>
      <x:c r="D43" s="2" t="str">
        <x:v>SKU-SD20-STD-720</x:v>
      </x:c>
      <x:c r="E43" s="2" t="str">
        <x:v>with_video</x:v>
      </x:c>
      <x:c r="F43" s="2" t="str">
        <x:v>per_request</x:v>
      </x:c>
      <x:c r="G43" s="2"/>
      <x:c r="H43" s="2" t="str">
        <x:v>validated_request</x:v>
      </x:c>
      <x:c r="I43" s="2" t="str">
        <x:v>request_count</x:v>
      </x:c>
      <x:c r="J43" s="2" t="str">
        <x:v>task_succeeded</x:v>
      </x:c>
      <x:c r="K43" s="2" t="str">
        <x:v>CNY</x:v>
      </x:c>
      <x:c r="L43" s="27" t="n">
        <x:v>5.8</x:v>
      </x:c>
      <x:c r="M43" s="27"/>
      <x:c r="N43" s="27"/>
      <x:c r="O43" s="26" t="n">
        <x:f t="shared" si="0">IF(F43="per_request",L43,IF(F43="per_duration",M43,IF(F43="per_token",N43,0)))</x:f>
        <x:v>5.8</x:v>
      </x:c>
      <x:c r="P43" s="27" t="n">
        <x:v>1</x:v>
      </x:c>
      <x:c r="Q43" s="27" t="n">
        <x:v>1</x:v>
      </x:c>
      <x:c r="R43" s="27" t="n">
        <x:v>1</x:v>
      </x:c>
      <x:c r="S43" s="27" t="n">
        <x:v>0</x:v>
      </x:c>
      <x:c r="T43" s="26" t="n">
        <x:f>IF(K43="USD",1,'参数'!$B$6)</x:f>
        <x:v>0.136986301369863</x:v>
      </x:c>
      <x:c r="U43" s="26" t="n">
        <x:f t="shared" si="1">O43*P43*Q43/R43*(1+S43)*T43</x:f>
        <x:v>0.7945205479452054</x:v>
      </x:c>
      <x:c r="V43" s="23" t="str">
        <x:f t="shared" si="2">IF(F43="per_request","USD/次",IF(F43="per_duration","USD/秒",IF(F43="per_token","USD/1M Token","")))</x:f>
        <x:v>USD/次</x:v>
      </x:c>
      <x:c r="W43" s="20" t="n">
        <x:v>46229.393565162034</x:v>
      </x:c>
      <x:c r="X43" s="20"/>
      <x:c r="Y43" s="2" t="str">
        <x:v>active</x:v>
      </x:c>
      <x:c r="Z43" s="2" t="str">
        <x:v>SRC-CH-02</x:v>
      </x:c>
      <x:c r="AA43" s="7" t="str">
        <x:v>源行=sd!24；原模型=lec-seedance-videos-standard；时长=4-15；比例=9:16, 16:9, 1:1；视频输入=是；真人脸=是；超分=否；素材库=否；NSFW=否；协议=自有；素材限制=933</x:v>
      </x:c>
      <x:c r="AB43" s="23" t="str">
        <x:f t="shared" si="3">IF(A43="","",IF(COUNTIF($A$5:$A$1004,A43)&gt;1,"错误:重复成本规则ID",IF(OR(B43="",C43="",E43="",F43="",K43="",O43&lt;=0,P43&lt;=0,Q43&lt;=0,R43&lt;=0,S43&lt;0,T43&lt;=0,Y43=""),"错误:必填项",IF(D43="","警告:SKU待映射","OK"))))</x:f>
        <x:v>OK</x:v>
      </x:c>
    </x:row>
    <x:row r="44" ht="66" customHeight="1">
      <x:c r="A44" s="2" t="str">
        <x:v>COST-PAIPU-R25-1080-SEC-NOV</x:v>
      </x:c>
      <x:c r="B44" s="2" t="str">
        <x:v>CH-PAIPU</x:v>
      </x:c>
      <x:c r="C44" s="2" t="str">
        <x:v>lec-seedance-videos-standard</x:v>
      </x:c>
      <x:c r="D44" s="2" t="str">
        <x:v>SKU-SD20-STD-1080</x:v>
      </x:c>
      <x:c r="E44" s="2" t="str">
        <x:v>no_video</x:v>
      </x:c>
      <x:c r="F44" s="2" t="str">
        <x:v>per_duration</x:v>
      </x:c>
      <x:c r="G44" s="2"/>
      <x:c r="H44" s="2" t="str">
        <x:v>validated_request</x:v>
      </x:c>
      <x:c r="I44" s="2" t="str">
        <x:v>billable_duration_seconds</x:v>
      </x:c>
      <x:c r="J44" s="2" t="str">
        <x:v>task_succeeded</x:v>
      </x:c>
      <x:c r="K44" s="2" t="str">
        <x:v>CNY</x:v>
      </x:c>
      <x:c r="L44" s="27"/>
      <x:c r="M44" s="27" t="n">
        <x:v>0.6</x:v>
      </x:c>
      <x:c r="N44" s="27"/>
      <x:c r="O44" s="26" t="n">
        <x:f t="shared" si="0">IF(F44="per_request",L44,IF(F44="per_duration",M44,IF(F44="per_token",N44,0)))</x:f>
        <x:v>0.6</x:v>
      </x:c>
      <x:c r="P44" s="27" t="n">
        <x:v>1</x:v>
      </x:c>
      <x:c r="Q44" s="27" t="n">
        <x:v>1</x:v>
      </x:c>
      <x:c r="R44" s="27" t="n">
        <x:v>1</x:v>
      </x:c>
      <x:c r="S44" s="27" t="n">
        <x:v>0</x:v>
      </x:c>
      <x:c r="T44" s="26" t="n">
        <x:f>IF(K44="USD",1,'参数'!$B$6)</x:f>
        <x:v>0.136986301369863</x:v>
      </x:c>
      <x:c r="U44" s="26" t="n">
        <x:f t="shared" si="1">O44*P44*Q44/R44*(1+S44)*T44</x:f>
        <x:v>0.0821917808219178</x:v>
      </x:c>
      <x:c r="V44" s="23" t="str">
        <x:f t="shared" si="2">IF(F44="per_request","USD/次",IF(F44="per_duration","USD/秒",IF(F44="per_token","USD/1M Token","")))</x:f>
        <x:v>USD/秒</x:v>
      </x:c>
      <x:c r="W44" s="20" t="n">
        <x:v>46229.393565162034</x:v>
      </x:c>
      <x:c r="X44" s="20"/>
      <x:c r="Y44" s="2" t="str">
        <x:v>active</x:v>
      </x:c>
      <x:c r="Z44" s="2" t="str">
        <x:v>SRC-CH-02</x:v>
      </x:c>
      <x:c r="AA44" s="7" t="str">
        <x:v>源行=sd!25；原模型=lec-seedance-videos-standard；时长=4-15；比例=9:16, 16:9, 1:1；视频输入=是；真人脸=是；超分=否；素材库=否；NSFW=否；协议=自有；素材限制=933；原表折扣 秒 无V=0.242（成本/官价参考比，不参与成本二次计算）</x:v>
      </x:c>
      <x:c r="AB44" s="23" t="str">
        <x:f t="shared" si="3">IF(A44="","",IF(COUNTIF($A$5:$A$1004,A44)&gt;1,"错误:重复成本规则ID",IF(OR(B44="",C44="",E44="",F44="",K44="",O44&lt;=0,P44&lt;=0,Q44&lt;=0,R44&lt;=0,S44&lt;0,T44&lt;=0,Y44=""),"错误:必填项",IF(D44="","警告:SKU待映射","OK"))))</x:f>
        <x:v>OK</x:v>
      </x:c>
    </x:row>
    <x:row r="45" ht="66" customHeight="1">
      <x:c r="A45" s="2" t="str">
        <x:v>COST-PAIPU-R25-1080-SEC-VID</x:v>
      </x:c>
      <x:c r="B45" s="2" t="str">
        <x:v>CH-PAIPU</x:v>
      </x:c>
      <x:c r="C45" s="2" t="str">
        <x:v>lec-seedance-videos-standard</x:v>
      </x:c>
      <x:c r="D45" s="2" t="str">
        <x:v>SKU-SD20-STD-1080</x:v>
      </x:c>
      <x:c r="E45" s="2" t="str">
        <x:v>with_video</x:v>
      </x:c>
      <x:c r="F45" s="2" t="str">
        <x:v>per_duration</x:v>
      </x:c>
      <x:c r="G45" s="2"/>
      <x:c r="H45" s="2" t="str">
        <x:v>validated_request</x:v>
      </x:c>
      <x:c r="I45" s="2" t="str">
        <x:v>billable_duration_seconds</x:v>
      </x:c>
      <x:c r="J45" s="2" t="str">
        <x:v>task_succeeded</x:v>
      </x:c>
      <x:c r="K45" s="2" t="str">
        <x:v>CNY</x:v>
      </x:c>
      <x:c r="L45" s="27"/>
      <x:c r="M45" s="27" t="n">
        <x:v>0.6</x:v>
      </x:c>
      <x:c r="N45" s="27"/>
      <x:c r="O45" s="26" t="n">
        <x:f t="shared" si="0">IF(F45="per_request",L45,IF(F45="per_duration",M45,IF(F45="per_token",N45,0)))</x:f>
        <x:v>0.6</x:v>
      </x:c>
      <x:c r="P45" s="27" t="n">
        <x:v>1</x:v>
      </x:c>
      <x:c r="Q45" s="27" t="n">
        <x:v>1</x:v>
      </x:c>
      <x:c r="R45" s="27" t="n">
        <x:v>1</x:v>
      </x:c>
      <x:c r="S45" s="27" t="n">
        <x:v>0</x:v>
      </x:c>
      <x:c r="T45" s="26" t="n">
        <x:f>IF(K45="USD",1,'参数'!$B$6)</x:f>
        <x:v>0.136986301369863</x:v>
      </x:c>
      <x:c r="U45" s="26" t="n">
        <x:f t="shared" si="1">O45*P45*Q45/R45*(1+S45)*T45</x:f>
        <x:v>0.0821917808219178</x:v>
      </x:c>
      <x:c r="V45" s="23" t="str">
        <x:f t="shared" si="2">IF(F45="per_request","USD/次",IF(F45="per_duration","USD/秒",IF(F45="per_token","USD/1M Token","")))</x:f>
        <x:v>USD/秒</x:v>
      </x:c>
      <x:c r="W45" s="20" t="n">
        <x:v>46229.393565162034</x:v>
      </x:c>
      <x:c r="X45" s="20"/>
      <x:c r="Y45" s="2" t="str">
        <x:v>active</x:v>
      </x:c>
      <x:c r="Z45" s="2" t="str">
        <x:v>SRC-CH-02</x:v>
      </x:c>
      <x:c r="AA45" s="7" t="str">
        <x:v>源行=sd!25；原模型=lec-seedance-videos-standard；时长=4-15；比例=9:16, 16:9, 1:1；视频输入=是；真人脸=是；超分=否；素材库=否；NSFW=否；协议=自有；素材限制=933；原表折扣 秒 含V=0.398（成本/官价参考比，不参与成本二次计算）</x:v>
      </x:c>
      <x:c r="AB45" s="23" t="str">
        <x:f t="shared" si="3">IF(A45="","",IF(COUNTIF($A$5:$A$1004,A45)&gt;1,"错误:重复成本规则ID",IF(OR(B45="",C45="",E45="",F45="",K45="",O45&lt;=0,P45&lt;=0,Q45&lt;=0,R45&lt;=0,S45&lt;0,T45&lt;=0,Y45=""),"错误:必填项",IF(D45="","警告:SKU待映射","OK"))))</x:f>
        <x:v>OK</x:v>
      </x:c>
    </x:row>
    <x:row r="46" ht="66" customHeight="1">
      <x:c r="A46" s="2" t="str">
        <x:v>COST-PAIPU-R26-4K-SEC-NOV</x:v>
      </x:c>
      <x:c r="B46" s="2" t="str">
        <x:v>CH-PAIPU</x:v>
      </x:c>
      <x:c r="C46" s="2" t="str">
        <x:v>lec-seedance-videos-standard</x:v>
      </x:c>
      <x:c r="D46" s="2" t="str">
        <x:v>SKU-SD20-STD-4K</x:v>
      </x:c>
      <x:c r="E46" s="2" t="str">
        <x:v>no_video</x:v>
      </x:c>
      <x:c r="F46" s="2" t="str">
        <x:v>per_duration</x:v>
      </x:c>
      <x:c r="G46" s="2"/>
      <x:c r="H46" s="2" t="str">
        <x:v>validated_request</x:v>
      </x:c>
      <x:c r="I46" s="2" t="str">
        <x:v>billable_duration_seconds</x:v>
      </x:c>
      <x:c r="J46" s="2" t="str">
        <x:v>task_succeeded</x:v>
      </x:c>
      <x:c r="K46" s="2" t="str">
        <x:v>CNY</x:v>
      </x:c>
      <x:c r="L46" s="27"/>
      <x:c r="M46" s="27" t="n">
        <x:v>1.71</x:v>
      </x:c>
      <x:c r="N46" s="27"/>
      <x:c r="O46" s="26" t="n">
        <x:f t="shared" si="0">IF(F46="per_request",L46,IF(F46="per_duration",M46,IF(F46="per_token",N46,0)))</x:f>
        <x:v>1.71</x:v>
      </x:c>
      <x:c r="P46" s="27" t="n">
        <x:v>1</x:v>
      </x:c>
      <x:c r="Q46" s="27" t="n">
        <x:v>1</x:v>
      </x:c>
      <x:c r="R46" s="27" t="n">
        <x:v>1</x:v>
      </x:c>
      <x:c r="S46" s="27" t="n">
        <x:v>0</x:v>
      </x:c>
      <x:c r="T46" s="26" t="n">
        <x:f>IF(K46="USD",1,'参数'!$B$6)</x:f>
        <x:v>0.136986301369863</x:v>
      </x:c>
      <x:c r="U46" s="26" t="n">
        <x:f t="shared" si="1">O46*P46*Q46/R46*(1+S46)*T46</x:f>
        <x:v>0.23424657534246573</x:v>
      </x:c>
      <x:c r="V46" s="23" t="str">
        <x:f t="shared" si="2">IF(F46="per_request","USD/次",IF(F46="per_duration","USD/秒",IF(F46="per_token","USD/1M Token","")))</x:f>
        <x:v>USD/秒</x:v>
      </x:c>
      <x:c r="W46" s="20" t="n">
        <x:v>46229.393565162034</x:v>
      </x:c>
      <x:c r="X46" s="20"/>
      <x:c r="Y46" s="2" t="str">
        <x:v>active</x:v>
      </x:c>
      <x:c r="Z46" s="2" t="str">
        <x:v>SRC-CH-02</x:v>
      </x:c>
      <x:c r="AA46" s="7" t="str">
        <x:v>源行=sd!26；原模型=lec-seedance-videos-standard；时长=4-15；比例=9:16, 16:9, 1:1；视频输入=是；真人脸=是；超分=否；素材库=否；NSFW=否；协议=自有；素材限制=933；原表折扣 秒 无V=0.338（成本/官价参考比，不参与成本二次计算）</x:v>
      </x:c>
      <x:c r="AB46" s="23" t="str">
        <x:f t="shared" si="3">IF(A46="","",IF(COUNTIF($A$5:$A$1004,A46)&gt;1,"错误:重复成本规则ID",IF(OR(B46="",C46="",E46="",F46="",K46="",O46&lt;=0,P46&lt;=0,Q46&lt;=0,R46&lt;=0,S46&lt;0,T46&lt;=0,Y46=""),"错误:必填项",IF(D46="","警告:SKU待映射","OK"))))</x:f>
        <x:v>OK</x:v>
      </x:c>
    </x:row>
    <x:row r="47" ht="66" customHeight="1">
      <x:c r="A47" s="2" t="str">
        <x:v>COST-PAIPU-R26-4K-SEC-VID</x:v>
      </x:c>
      <x:c r="B47" s="2" t="str">
        <x:v>CH-PAIPU</x:v>
      </x:c>
      <x:c r="C47" s="2" t="str">
        <x:v>lec-seedance-videos-standard</x:v>
      </x:c>
      <x:c r="D47" s="2" t="str">
        <x:v>SKU-SD20-STD-4K</x:v>
      </x:c>
      <x:c r="E47" s="2" t="str">
        <x:v>with_video</x:v>
      </x:c>
      <x:c r="F47" s="2" t="str">
        <x:v>per_duration</x:v>
      </x:c>
      <x:c r="G47" s="2"/>
      <x:c r="H47" s="2" t="str">
        <x:v>validated_request</x:v>
      </x:c>
      <x:c r="I47" s="2" t="str">
        <x:v>billable_duration_seconds</x:v>
      </x:c>
      <x:c r="J47" s="2" t="str">
        <x:v>task_succeeded</x:v>
      </x:c>
      <x:c r="K47" s="2" t="str">
        <x:v>CNY</x:v>
      </x:c>
      <x:c r="L47" s="27"/>
      <x:c r="M47" s="27" t="n">
        <x:v>1.71</x:v>
      </x:c>
      <x:c r="N47" s="27"/>
      <x:c r="O47" s="26" t="n">
        <x:f t="shared" si="0">IF(F47="per_request",L47,IF(F47="per_duration",M47,IF(F47="per_token",N47,0)))</x:f>
        <x:v>1.71</x:v>
      </x:c>
      <x:c r="P47" s="27" t="n">
        <x:v>1</x:v>
      </x:c>
      <x:c r="Q47" s="27" t="n">
        <x:v>1</x:v>
      </x:c>
      <x:c r="R47" s="27" t="n">
        <x:v>1</x:v>
      </x:c>
      <x:c r="S47" s="27" t="n">
        <x:v>0</x:v>
      </x:c>
      <x:c r="T47" s="26" t="n">
        <x:f>IF(K47="USD",1,'参数'!$B$6)</x:f>
        <x:v>0.136986301369863</x:v>
      </x:c>
      <x:c r="U47" s="26" t="n">
        <x:f t="shared" si="1">O47*P47*Q47/R47*(1+S47)*T47</x:f>
        <x:v>0.23424657534246573</x:v>
      </x:c>
      <x:c r="V47" s="23" t="str">
        <x:f t="shared" si="2">IF(F47="per_request","USD/次",IF(F47="per_duration","USD/秒",IF(F47="per_token","USD/1M Token","")))</x:f>
        <x:v>USD/秒</x:v>
      </x:c>
      <x:c r="W47" s="20" t="n">
        <x:v>46229.393565162034</x:v>
      </x:c>
      <x:c r="X47" s="20"/>
      <x:c r="Y47" s="2" t="str">
        <x:v>active</x:v>
      </x:c>
      <x:c r="Z47" s="2" t="str">
        <x:v>SRC-CH-02</x:v>
      </x:c>
      <x:c r="AA47" s="7" t="str">
        <x:v>源行=sd!26；原模型=lec-seedance-videos-standard；时长=4-15；比例=9:16, 16:9, 1:1；视频输入=是；真人脸=是；超分=否；素材库=否；NSFW=否；协议=自有；素材限制=933；原表折扣 秒 含V=0.55（成本/官价参考比，不参与成本二次计算）</x:v>
      </x:c>
      <x:c r="AB47" s="23" t="str">
        <x:f t="shared" si="3">IF(A47="","",IF(COUNTIF($A$5:$A$1004,A47)&gt;1,"错误:重复成本规则ID",IF(OR(B47="",C47="",E47="",F47="",K47="",O47&lt;=0,P47&lt;=0,Q47&lt;=0,R47&lt;=0,S47&lt;0,T47&lt;=0,Y47=""),"错误:必填项",IF(D47="","警告:SKU待映射","OK"))))</x:f>
        <x:v>OK</x:v>
      </x:c>
    </x:row>
    <x:row r="48" ht="39.599998474121094" customHeight="1">
      <x:c r="A48" s="2" t="str">
        <x:v>COST-PAIPU-R27-480-REQ-NOV</x:v>
      </x:c>
      <x:c r="B48" s="2" t="str">
        <x:v>CH-PAIPU</x:v>
      </x:c>
      <x:c r="C48" s="2" t="str">
        <x:v>lec-seedance-videos-fast</x:v>
      </x:c>
      <x:c r="D48" s="2" t="str">
        <x:v>SKU-SD20-FAST-480</x:v>
      </x:c>
      <x:c r="E48" s="2" t="str">
        <x:v>no_video</x:v>
      </x:c>
      <x:c r="F48" s="2" t="str">
        <x:v>per_request</x:v>
      </x:c>
      <x:c r="G48" s="2"/>
      <x:c r="H48" s="2" t="str">
        <x:v>validated_request</x:v>
      </x:c>
      <x:c r="I48" s="2" t="str">
        <x:v>request_count</x:v>
      </x:c>
      <x:c r="J48" s="2" t="str">
        <x:v>task_succeeded</x:v>
      </x:c>
      <x:c r="K48" s="2" t="str">
        <x:v>CNY</x:v>
      </x:c>
      <x:c r="L48" s="27" t="n">
        <x:v>3.3</x:v>
      </x:c>
      <x:c r="M48" s="27"/>
      <x:c r="N48" s="27"/>
      <x:c r="O48" s="26" t="n">
        <x:f t="shared" si="0">IF(F48="per_request",L48,IF(F48="per_duration",M48,IF(F48="per_token",N48,0)))</x:f>
        <x:v>3.3</x:v>
      </x:c>
      <x:c r="P48" s="27" t="n">
        <x:v>1</x:v>
      </x:c>
      <x:c r="Q48" s="27" t="n">
        <x:v>1</x:v>
      </x:c>
      <x:c r="R48" s="27" t="n">
        <x:v>1</x:v>
      </x:c>
      <x:c r="S48" s="27" t="n">
        <x:v>0</x:v>
      </x:c>
      <x:c r="T48" s="26" t="n">
        <x:f>IF(K48="USD",1,'参数'!$B$6)</x:f>
        <x:v>0.136986301369863</x:v>
      </x:c>
      <x:c r="U48" s="26" t="n">
        <x:f t="shared" si="1">O48*P48*Q48/R48*(1+S48)*T48</x:f>
        <x:v>0.4520547945205479</x:v>
      </x:c>
      <x:c r="V48" s="23" t="str">
        <x:f t="shared" si="2">IF(F48="per_request","USD/次",IF(F48="per_duration","USD/秒",IF(F48="per_token","USD/1M Token","")))</x:f>
        <x:v>USD/次</x:v>
      </x:c>
      <x:c r="W48" s="20" t="n">
        <x:v>46229.393565162034</x:v>
      </x:c>
      <x:c r="X48" s="20"/>
      <x:c r="Y48" s="2" t="str">
        <x:v>active</x:v>
      </x:c>
      <x:c r="Z48" s="2" t="str">
        <x:v>SRC-CH-02</x:v>
      </x:c>
      <x:c r="AA48" s="7" t="str">
        <x:v>源行=sd!27；原模型=lec-seedance-videos-fast；时长=4-15；比例=9:16, 16:9, 1:1；视频输入=是；真人脸=是；超分=否；素材库=否；NSFW=否；协议=自有；素材限制=933</x:v>
      </x:c>
      <x:c r="AB48" s="23" t="str">
        <x:f t="shared" si="3">IF(A48="","",IF(COUNTIF($A$5:$A$1004,A48)&gt;1,"错误:重复成本规则ID",IF(OR(B48="",C48="",E48="",F48="",K48="",O48&lt;=0,P48&lt;=0,Q48&lt;=0,R48&lt;=0,S48&lt;0,T48&lt;=0,Y48=""),"错误:必填项",IF(D48="","警告:SKU待映射","OK"))))</x:f>
        <x:v>OK</x:v>
      </x:c>
    </x:row>
    <x:row r="49" ht="39.599998474121094" customHeight="1">
      <x:c r="A49" s="2" t="str">
        <x:v>COST-PAIPU-R27-480-REQ-VID</x:v>
      </x:c>
      <x:c r="B49" s="2" t="str">
        <x:v>CH-PAIPU</x:v>
      </x:c>
      <x:c r="C49" s="2" t="str">
        <x:v>lec-seedance-videos-fast</x:v>
      </x:c>
      <x:c r="D49" s="2" t="str">
        <x:v>SKU-SD20-FAST-480</x:v>
      </x:c>
      <x:c r="E49" s="2" t="str">
        <x:v>with_video</x:v>
      </x:c>
      <x:c r="F49" s="2" t="str">
        <x:v>per_request</x:v>
      </x:c>
      <x:c r="G49" s="2"/>
      <x:c r="H49" s="2" t="str">
        <x:v>validated_request</x:v>
      </x:c>
      <x:c r="I49" s="2" t="str">
        <x:v>request_count</x:v>
      </x:c>
      <x:c r="J49" s="2" t="str">
        <x:v>task_succeeded</x:v>
      </x:c>
      <x:c r="K49" s="2" t="str">
        <x:v>CNY</x:v>
      </x:c>
      <x:c r="L49" s="27" t="n">
        <x:v>3.3</x:v>
      </x:c>
      <x:c r="M49" s="27"/>
      <x:c r="N49" s="27"/>
      <x:c r="O49" s="26" t="n">
        <x:f t="shared" si="0">IF(F49="per_request",L49,IF(F49="per_duration",M49,IF(F49="per_token",N49,0)))</x:f>
        <x:v>3.3</x:v>
      </x:c>
      <x:c r="P49" s="27" t="n">
        <x:v>1</x:v>
      </x:c>
      <x:c r="Q49" s="27" t="n">
        <x:v>1</x:v>
      </x:c>
      <x:c r="R49" s="27" t="n">
        <x:v>1</x:v>
      </x:c>
      <x:c r="S49" s="27" t="n">
        <x:v>0</x:v>
      </x:c>
      <x:c r="T49" s="26" t="n">
        <x:f>IF(K49="USD",1,'参数'!$B$6)</x:f>
        <x:v>0.136986301369863</x:v>
      </x:c>
      <x:c r="U49" s="26" t="n">
        <x:f t="shared" si="1">O49*P49*Q49/R49*(1+S49)*T49</x:f>
        <x:v>0.4520547945205479</x:v>
      </x:c>
      <x:c r="V49" s="23" t="str">
        <x:f t="shared" si="2">IF(F49="per_request","USD/次",IF(F49="per_duration","USD/秒",IF(F49="per_token","USD/1M Token","")))</x:f>
        <x:v>USD/次</x:v>
      </x:c>
      <x:c r="W49" s="20" t="n">
        <x:v>46229.393565162034</x:v>
      </x:c>
      <x:c r="X49" s="20"/>
      <x:c r="Y49" s="2" t="str">
        <x:v>active</x:v>
      </x:c>
      <x:c r="Z49" s="2" t="str">
        <x:v>SRC-CH-02</x:v>
      </x:c>
      <x:c r="AA49" s="7" t="str">
        <x:v>源行=sd!27；原模型=lec-seedance-videos-fast；时长=4-15；比例=9:16, 16:9, 1:1；视频输入=是；真人脸=是；超分=否；素材库=否；NSFW=否；协议=自有；素材限制=933</x:v>
      </x:c>
      <x:c r="AB49" s="23" t="str">
        <x:f t="shared" si="3">IF(A49="","",IF(COUNTIF($A$5:$A$1004,A49)&gt;1,"错误:重复成本规则ID",IF(OR(B49="",C49="",E49="",F49="",K49="",O49&lt;=0,P49&lt;=0,Q49&lt;=0,R49&lt;=0,S49&lt;0,T49&lt;=0,Y49=""),"错误:必填项",IF(D49="","警告:SKU待映射","OK"))))</x:f>
        <x:v>OK</x:v>
      </x:c>
    </x:row>
    <x:row r="50" ht="39.599998474121094" customHeight="1">
      <x:c r="A50" s="2" t="str">
        <x:v>COST-PAIPU-R28-720-REQ-NOV</x:v>
      </x:c>
      <x:c r="B50" s="2" t="str">
        <x:v>CH-PAIPU</x:v>
      </x:c>
      <x:c r="C50" s="2" t="str">
        <x:v>lec-seedance-videos-fast</x:v>
      </x:c>
      <x:c r="D50" s="2" t="str">
        <x:v>SKU-SD20-FAST-720</x:v>
      </x:c>
      <x:c r="E50" s="2" t="str">
        <x:v>no_video</x:v>
      </x:c>
      <x:c r="F50" s="2" t="str">
        <x:v>per_request</x:v>
      </x:c>
      <x:c r="G50" s="2"/>
      <x:c r="H50" s="2" t="str">
        <x:v>validated_request</x:v>
      </x:c>
      <x:c r="I50" s="2" t="str">
        <x:v>request_count</x:v>
      </x:c>
      <x:c r="J50" s="2" t="str">
        <x:v>task_succeeded</x:v>
      </x:c>
      <x:c r="K50" s="2" t="str">
        <x:v>CNY</x:v>
      </x:c>
      <x:c r="L50" s="27" t="n">
        <x:v>3.3</x:v>
      </x:c>
      <x:c r="M50" s="27"/>
      <x:c r="N50" s="27"/>
      <x:c r="O50" s="26" t="n">
        <x:f t="shared" si="0">IF(F50="per_request",L50,IF(F50="per_duration",M50,IF(F50="per_token",N50,0)))</x:f>
        <x:v>3.3</x:v>
      </x:c>
      <x:c r="P50" s="27" t="n">
        <x:v>1</x:v>
      </x:c>
      <x:c r="Q50" s="27" t="n">
        <x:v>1</x:v>
      </x:c>
      <x:c r="R50" s="27" t="n">
        <x:v>1</x:v>
      </x:c>
      <x:c r="S50" s="27" t="n">
        <x:v>0</x:v>
      </x:c>
      <x:c r="T50" s="26" t="n">
        <x:f>IF(K50="USD",1,'参数'!$B$6)</x:f>
        <x:v>0.136986301369863</x:v>
      </x:c>
      <x:c r="U50" s="26" t="n">
        <x:f t="shared" si="1">O50*P50*Q50/R50*(1+S50)*T50</x:f>
        <x:v>0.4520547945205479</x:v>
      </x:c>
      <x:c r="V50" s="23" t="str">
        <x:f t="shared" si="2">IF(F50="per_request","USD/次",IF(F50="per_duration","USD/秒",IF(F50="per_token","USD/1M Token","")))</x:f>
        <x:v>USD/次</x:v>
      </x:c>
      <x:c r="W50" s="20" t="n">
        <x:v>46229.393565162034</x:v>
      </x:c>
      <x:c r="X50" s="20"/>
      <x:c r="Y50" s="2" t="str">
        <x:v>active</x:v>
      </x:c>
      <x:c r="Z50" s="2" t="str">
        <x:v>SRC-CH-02</x:v>
      </x:c>
      <x:c r="AA50" s="7" t="str">
        <x:v>源行=sd!28；原模型=lec-seedance-videos-fast；时长=4-15；比例=9:16, 16:9, 1:1；视频输入=是；真人脸=是；超分=否；素材库=否；NSFW=否；协议=自有；素材限制=933</x:v>
      </x:c>
      <x:c r="AB50" s="23" t="str">
        <x:f t="shared" si="3">IF(A50="","",IF(COUNTIF($A$5:$A$1004,A50)&gt;1,"错误:重复成本规则ID",IF(OR(B50="",C50="",E50="",F50="",K50="",O50&lt;=0,P50&lt;=0,Q50&lt;=0,R50&lt;=0,S50&lt;0,T50&lt;=0,Y50=""),"错误:必填项",IF(D50="","警告:SKU待映射","OK"))))</x:f>
        <x:v>OK</x:v>
      </x:c>
    </x:row>
    <x:row r="51" ht="39.599998474121094" customHeight="1">
      <x:c r="A51" s="2" t="str">
        <x:v>COST-PAIPU-R28-720-REQ-VID</x:v>
      </x:c>
      <x:c r="B51" s="2" t="str">
        <x:v>CH-PAIPU</x:v>
      </x:c>
      <x:c r="C51" s="2" t="str">
        <x:v>lec-seedance-videos-fast</x:v>
      </x:c>
      <x:c r="D51" s="2" t="str">
        <x:v>SKU-SD20-FAST-720</x:v>
      </x:c>
      <x:c r="E51" s="2" t="str">
        <x:v>with_video</x:v>
      </x:c>
      <x:c r="F51" s="2" t="str">
        <x:v>per_request</x:v>
      </x:c>
      <x:c r="G51" s="2"/>
      <x:c r="H51" s="2" t="str">
        <x:v>validated_request</x:v>
      </x:c>
      <x:c r="I51" s="2" t="str">
        <x:v>request_count</x:v>
      </x:c>
      <x:c r="J51" s="2" t="str">
        <x:v>task_succeeded</x:v>
      </x:c>
      <x:c r="K51" s="2" t="str">
        <x:v>CNY</x:v>
      </x:c>
      <x:c r="L51" s="27" t="n">
        <x:v>3.3</x:v>
      </x:c>
      <x:c r="M51" s="27"/>
      <x:c r="N51" s="27"/>
      <x:c r="O51" s="26" t="n">
        <x:f t="shared" si="0">IF(F51="per_request",L51,IF(F51="per_duration",M51,IF(F51="per_token",N51,0)))</x:f>
        <x:v>3.3</x:v>
      </x:c>
      <x:c r="P51" s="27" t="n">
        <x:v>1</x:v>
      </x:c>
      <x:c r="Q51" s="27" t="n">
        <x:v>1</x:v>
      </x:c>
      <x:c r="R51" s="27" t="n">
        <x:v>1</x:v>
      </x:c>
      <x:c r="S51" s="27" t="n">
        <x:v>0</x:v>
      </x:c>
      <x:c r="T51" s="26" t="n">
        <x:f>IF(K51="USD",1,'参数'!$B$6)</x:f>
        <x:v>0.136986301369863</x:v>
      </x:c>
      <x:c r="U51" s="26" t="n">
        <x:f t="shared" si="1">O51*P51*Q51/R51*(1+S51)*T51</x:f>
        <x:v>0.4520547945205479</x:v>
      </x:c>
      <x:c r="V51" s="23" t="str">
        <x:f t="shared" si="2">IF(F51="per_request","USD/次",IF(F51="per_duration","USD/秒",IF(F51="per_token","USD/1M Token","")))</x:f>
        <x:v>USD/次</x:v>
      </x:c>
      <x:c r="W51" s="20" t="n">
        <x:v>46229.393565162034</x:v>
      </x:c>
      <x:c r="X51" s="20"/>
      <x:c r="Y51" s="2" t="str">
        <x:v>active</x:v>
      </x:c>
      <x:c r="Z51" s="2" t="str">
        <x:v>SRC-CH-02</x:v>
      </x:c>
      <x:c r="AA51" s="7" t="str">
        <x:v>源行=sd!28；原模型=lec-seedance-videos-fast；时长=4-15；比例=9:16, 16:9, 1:1；视频输入=是；真人脸=是；超分=否；素材库=否；NSFW=否；协议=自有；素材限制=933</x:v>
      </x:c>
      <x:c r="AB51" s="23" t="str">
        <x:f t="shared" si="3">IF(A51="","",IF(COUNTIF($A$5:$A$1004,A51)&gt;1,"错误:重复成本规则ID",IF(OR(B51="",C51="",E51="",F51="",K51="",O51&lt;=0,P51&lt;=0,Q51&lt;=0,R51&lt;=0,S51&lt;0,T51&lt;=0,Y51=""),"错误:必填项",IF(D51="","警告:SKU待映射","OK"))))</x:f>
        <x:v>OK</x:v>
      </x:c>
    </x:row>
    <x:row r="52" ht="52.79999923706055" customHeight="1">
      <x:c r="A52" s="2" t="str">
        <x:v>COST-PAIPU-R29-480-REQ-NOV</x:v>
      </x:c>
      <x:c r="B52" s="2" t="str">
        <x:v>CH-PAIPU</x:v>
      </x:c>
      <x:c r="C52" s="2" t="str">
        <x:v>lec-seedance-videos-mini</x:v>
      </x:c>
      <x:c r="D52" s="2" t="str">
        <x:v>SKU-SD20-MINI-480</x:v>
      </x:c>
      <x:c r="E52" s="2" t="str">
        <x:v>no_video</x:v>
      </x:c>
      <x:c r="F52" s="2" t="str">
        <x:v>per_request</x:v>
      </x:c>
      <x:c r="G52" s="2"/>
      <x:c r="H52" s="2" t="str">
        <x:v>validated_request</x:v>
      </x:c>
      <x:c r="I52" s="2" t="str">
        <x:v>request_count</x:v>
      </x:c>
      <x:c r="J52" s="2" t="str">
        <x:v>task_succeeded</x:v>
      </x:c>
      <x:c r="K52" s="2" t="str">
        <x:v>CNY</x:v>
      </x:c>
      <x:c r="L52" s="27" t="n">
        <x:v>2.3</x:v>
      </x:c>
      <x:c r="M52" s="27"/>
      <x:c r="N52" s="27"/>
      <x:c r="O52" s="26" t="n">
        <x:f t="shared" si="0">IF(F52="per_request",L52,IF(F52="per_duration",M52,IF(F52="per_token",N52,0)))</x:f>
        <x:v>2.3</x:v>
      </x:c>
      <x:c r="P52" s="27" t="n">
        <x:v>1</x:v>
      </x:c>
      <x:c r="Q52" s="27" t="n">
        <x:v>1</x:v>
      </x:c>
      <x:c r="R52" s="27" t="n">
        <x:v>1</x:v>
      </x:c>
      <x:c r="S52" s="27" t="n">
        <x:v>0</x:v>
      </x:c>
      <x:c r="T52" s="26" t="n">
        <x:f>IF(K52="USD",1,'参数'!$B$6)</x:f>
        <x:v>0.136986301369863</x:v>
      </x:c>
      <x:c r="U52" s="26" t="n">
        <x:f t="shared" si="1">O52*P52*Q52/R52*(1+S52)*T52</x:f>
        <x:v>0.3150684931506849</x:v>
      </x:c>
      <x:c r="V52" s="23" t="str">
        <x:f t="shared" si="2">IF(F52="per_request","USD/次",IF(F52="per_duration","USD/秒",IF(F52="per_token","USD/1M Token","")))</x:f>
        <x:v>USD/次</x:v>
      </x:c>
      <x:c r="W52" s="20" t="n">
        <x:v>46229.393565162034</x:v>
      </x:c>
      <x:c r="X52" s="20"/>
      <x:c r="Y52" s="2" t="str">
        <x:v>active</x:v>
      </x:c>
      <x:c r="Z52" s="2" t="str">
        <x:v>SRC-CH-02</x:v>
      </x:c>
      <x:c r="AA52" s="7" t="str">
        <x:v>源行=sd!29；原模型=lec-seedance-videos-mini；时长=4-15；比例=9:16, 16:9, 1:1；视频输入=是；真人脸=是；超分=否；素材库=否；NSFW=否；协议=自有；素材限制=933</x:v>
      </x:c>
      <x:c r="AB52" s="23" t="str">
        <x:f t="shared" si="3">IF(A52="","",IF(COUNTIF($A$5:$A$1004,A52)&gt;1,"错误:重复成本规则ID",IF(OR(B52="",C52="",E52="",F52="",K52="",O52&lt;=0,P52&lt;=0,Q52&lt;=0,R52&lt;=0,S52&lt;0,T52&lt;=0,Y52=""),"错误:必填项",IF(D52="","警告:SKU待映射","OK"))))</x:f>
        <x:v>OK</x:v>
      </x:c>
    </x:row>
    <x:row r="53" ht="52.79999923706055" customHeight="1">
      <x:c r="A53" s="2" t="str">
        <x:v>COST-PAIPU-R29-480-REQ-VID</x:v>
      </x:c>
      <x:c r="B53" s="2" t="str">
        <x:v>CH-PAIPU</x:v>
      </x:c>
      <x:c r="C53" s="2" t="str">
        <x:v>lec-seedance-videos-mini</x:v>
      </x:c>
      <x:c r="D53" s="2" t="str">
        <x:v>SKU-SD20-MINI-480</x:v>
      </x:c>
      <x:c r="E53" s="2" t="str">
        <x:v>with_video</x:v>
      </x:c>
      <x:c r="F53" s="2" t="str">
        <x:v>per_request</x:v>
      </x:c>
      <x:c r="G53" s="2"/>
      <x:c r="H53" s="2" t="str">
        <x:v>validated_request</x:v>
      </x:c>
      <x:c r="I53" s="2" t="str">
        <x:v>request_count</x:v>
      </x:c>
      <x:c r="J53" s="2" t="str">
        <x:v>task_succeeded</x:v>
      </x:c>
      <x:c r="K53" s="2" t="str">
        <x:v>CNY</x:v>
      </x:c>
      <x:c r="L53" s="27" t="n">
        <x:v>2.3</x:v>
      </x:c>
      <x:c r="M53" s="27"/>
      <x:c r="N53" s="27"/>
      <x:c r="O53" s="26" t="n">
        <x:f t="shared" si="0">IF(F53="per_request",L53,IF(F53="per_duration",M53,IF(F53="per_token",N53,0)))</x:f>
        <x:v>2.3</x:v>
      </x:c>
      <x:c r="P53" s="27" t="n">
        <x:v>1</x:v>
      </x:c>
      <x:c r="Q53" s="27" t="n">
        <x:v>1</x:v>
      </x:c>
      <x:c r="R53" s="27" t="n">
        <x:v>1</x:v>
      </x:c>
      <x:c r="S53" s="27" t="n">
        <x:v>0</x:v>
      </x:c>
      <x:c r="T53" s="26" t="n">
        <x:f>IF(K53="USD",1,'参数'!$B$6)</x:f>
        <x:v>0.136986301369863</x:v>
      </x:c>
      <x:c r="U53" s="26" t="n">
        <x:f t="shared" si="1">O53*P53*Q53/R53*(1+S53)*T53</x:f>
        <x:v>0.3150684931506849</x:v>
      </x:c>
      <x:c r="V53" s="23" t="str">
        <x:f t="shared" si="2">IF(F53="per_request","USD/次",IF(F53="per_duration","USD/秒",IF(F53="per_token","USD/1M Token","")))</x:f>
        <x:v>USD/次</x:v>
      </x:c>
      <x:c r="W53" s="20" t="n">
        <x:v>46229.393565162034</x:v>
      </x:c>
      <x:c r="X53" s="20"/>
      <x:c r="Y53" s="2" t="str">
        <x:v>active</x:v>
      </x:c>
      <x:c r="Z53" s="2" t="str">
        <x:v>SRC-CH-02</x:v>
      </x:c>
      <x:c r="AA53" s="7" t="str">
        <x:v>源行=sd!29；原模型=lec-seedance-videos-mini；时长=4-15；比例=9:16, 16:9, 1:1；视频输入=是；真人脸=是；超分=否；素材库=否；NSFW=否；协议=自有；素材限制=933</x:v>
      </x:c>
      <x:c r="AB53" s="23" t="str">
        <x:f t="shared" si="3">IF(A53="","",IF(COUNTIF($A$5:$A$1004,A53)&gt;1,"错误:重复成本规则ID",IF(OR(B53="",C53="",E53="",F53="",K53="",O53&lt;=0,P53&lt;=0,Q53&lt;=0,R53&lt;=0,S53&lt;0,T53&lt;=0,Y53=""),"错误:必填项",IF(D53="","警告:SKU待映射","OK"))))</x:f>
        <x:v>OK</x:v>
      </x:c>
    </x:row>
    <x:row r="54" ht="52.79999923706055" customHeight="1">
      <x:c r="A54" s="2" t="str">
        <x:v>COST-PAIPU-R30-720-REQ-NOV</x:v>
      </x:c>
      <x:c r="B54" s="2" t="str">
        <x:v>CH-PAIPU</x:v>
      </x:c>
      <x:c r="C54" s="2" t="str">
        <x:v>lec-seedance-videos-mini</x:v>
      </x:c>
      <x:c r="D54" s="2" t="str">
        <x:v>SKU-SD20-MINI-720</x:v>
      </x:c>
      <x:c r="E54" s="2" t="str">
        <x:v>no_video</x:v>
      </x:c>
      <x:c r="F54" s="2" t="str">
        <x:v>per_request</x:v>
      </x:c>
      <x:c r="G54" s="2"/>
      <x:c r="H54" s="2" t="str">
        <x:v>validated_request</x:v>
      </x:c>
      <x:c r="I54" s="2" t="str">
        <x:v>request_count</x:v>
      </x:c>
      <x:c r="J54" s="2" t="str">
        <x:v>task_succeeded</x:v>
      </x:c>
      <x:c r="K54" s="2" t="str">
        <x:v>CNY</x:v>
      </x:c>
      <x:c r="L54" s="27" t="n">
        <x:v>2.3</x:v>
      </x:c>
      <x:c r="M54" s="27"/>
      <x:c r="N54" s="27"/>
      <x:c r="O54" s="26" t="n">
        <x:f t="shared" si="0">IF(F54="per_request",L54,IF(F54="per_duration",M54,IF(F54="per_token",N54,0)))</x:f>
        <x:v>2.3</x:v>
      </x:c>
      <x:c r="P54" s="27" t="n">
        <x:v>1</x:v>
      </x:c>
      <x:c r="Q54" s="27" t="n">
        <x:v>1</x:v>
      </x:c>
      <x:c r="R54" s="27" t="n">
        <x:v>1</x:v>
      </x:c>
      <x:c r="S54" s="27" t="n">
        <x:v>0</x:v>
      </x:c>
      <x:c r="T54" s="26" t="n">
        <x:f>IF(K54="USD",1,'参数'!$B$6)</x:f>
        <x:v>0.136986301369863</x:v>
      </x:c>
      <x:c r="U54" s="26" t="n">
        <x:f t="shared" si="1">O54*P54*Q54/R54*(1+S54)*T54</x:f>
        <x:v>0.3150684931506849</x:v>
      </x:c>
      <x:c r="V54" s="23" t="str">
        <x:f t="shared" si="2">IF(F54="per_request","USD/次",IF(F54="per_duration","USD/秒",IF(F54="per_token","USD/1M Token","")))</x:f>
        <x:v>USD/次</x:v>
      </x:c>
      <x:c r="W54" s="20" t="n">
        <x:v>46229.393565162034</x:v>
      </x:c>
      <x:c r="X54" s="20"/>
      <x:c r="Y54" s="2" t="str">
        <x:v>active</x:v>
      </x:c>
      <x:c r="Z54" s="2" t="str">
        <x:v>SRC-CH-02</x:v>
      </x:c>
      <x:c r="AA54" s="7" t="str">
        <x:v>源行=sd!30；原模型=lec-seedance-videos-mini；时长=4-15；比例=9:16, 16:9, 1:1；视频输入=是；真人脸=是；超分=否；素材库=否；NSFW=否；协议=自有；素材限制=933</x:v>
      </x:c>
      <x:c r="AB54" s="23" t="str">
        <x:f t="shared" si="3">IF(A54="","",IF(COUNTIF($A$5:$A$1004,A54)&gt;1,"错误:重复成本规则ID",IF(OR(B54="",C54="",E54="",F54="",K54="",O54&lt;=0,P54&lt;=0,Q54&lt;=0,R54&lt;=0,S54&lt;0,T54&lt;=0,Y54=""),"错误:必填项",IF(D54="","警告:SKU待映射","OK"))))</x:f>
        <x:v>OK</x:v>
      </x:c>
    </x:row>
    <x:row r="55" ht="52.79999923706055" customHeight="1">
      <x:c r="A55" s="2" t="str">
        <x:v>COST-PAIPU-R30-720-REQ-VID</x:v>
      </x:c>
      <x:c r="B55" s="2" t="str">
        <x:v>CH-PAIPU</x:v>
      </x:c>
      <x:c r="C55" s="2" t="str">
        <x:v>lec-seedance-videos-mini</x:v>
      </x:c>
      <x:c r="D55" s="2" t="str">
        <x:v>SKU-SD20-MINI-720</x:v>
      </x:c>
      <x:c r="E55" s="2" t="str">
        <x:v>with_video</x:v>
      </x:c>
      <x:c r="F55" s="2" t="str">
        <x:v>per_request</x:v>
      </x:c>
      <x:c r="G55" s="2"/>
      <x:c r="H55" s="2" t="str">
        <x:v>validated_request</x:v>
      </x:c>
      <x:c r="I55" s="2" t="str">
        <x:v>request_count</x:v>
      </x:c>
      <x:c r="J55" s="2" t="str">
        <x:v>task_succeeded</x:v>
      </x:c>
      <x:c r="K55" s="2" t="str">
        <x:v>CNY</x:v>
      </x:c>
      <x:c r="L55" s="27" t="n">
        <x:v>2.3</x:v>
      </x:c>
      <x:c r="M55" s="27"/>
      <x:c r="N55" s="27"/>
      <x:c r="O55" s="26" t="n">
        <x:f t="shared" si="0">IF(F55="per_request",L55,IF(F55="per_duration",M55,IF(F55="per_token",N55,0)))</x:f>
        <x:v>2.3</x:v>
      </x:c>
      <x:c r="P55" s="27" t="n">
        <x:v>1</x:v>
      </x:c>
      <x:c r="Q55" s="27" t="n">
        <x:v>1</x:v>
      </x:c>
      <x:c r="R55" s="27" t="n">
        <x:v>1</x:v>
      </x:c>
      <x:c r="S55" s="27" t="n">
        <x:v>0</x:v>
      </x:c>
      <x:c r="T55" s="26" t="n">
        <x:f>IF(K55="USD",1,'参数'!$B$6)</x:f>
        <x:v>0.136986301369863</x:v>
      </x:c>
      <x:c r="U55" s="26" t="n">
        <x:f t="shared" si="1">O55*P55*Q55/R55*(1+S55)*T55</x:f>
        <x:v>0.3150684931506849</x:v>
      </x:c>
      <x:c r="V55" s="23" t="str">
        <x:f t="shared" si="2">IF(F55="per_request","USD/次",IF(F55="per_duration","USD/秒",IF(F55="per_token","USD/1M Token","")))</x:f>
        <x:v>USD/次</x:v>
      </x:c>
      <x:c r="W55" s="20" t="n">
        <x:v>46229.393565162034</x:v>
      </x:c>
      <x:c r="X55" s="20"/>
      <x:c r="Y55" s="2" t="str">
        <x:v>active</x:v>
      </x:c>
      <x:c r="Z55" s="2" t="str">
        <x:v>SRC-CH-02</x:v>
      </x:c>
      <x:c r="AA55" s="7" t="str">
        <x:v>源行=sd!30；原模型=lec-seedance-videos-mini；时长=4-15；比例=9:16, 16:9, 1:1；视频输入=是；真人脸=是；超分=否；素材库=否；NSFW=否；协议=自有；素材限制=933</x:v>
      </x:c>
      <x:c r="AB55" s="23" t="str">
        <x:f t="shared" si="3">IF(A55="","",IF(COUNTIF($A$5:$A$1004,A55)&gt;1,"错误:重复成本规则ID",IF(OR(B55="",C55="",E55="",F55="",K55="",O55&lt;=0,P55&lt;=0,Q55&lt;=0,R55&lt;=0,S55&lt;0,T55&lt;=0,Y55=""),"错误:必填项",IF(D55="","警告:SKU待映射","OK"))))</x:f>
        <x:v>OK</x:v>
      </x:c>
    </x:row>
    <x:row r="56" ht="66" customHeight="1">
      <x:c r="A56" s="2" t="str">
        <x:v>COST-PAIPU-R31-480-SEC-NOV</x:v>
      </x:c>
      <x:c r="B56" s="2" t="str">
        <x:v>CH-PAIPU</x:v>
      </x:c>
      <x:c r="C56" s="2" t="str">
        <x:v>lec-seedance-videos-stable</x:v>
      </x:c>
      <x:c r="D56" s="2" t="str">
        <x:v>SKU-SD20-STD-480</x:v>
      </x:c>
      <x:c r="E56" s="2" t="str">
        <x:v>no_video</x:v>
      </x:c>
      <x:c r="F56" s="2" t="str">
        <x:v>per_duration</x:v>
      </x:c>
      <x:c r="G56" s="2"/>
      <x:c r="H56" s="2" t="str">
        <x:v>validated_request</x:v>
      </x:c>
      <x:c r="I56" s="2" t="str">
        <x:v>billable_duration_seconds</x:v>
      </x:c>
      <x:c r="J56" s="2" t="str">
        <x:v>task_succeeded</x:v>
      </x:c>
      <x:c r="K56" s="2" t="str">
        <x:v>CNY</x:v>
      </x:c>
      <x:c r="L56" s="27"/>
      <x:c r="M56" s="27" t="n">
        <x:v>0.27</x:v>
      </x:c>
      <x:c r="N56" s="27"/>
      <x:c r="O56" s="26" t="n">
        <x:f t="shared" si="0">IF(F56="per_request",L56,IF(F56="per_duration",M56,IF(F56="per_token",N56,0)))</x:f>
        <x:v>0.27</x:v>
      </x:c>
      <x:c r="P56" s="27" t="n">
        <x:v>1</x:v>
      </x:c>
      <x:c r="Q56" s="27" t="n">
        <x:v>1</x:v>
      </x:c>
      <x:c r="R56" s="27" t="n">
        <x:v>1</x:v>
      </x:c>
      <x:c r="S56" s="27" t="n">
        <x:v>0</x:v>
      </x:c>
      <x:c r="T56" s="26" t="n">
        <x:f>IF(K56="USD",1,'参数'!$B$6)</x:f>
        <x:v>0.136986301369863</x:v>
      </x:c>
      <x:c r="U56" s="26" t="n">
        <x:f t="shared" si="1">O56*P56*Q56/R56*(1+S56)*T56</x:f>
        <x:v>0.036986301369863014</x:v>
      </x:c>
      <x:c r="V56" s="23" t="str">
        <x:f t="shared" si="2">IF(F56="per_request","USD/次",IF(F56="per_duration","USD/秒",IF(F56="per_token","USD/1M Token","")))</x:f>
        <x:v>USD/秒</x:v>
      </x:c>
      <x:c r="W56" s="20" t="n">
        <x:v>46229.393565162034</x:v>
      </x:c>
      <x:c r="X56" s="20"/>
      <x:c r="Y56" s="2" t="str">
        <x:v>active</x:v>
      </x:c>
      <x:c r="Z56" s="2" t="str">
        <x:v>SRC-CH-02</x:v>
      </x:c>
      <x:c r="AA56" s="7" t="str">
        <x:v>源行=sd!31；原模型=lec-seedance-videos-stable；时长=4-15；比例=9:16, 16:9, 1:1；视频输入=是；真人脸=是；超分=否；素材库=否；NSFW=否；协议=自有；素材限制=431；原表折扣 秒 无V=0.584（成本/官价参考比，不参与成本二次计算）</x:v>
      </x:c>
      <x:c r="AB56" s="23" t="str">
        <x:f t="shared" si="3">IF(A56="","",IF(COUNTIF($A$5:$A$1004,A56)&gt;1,"错误:重复成本规则ID",IF(OR(B56="",C56="",E56="",F56="",K56="",O56&lt;=0,P56&lt;=0,Q56&lt;=0,R56&lt;=0,S56&lt;0,T56&lt;=0,Y56=""),"错误:必填项",IF(D56="","警告:SKU待映射","OK"))))</x:f>
        <x:v>OK</x:v>
      </x:c>
    </x:row>
    <x:row r="57" ht="66" customHeight="1">
      <x:c r="A57" s="2" t="str">
        <x:v>COST-PAIPU-R31-480-SEC-VID</x:v>
      </x:c>
      <x:c r="B57" s="2" t="str">
        <x:v>CH-PAIPU</x:v>
      </x:c>
      <x:c r="C57" s="2" t="str">
        <x:v>lec-seedance-videos-stable</x:v>
      </x:c>
      <x:c r="D57" s="2" t="str">
        <x:v>SKU-SD20-STD-480</x:v>
      </x:c>
      <x:c r="E57" s="2" t="str">
        <x:v>with_video</x:v>
      </x:c>
      <x:c r="F57" s="2" t="str">
        <x:v>per_duration</x:v>
      </x:c>
      <x:c r="G57" s="2"/>
      <x:c r="H57" s="2" t="str">
        <x:v>validated_request</x:v>
      </x:c>
      <x:c r="I57" s="2" t="str">
        <x:v>billable_duration_seconds</x:v>
      </x:c>
      <x:c r="J57" s="2" t="str">
        <x:v>task_succeeded</x:v>
      </x:c>
      <x:c r="K57" s="2" t="str">
        <x:v>CNY</x:v>
      </x:c>
      <x:c r="L57" s="27"/>
      <x:c r="M57" s="27" t="n">
        <x:v>0.27</x:v>
      </x:c>
      <x:c r="N57" s="27"/>
      <x:c r="O57" s="26" t="n">
        <x:f t="shared" si="0">IF(F57="per_request",L57,IF(F57="per_duration",M57,IF(F57="per_token",N57,0)))</x:f>
        <x:v>0.27</x:v>
      </x:c>
      <x:c r="P57" s="27" t="n">
        <x:v>1</x:v>
      </x:c>
      <x:c r="Q57" s="27" t="n">
        <x:v>1</x:v>
      </x:c>
      <x:c r="R57" s="27" t="n">
        <x:v>1</x:v>
      </x:c>
      <x:c r="S57" s="27" t="n">
        <x:v>0</x:v>
      </x:c>
      <x:c r="T57" s="26" t="n">
        <x:f>IF(K57="USD",1,'参数'!$B$6)</x:f>
        <x:v>0.136986301369863</x:v>
      </x:c>
      <x:c r="U57" s="26" t="n">
        <x:f t="shared" si="1">O57*P57*Q57/R57*(1+S57)*T57</x:f>
        <x:v>0.036986301369863014</x:v>
      </x:c>
      <x:c r="V57" s="23" t="str">
        <x:f t="shared" si="2">IF(F57="per_request","USD/次",IF(F57="per_duration","USD/秒",IF(F57="per_token","USD/1M Token","")))</x:f>
        <x:v>USD/秒</x:v>
      </x:c>
      <x:c r="W57" s="20" t="n">
        <x:v>46229.393565162034</x:v>
      </x:c>
      <x:c r="X57" s="20"/>
      <x:c r="Y57" s="2" t="str">
        <x:v>active</x:v>
      </x:c>
      <x:c r="Z57" s="2" t="str">
        <x:v>SRC-CH-02</x:v>
      </x:c>
      <x:c r="AA57" s="7" t="str">
        <x:v>源行=sd!31；原模型=lec-seedance-videos-stable；时长=4-15；比例=9:16, 16:9, 1:1；视频输入=是；真人脸=是；超分=否；素材库=否；NSFW=否；协议=自有；素材限制=431；原表折扣 秒 含V=0.961（成本/官价参考比，不参与成本二次计算）</x:v>
      </x:c>
      <x:c r="AB57" s="23" t="str">
        <x:f t="shared" si="3">IF(A57="","",IF(COUNTIF($A$5:$A$1004,A57)&gt;1,"错误:重复成本规则ID",IF(OR(B57="",C57="",E57="",F57="",K57="",O57&lt;=0,P57&lt;=0,Q57&lt;=0,R57&lt;=0,S57&lt;0,T57&lt;=0,Y57=""),"错误:必填项",IF(D57="","警告:SKU待映射","OK"))))</x:f>
        <x:v>OK</x:v>
      </x:c>
    </x:row>
    <x:row r="58" ht="66" customHeight="1">
      <x:c r="A58" s="2" t="str">
        <x:v>COST-PAIPU-R32-720-SEC-NOV</x:v>
      </x:c>
      <x:c r="B58" s="2" t="str">
        <x:v>CH-PAIPU</x:v>
      </x:c>
      <x:c r="C58" s="2" t="str">
        <x:v>lec-seedance-videos-stable</x:v>
      </x:c>
      <x:c r="D58" s="2" t="str">
        <x:v>SKU-SD20-STD-720</x:v>
      </x:c>
      <x:c r="E58" s="2" t="str">
        <x:v>no_video</x:v>
      </x:c>
      <x:c r="F58" s="2" t="str">
        <x:v>per_duration</x:v>
      </x:c>
      <x:c r="G58" s="2"/>
      <x:c r="H58" s="2" t="str">
        <x:v>validated_request</x:v>
      </x:c>
      <x:c r="I58" s="2" t="str">
        <x:v>billable_duration_seconds</x:v>
      </x:c>
      <x:c r="J58" s="2" t="str">
        <x:v>task_succeeded</x:v>
      </x:c>
      <x:c r="K58" s="2" t="str">
        <x:v>CNY</x:v>
      </x:c>
      <x:c r="L58" s="27"/>
      <x:c r="M58" s="27" t="n">
        <x:v>0.37</x:v>
      </x:c>
      <x:c r="N58" s="27"/>
      <x:c r="O58" s="26" t="n">
        <x:f t="shared" si="0">IF(F58="per_request",L58,IF(F58="per_duration",M58,IF(F58="per_token",N58,0)))</x:f>
        <x:v>0.37</x:v>
      </x:c>
      <x:c r="P58" s="27" t="n">
        <x:v>1</x:v>
      </x:c>
      <x:c r="Q58" s="27" t="n">
        <x:v>1</x:v>
      </x:c>
      <x:c r="R58" s="27" t="n">
        <x:v>1</x:v>
      </x:c>
      <x:c r="S58" s="27" t="n">
        <x:v>0</x:v>
      </x:c>
      <x:c r="T58" s="26" t="n">
        <x:f>IF(K58="USD",1,'参数'!$B$6)</x:f>
        <x:v>0.136986301369863</x:v>
      </x:c>
      <x:c r="U58" s="26" t="n">
        <x:f t="shared" si="1">O58*P58*Q58/R58*(1+S58)*T58</x:f>
        <x:v>0.050684931506849315</x:v>
      </x:c>
      <x:c r="V58" s="23" t="str">
        <x:f t="shared" si="2">IF(F58="per_request","USD/次",IF(F58="per_duration","USD/秒",IF(F58="per_token","USD/1M Token","")))</x:f>
        <x:v>USD/秒</x:v>
      </x:c>
      <x:c r="W58" s="20" t="n">
        <x:v>46229.393565162034</x:v>
      </x:c>
      <x:c r="X58" s="20"/>
      <x:c r="Y58" s="2" t="str">
        <x:v>active</x:v>
      </x:c>
      <x:c r="Z58" s="2" t="str">
        <x:v>SRC-CH-02</x:v>
      </x:c>
      <x:c r="AA58" s="7" t="str">
        <x:v>源行=sd!32；原模型=lec-seedance-videos-stable；时长=4-15；比例=9:16, 16:9, 1:1；视频输入=是；真人脸=是；超分=否；素材库=否；NSFW=否；协议=自有；素材限制=431；原表折扣 秒 无V=0.372（成本/官价参考比，不参与成本二次计算）</x:v>
      </x:c>
      <x:c r="AB58" s="23" t="str">
        <x:f t="shared" si="3">IF(A58="","",IF(COUNTIF($A$5:$A$1004,A58)&gt;1,"错误:重复成本规则ID",IF(OR(B58="",C58="",E58="",F58="",K58="",O58&lt;=0,P58&lt;=0,Q58&lt;=0,R58&lt;=0,S58&lt;0,T58&lt;=0,Y58=""),"错误:必填项",IF(D58="","警告:SKU待映射","OK"))))</x:f>
        <x:v>OK</x:v>
      </x:c>
    </x:row>
    <x:row r="59" ht="66" customHeight="1">
      <x:c r="A59" s="2" t="str">
        <x:v>COST-PAIPU-R32-720-SEC-VID</x:v>
      </x:c>
      <x:c r="B59" s="2" t="str">
        <x:v>CH-PAIPU</x:v>
      </x:c>
      <x:c r="C59" s="2" t="str">
        <x:v>lec-seedance-videos-stable</x:v>
      </x:c>
      <x:c r="D59" s="2" t="str">
        <x:v>SKU-SD20-STD-720</x:v>
      </x:c>
      <x:c r="E59" s="2" t="str">
        <x:v>with_video</x:v>
      </x:c>
      <x:c r="F59" s="2" t="str">
        <x:v>per_duration</x:v>
      </x:c>
      <x:c r="G59" s="2"/>
      <x:c r="H59" s="2" t="str">
        <x:v>validated_request</x:v>
      </x:c>
      <x:c r="I59" s="2" t="str">
        <x:v>billable_duration_seconds</x:v>
      </x:c>
      <x:c r="J59" s="2" t="str">
        <x:v>task_succeeded</x:v>
      </x:c>
      <x:c r="K59" s="2" t="str">
        <x:v>CNY</x:v>
      </x:c>
      <x:c r="L59" s="27"/>
      <x:c r="M59" s="27" t="n">
        <x:v>0.37</x:v>
      </x:c>
      <x:c r="N59" s="27"/>
      <x:c r="O59" s="26" t="n">
        <x:f t="shared" si="0">IF(F59="per_request",L59,IF(F59="per_duration",M59,IF(F59="per_token",N59,0)))</x:f>
        <x:v>0.37</x:v>
      </x:c>
      <x:c r="P59" s="27" t="n">
        <x:v>1</x:v>
      </x:c>
      <x:c r="Q59" s="27" t="n">
        <x:v>1</x:v>
      </x:c>
      <x:c r="R59" s="27" t="n">
        <x:v>1</x:v>
      </x:c>
      <x:c r="S59" s="27" t="n">
        <x:v>0</x:v>
      </x:c>
      <x:c r="T59" s="26" t="n">
        <x:f>IF(K59="USD",1,'参数'!$B$6)</x:f>
        <x:v>0.136986301369863</x:v>
      </x:c>
      <x:c r="U59" s="26" t="n">
        <x:f t="shared" si="1">O59*P59*Q59/R59*(1+S59)*T59</x:f>
        <x:v>0.050684931506849315</x:v>
      </x:c>
      <x:c r="V59" s="23" t="str">
        <x:f t="shared" si="2">IF(F59="per_request","USD/次",IF(F59="per_duration","USD/秒",IF(F59="per_token","USD/1M Token","")))</x:f>
        <x:v>USD/秒</x:v>
      </x:c>
      <x:c r="W59" s="20" t="n">
        <x:v>46229.393565162034</x:v>
      </x:c>
      <x:c r="X59" s="20"/>
      <x:c r="Y59" s="2" t="str">
        <x:v>active</x:v>
      </x:c>
      <x:c r="Z59" s="2" t="str">
        <x:v>SRC-CH-02</x:v>
      </x:c>
      <x:c r="AA59" s="7" t="str">
        <x:v>源行=sd!32；原模型=lec-seedance-videos-stable；时长=4-15；比例=9:16, 16:9, 1:1；视频输入=是；真人脸=是；超分=否；素材库=否；NSFW=否；协议=自有；素材限制=431；原表折扣 秒 含V=0.612（成本/官价参考比，不参与成本二次计算）</x:v>
      </x:c>
      <x:c r="AB59" s="23" t="str">
        <x:f t="shared" si="3">IF(A59="","",IF(COUNTIF($A$5:$A$1004,A59)&gt;1,"错误:重复成本规则ID",IF(OR(B59="",C59="",E59="",F59="",K59="",O59&lt;=0,P59&lt;=0,Q59&lt;=0,R59&lt;=0,S59&lt;0,T59&lt;=0,Y59=""),"错误:必填项",IF(D59="","警告:SKU待映射","OK"))))</x:f>
        <x:v>OK</x:v>
      </x:c>
    </x:row>
    <x:row r="60" ht="66" customHeight="1">
      <x:c r="A60" s="2" t="str">
        <x:v>COST-PAIPU-R33-480-SEC-NOV</x:v>
      </x:c>
      <x:c r="B60" s="2" t="str">
        <x:v>CH-PAIPU</x:v>
      </x:c>
      <x:c r="C60" s="2" t="str">
        <x:v>lec-seedance-videos-stable-fast</x:v>
      </x:c>
      <x:c r="D60" s="2" t="str">
        <x:v>SKU-SD20-FAST-480</x:v>
      </x:c>
      <x:c r="E60" s="2" t="str">
        <x:v>no_video</x:v>
      </x:c>
      <x:c r="F60" s="2" t="str">
        <x:v>per_duration</x:v>
      </x:c>
      <x:c r="G60" s="2"/>
      <x:c r="H60" s="2" t="str">
        <x:v>validated_request</x:v>
      </x:c>
      <x:c r="I60" s="2" t="str">
        <x:v>billable_duration_seconds</x:v>
      </x:c>
      <x:c r="J60" s="2" t="str">
        <x:v>task_succeeded</x:v>
      </x:c>
      <x:c r="K60" s="2" t="str">
        <x:v>CNY</x:v>
      </x:c>
      <x:c r="L60" s="27"/>
      <x:c r="M60" s="27" t="n">
        <x:v>0.17</x:v>
      </x:c>
      <x:c r="N60" s="27"/>
      <x:c r="O60" s="26" t="n">
        <x:f t="shared" si="0">IF(F60="per_request",L60,IF(F60="per_duration",M60,IF(F60="per_token",N60,0)))</x:f>
        <x:v>0.17</x:v>
      </x:c>
      <x:c r="P60" s="27" t="n">
        <x:v>1</x:v>
      </x:c>
      <x:c r="Q60" s="27" t="n">
        <x:v>1</x:v>
      </x:c>
      <x:c r="R60" s="27" t="n">
        <x:v>1</x:v>
      </x:c>
      <x:c r="S60" s="27" t="n">
        <x:v>0</x:v>
      </x:c>
      <x:c r="T60" s="26" t="n">
        <x:f>IF(K60="USD",1,'参数'!$B$6)</x:f>
        <x:v>0.136986301369863</x:v>
      </x:c>
      <x:c r="U60" s="26" t="n">
        <x:f t="shared" si="1">O60*P60*Q60/R60*(1+S60)*T60</x:f>
        <x:v>0.023287671232876714</x:v>
      </x:c>
      <x:c r="V60" s="23" t="str">
        <x:f t="shared" si="2">IF(F60="per_request","USD/次",IF(F60="per_duration","USD/秒",IF(F60="per_token","USD/1M Token","")))</x:f>
        <x:v>USD/秒</x:v>
      </x:c>
      <x:c r="W60" s="20" t="n">
        <x:v>46229.393565162034</x:v>
      </x:c>
      <x:c r="X60" s="20"/>
      <x:c r="Y60" s="2" t="str">
        <x:v>active</x:v>
      </x:c>
      <x:c r="Z60" s="2" t="str">
        <x:v>SRC-CH-02</x:v>
      </x:c>
      <x:c r="AA60" s="7" t="str">
        <x:v>源行=sd!33；原模型=lec-seedance-videos-stable-fast；时长=4-15；比例=9:16, 16:9, 1:1；视频输入=是；真人脸=是；超分=否；素材库=否；NSFW=否；协议=自有；素材限制=431；原表折扣 秒 无V=0.457（成本/官价参考比，不参与成本二次计算）</x:v>
      </x:c>
      <x:c r="AB60" s="23" t="str">
        <x:f t="shared" si="3">IF(A60="","",IF(COUNTIF($A$5:$A$1004,A60)&gt;1,"错误:重复成本规则ID",IF(OR(B60="",C60="",E60="",F60="",K60="",O60&lt;=0,P60&lt;=0,Q60&lt;=0,R60&lt;=0,S60&lt;0,T60&lt;=0,Y60=""),"错误:必填项",IF(D60="","警告:SKU待映射","OK"))))</x:f>
        <x:v>OK</x:v>
      </x:c>
    </x:row>
    <x:row r="61" ht="66" customHeight="1">
      <x:c r="A61" s="2" t="str">
        <x:v>COST-PAIPU-R33-480-SEC-VID</x:v>
      </x:c>
      <x:c r="B61" s="2" t="str">
        <x:v>CH-PAIPU</x:v>
      </x:c>
      <x:c r="C61" s="2" t="str">
        <x:v>lec-seedance-videos-stable-fast</x:v>
      </x:c>
      <x:c r="D61" s="2" t="str">
        <x:v>SKU-SD20-FAST-480</x:v>
      </x:c>
      <x:c r="E61" s="2" t="str">
        <x:v>with_video</x:v>
      </x:c>
      <x:c r="F61" s="2" t="str">
        <x:v>per_duration</x:v>
      </x:c>
      <x:c r="G61" s="2"/>
      <x:c r="H61" s="2" t="str">
        <x:v>validated_request</x:v>
      </x:c>
      <x:c r="I61" s="2" t="str">
        <x:v>billable_duration_seconds</x:v>
      </x:c>
      <x:c r="J61" s="2" t="str">
        <x:v>task_succeeded</x:v>
      </x:c>
      <x:c r="K61" s="2" t="str">
        <x:v>CNY</x:v>
      </x:c>
      <x:c r="L61" s="27"/>
      <x:c r="M61" s="27" t="n">
        <x:v>0.17</x:v>
      </x:c>
      <x:c r="N61" s="27"/>
      <x:c r="O61" s="26" t="n">
        <x:f t="shared" si="0">IF(F61="per_request",L61,IF(F61="per_duration",M61,IF(F61="per_token",N61,0)))</x:f>
        <x:v>0.17</x:v>
      </x:c>
      <x:c r="P61" s="27" t="n">
        <x:v>1</x:v>
      </x:c>
      <x:c r="Q61" s="27" t="n">
        <x:v>1</x:v>
      </x:c>
      <x:c r="R61" s="27" t="n">
        <x:v>1</x:v>
      </x:c>
      <x:c r="S61" s="27" t="n">
        <x:v>0</x:v>
      </x:c>
      <x:c r="T61" s="26" t="n">
        <x:f>IF(K61="USD",1,'参数'!$B$6)</x:f>
        <x:v>0.136986301369863</x:v>
      </x:c>
      <x:c r="U61" s="26" t="n">
        <x:f t="shared" si="1">O61*P61*Q61/R61*(1+S61)*T61</x:f>
        <x:v>0.023287671232876714</x:v>
      </x:c>
      <x:c r="V61" s="23" t="str">
        <x:f t="shared" si="2">IF(F61="per_request","USD/次",IF(F61="per_duration","USD/秒",IF(F61="per_token","USD/1M Token","")))</x:f>
        <x:v>USD/秒</x:v>
      </x:c>
      <x:c r="W61" s="20" t="n">
        <x:v>46229.393565162034</x:v>
      </x:c>
      <x:c r="X61" s="20"/>
      <x:c r="Y61" s="2" t="str">
        <x:v>active</x:v>
      </x:c>
      <x:c r="Z61" s="2" t="str">
        <x:v>SRC-CH-02</x:v>
      </x:c>
      <x:c r="AA61" s="7" t="str">
        <x:v>源行=sd!33；原模型=lec-seedance-videos-stable-fast；时长=4-15；比例=9:16, 16:9, 1:1；视频输入=是；真人脸=是；超分=否；素材库=否；NSFW=否；协议=自有；素材限制=431；原表折扣 秒 含V=0.769（成本/官价参考比，不参与成本二次计算）</x:v>
      </x:c>
      <x:c r="AB61" s="23" t="str">
        <x:f t="shared" si="3">IF(A61="","",IF(COUNTIF($A$5:$A$1004,A61)&gt;1,"错误:重复成本规则ID",IF(OR(B61="",C61="",E61="",F61="",K61="",O61&lt;=0,P61&lt;=0,Q61&lt;=0,R61&lt;=0,S61&lt;0,T61&lt;=0,Y61=""),"错误:必填项",IF(D61="","警告:SKU待映射","OK"))))</x:f>
        <x:v>OK</x:v>
      </x:c>
    </x:row>
    <x:row r="62" ht="66" customHeight="1">
      <x:c r="A62" s="2" t="str">
        <x:v>COST-PAIPU-R34-720-SEC-NOV</x:v>
      </x:c>
      <x:c r="B62" s="2" t="str">
        <x:v>CH-PAIPU</x:v>
      </x:c>
      <x:c r="C62" s="2" t="str">
        <x:v>lec-seedance-videos-stable-fast</x:v>
      </x:c>
      <x:c r="D62" s="2" t="str">
        <x:v>SKU-SD20-FAST-720</x:v>
      </x:c>
      <x:c r="E62" s="2" t="str">
        <x:v>no_video</x:v>
      </x:c>
      <x:c r="F62" s="2" t="str">
        <x:v>per_duration</x:v>
      </x:c>
      <x:c r="G62" s="2"/>
      <x:c r="H62" s="2" t="str">
        <x:v>validated_request</x:v>
      </x:c>
      <x:c r="I62" s="2" t="str">
        <x:v>billable_duration_seconds</x:v>
      </x:c>
      <x:c r="J62" s="2" t="str">
        <x:v>task_succeeded</x:v>
      </x:c>
      <x:c r="K62" s="2" t="str">
        <x:v>CNY</x:v>
      </x:c>
      <x:c r="L62" s="27"/>
      <x:c r="M62" s="27" t="n">
        <x:v>0.27</x:v>
      </x:c>
      <x:c r="N62" s="27"/>
      <x:c r="O62" s="26" t="n">
        <x:f t="shared" si="0">IF(F62="per_request",L62,IF(F62="per_duration",M62,IF(F62="per_token",N62,0)))</x:f>
        <x:v>0.27</x:v>
      </x:c>
      <x:c r="P62" s="27" t="n">
        <x:v>1</x:v>
      </x:c>
      <x:c r="Q62" s="27" t="n">
        <x:v>1</x:v>
      </x:c>
      <x:c r="R62" s="27" t="n">
        <x:v>1</x:v>
      </x:c>
      <x:c r="S62" s="27" t="n">
        <x:v>0</x:v>
      </x:c>
      <x:c r="T62" s="26" t="n">
        <x:f>IF(K62="USD",1,'参数'!$B$6)</x:f>
        <x:v>0.136986301369863</x:v>
      </x:c>
      <x:c r="U62" s="26" t="n">
        <x:f t="shared" si="1">O62*P62*Q62/R62*(1+S62)*T62</x:f>
        <x:v>0.036986301369863014</x:v>
      </x:c>
      <x:c r="V62" s="23" t="str">
        <x:f t="shared" si="2">IF(F62="per_request","USD/次",IF(F62="per_duration","USD/秒",IF(F62="per_token","USD/1M Token","")))</x:f>
        <x:v>USD/秒</x:v>
      </x:c>
      <x:c r="W62" s="20" t="n">
        <x:v>46229.393565162034</x:v>
      </x:c>
      <x:c r="X62" s="20"/>
      <x:c r="Y62" s="2" t="str">
        <x:v>active</x:v>
      </x:c>
      <x:c r="Z62" s="2" t="str">
        <x:v>SRC-CH-02</x:v>
      </x:c>
      <x:c r="AA62" s="7" t="str">
        <x:v>源行=sd!34；原模型=lec-seedance-videos-stable-fast；时长=4-15；比例=9:16, 16:9, 1:1；视频输入=是；真人脸=是；超分=否；素材库=否；NSFW=否；协议=自有；素材限制=431；原表折扣 秒 无V=0.338（成本/官价参考比，不参与成本二次计算）</x:v>
      </x:c>
      <x:c r="AB62" s="23" t="str">
        <x:f t="shared" si="3">IF(A62="","",IF(COUNTIF($A$5:$A$1004,A62)&gt;1,"错误:重复成本规则ID",IF(OR(B62="",C62="",E62="",F62="",K62="",O62&lt;=0,P62&lt;=0,Q62&lt;=0,R62&lt;=0,S62&lt;0,T62&lt;=0,Y62=""),"错误:必填项",IF(D62="","警告:SKU待映射","OK"))))</x:f>
        <x:v>OK</x:v>
      </x:c>
    </x:row>
    <x:row r="63" ht="66" customHeight="1">
      <x:c r="A63" s="2" t="str">
        <x:v>COST-PAIPU-R34-720-SEC-VID</x:v>
      </x:c>
      <x:c r="B63" s="2" t="str">
        <x:v>CH-PAIPU</x:v>
      </x:c>
      <x:c r="C63" s="2" t="str">
        <x:v>lec-seedance-videos-stable-fast</x:v>
      </x:c>
      <x:c r="D63" s="2" t="str">
        <x:v>SKU-SD20-FAST-720</x:v>
      </x:c>
      <x:c r="E63" s="2" t="str">
        <x:v>with_video</x:v>
      </x:c>
      <x:c r="F63" s="2" t="str">
        <x:v>per_duration</x:v>
      </x:c>
      <x:c r="G63" s="2"/>
      <x:c r="H63" s="2" t="str">
        <x:v>validated_request</x:v>
      </x:c>
      <x:c r="I63" s="2" t="str">
        <x:v>billable_duration_seconds</x:v>
      </x:c>
      <x:c r="J63" s="2" t="str">
        <x:v>task_succeeded</x:v>
      </x:c>
      <x:c r="K63" s="2" t="str">
        <x:v>CNY</x:v>
      </x:c>
      <x:c r="L63" s="27"/>
      <x:c r="M63" s="27" t="n">
        <x:v>0.27</x:v>
      </x:c>
      <x:c r="N63" s="27"/>
      <x:c r="O63" s="26" t="n">
        <x:f t="shared" si="0">IF(F63="per_request",L63,IF(F63="per_duration",M63,IF(F63="per_token",N63,0)))</x:f>
        <x:v>0.27</x:v>
      </x:c>
      <x:c r="P63" s="27" t="n">
        <x:v>1</x:v>
      </x:c>
      <x:c r="Q63" s="27" t="n">
        <x:v>1</x:v>
      </x:c>
      <x:c r="R63" s="27" t="n">
        <x:v>1</x:v>
      </x:c>
      <x:c r="S63" s="27" t="n">
        <x:v>0</x:v>
      </x:c>
      <x:c r="T63" s="26" t="n">
        <x:f>IF(K63="USD",1,'参数'!$B$6)</x:f>
        <x:v>0.136986301369863</x:v>
      </x:c>
      <x:c r="U63" s="26" t="n">
        <x:f t="shared" si="1">O63*P63*Q63/R63*(1+S63)*T63</x:f>
        <x:v>0.036986301369863014</x:v>
      </x:c>
      <x:c r="V63" s="23" t="str">
        <x:f t="shared" si="2">IF(F63="per_request","USD/次",IF(F63="per_duration","USD/秒",IF(F63="per_token","USD/1M Token","")))</x:f>
        <x:v>USD/秒</x:v>
      </x:c>
      <x:c r="W63" s="20" t="n">
        <x:v>46229.393565162034</x:v>
      </x:c>
      <x:c r="X63" s="20"/>
      <x:c r="Y63" s="2" t="str">
        <x:v>active</x:v>
      </x:c>
      <x:c r="Z63" s="2" t="str">
        <x:v>SRC-CH-02</x:v>
      </x:c>
      <x:c r="AA63" s="7" t="str">
        <x:v>源行=sd!34；原模型=lec-seedance-videos-stable-fast；时长=4-15；比例=9:16, 16:9, 1:1；视频输入=是；真人脸=是；超分=否；素材库=否；NSFW=否；协议=自有；素材限制=431；原表折扣 秒 含V=0.568（成本/官价参考比，不参与成本二次计算）</x:v>
      </x:c>
      <x:c r="AB63" s="23" t="str">
        <x:f t="shared" si="3">IF(A63="","",IF(COUNTIF($A$5:$A$1004,A63)&gt;1,"错误:重复成本规则ID",IF(OR(B63="",C63="",E63="",F63="",K63="",O63&lt;=0,P63&lt;=0,Q63&lt;=0,R63&lt;=0,S63&lt;0,T63&lt;=0,Y63=""),"错误:必填项",IF(D63="","警告:SKU待映射","OK"))))</x:f>
        <x:v>OK</x:v>
      </x:c>
    </x:row>
    <x:row r="64" ht="66" customHeight="1">
      <x:c r="A64" s="2" t="str">
        <x:v>COST-PAIPU-R35-480-SEC-NOV</x:v>
      </x:c>
      <x:c r="B64" s="2" t="str">
        <x:v>CH-PAIPU</x:v>
      </x:c>
      <x:c r="C64" s="2" t="str">
        <x:v>lec-seedance-videos-stable-mini</x:v>
      </x:c>
      <x:c r="D64" s="2" t="str">
        <x:v>SKU-SD20-MINI-480</x:v>
      </x:c>
      <x:c r="E64" s="2" t="str">
        <x:v>no_video</x:v>
      </x:c>
      <x:c r="F64" s="2" t="str">
        <x:v>per_duration</x:v>
      </x:c>
      <x:c r="G64" s="2"/>
      <x:c r="H64" s="2" t="str">
        <x:v>validated_request</x:v>
      </x:c>
      <x:c r="I64" s="2" t="str">
        <x:v>billable_duration_seconds</x:v>
      </x:c>
      <x:c r="J64" s="2" t="str">
        <x:v>task_succeeded</x:v>
      </x:c>
      <x:c r="K64" s="2" t="str">
        <x:v>CNY</x:v>
      </x:c>
      <x:c r="L64" s="27"/>
      <x:c r="M64" s="27" t="n">
        <x:v>0.14</x:v>
      </x:c>
      <x:c r="N64" s="27"/>
      <x:c r="O64" s="26" t="n">
        <x:f t="shared" si="0">IF(F64="per_request",L64,IF(F64="per_duration",M64,IF(F64="per_token",N64,0)))</x:f>
        <x:v>0.14</x:v>
      </x:c>
      <x:c r="P64" s="27" t="n">
        <x:v>1</x:v>
      </x:c>
      <x:c r="Q64" s="27" t="n">
        <x:v>1</x:v>
      </x:c>
      <x:c r="R64" s="27" t="n">
        <x:v>1</x:v>
      </x:c>
      <x:c r="S64" s="27" t="n">
        <x:v>0</x:v>
      </x:c>
      <x:c r="T64" s="26" t="n">
        <x:f>IF(K64="USD",1,'参数'!$B$6)</x:f>
        <x:v>0.136986301369863</x:v>
      </x:c>
      <x:c r="U64" s="26" t="n">
        <x:f t="shared" si="1">O64*P64*Q64/R64*(1+S64)*T64</x:f>
        <x:v>0.019178082191780823</x:v>
      </x:c>
      <x:c r="V64" s="23" t="str">
        <x:f t="shared" si="2">IF(F64="per_request","USD/次",IF(F64="per_duration","USD/秒",IF(F64="per_token","USD/1M Token","")))</x:f>
        <x:v>USD/秒</x:v>
      </x:c>
      <x:c r="W64" s="20" t="n">
        <x:v>46229.393565162034</x:v>
      </x:c>
      <x:c r="X64" s="20"/>
      <x:c r="Y64" s="2" t="str">
        <x:v>active</x:v>
      </x:c>
      <x:c r="Z64" s="2" t="str">
        <x:v>SRC-CH-02</x:v>
      </x:c>
      <x:c r="AA64" s="7" t="str">
        <x:v>源行=sd!35；原模型=lec-seedance-videos-stable-mini；时长=4-15；比例=9:16, 16:9, 1:1；视频输入=是；真人脸=是；超分=否；素材库=否；NSFW=否；协议=自有；素材限制=431；原表折扣 秒 无V=0.606（成本/官价参考比，不参与成本二次计算）</x:v>
      </x:c>
      <x:c r="AB64" s="23" t="str">
        <x:f t="shared" si="3">IF(A64="","",IF(COUNTIF($A$5:$A$1004,A64)&gt;1,"错误:重复成本规则ID",IF(OR(B64="",C64="",E64="",F64="",K64="",O64&lt;=0,P64&lt;=0,Q64&lt;=0,R64&lt;=0,S64&lt;0,T64&lt;=0,Y64=""),"错误:必填项",IF(D64="","警告:SKU待映射","OK"))))</x:f>
        <x:v>OK</x:v>
      </x:c>
    </x:row>
    <x:row r="65" ht="66" customHeight="1">
      <x:c r="A65" s="2" t="str">
        <x:v>COST-PAIPU-R35-480-SEC-VID</x:v>
      </x:c>
      <x:c r="B65" s="2" t="str">
        <x:v>CH-PAIPU</x:v>
      </x:c>
      <x:c r="C65" s="2" t="str">
        <x:v>lec-seedance-videos-stable-mini</x:v>
      </x:c>
      <x:c r="D65" s="2" t="str">
        <x:v>SKU-SD20-MINI-480</x:v>
      </x:c>
      <x:c r="E65" s="2" t="str">
        <x:v>with_video</x:v>
      </x:c>
      <x:c r="F65" s="2" t="str">
        <x:v>per_duration</x:v>
      </x:c>
      <x:c r="G65" s="2"/>
      <x:c r="H65" s="2" t="str">
        <x:v>validated_request</x:v>
      </x:c>
      <x:c r="I65" s="2" t="str">
        <x:v>billable_duration_seconds</x:v>
      </x:c>
      <x:c r="J65" s="2" t="str">
        <x:v>task_succeeded</x:v>
      </x:c>
      <x:c r="K65" s="2" t="str">
        <x:v>CNY</x:v>
      </x:c>
      <x:c r="L65" s="27"/>
      <x:c r="M65" s="27" t="n">
        <x:v>0.14</x:v>
      </x:c>
      <x:c r="N65" s="27"/>
      <x:c r="O65" s="26" t="n">
        <x:f t="shared" si="0">IF(F65="per_request",L65,IF(F65="per_duration",M65,IF(F65="per_token",N65,0)))</x:f>
        <x:v>0.14</x:v>
      </x:c>
      <x:c r="P65" s="27" t="n">
        <x:v>1</x:v>
      </x:c>
      <x:c r="Q65" s="27" t="n">
        <x:v>1</x:v>
      </x:c>
      <x:c r="R65" s="27" t="n">
        <x:v>1</x:v>
      </x:c>
      <x:c r="S65" s="27" t="n">
        <x:v>0</x:v>
      </x:c>
      <x:c r="T65" s="26" t="n">
        <x:f>IF(K65="USD",1,'参数'!$B$6)</x:f>
        <x:v>0.136986301369863</x:v>
      </x:c>
      <x:c r="U65" s="26" t="n">
        <x:f t="shared" si="1">O65*P65*Q65/R65*(1+S65)*T65</x:f>
        <x:v>0.019178082191780823</x:v>
      </x:c>
      <x:c r="V65" s="23" t="str">
        <x:f t="shared" si="2">IF(F65="per_request","USD/次",IF(F65="per_duration","USD/秒",IF(F65="per_token","USD/1M Token","")))</x:f>
        <x:v>USD/秒</x:v>
      </x:c>
      <x:c r="W65" s="20" t="n">
        <x:v>46229.393565162034</x:v>
      </x:c>
      <x:c r="X65" s="20"/>
      <x:c r="Y65" s="2" t="str">
        <x:v>active</x:v>
      </x:c>
      <x:c r="Z65" s="2" t="str">
        <x:v>SRC-CH-02</x:v>
      </x:c>
      <x:c r="AA65" s="7" t="str">
        <x:v>源行=sd!35；原模型=lec-seedance-videos-stable-mini；时长=4-15；比例=9:16, 16:9, 1:1；视频输入=是；真人脸=是；超分=否；素材库=否；NSFW=否；协议=自有；素材限制=431；原表折扣 秒 含V=0.993（成本/官价参考比，不参与成本二次计算）</x:v>
      </x:c>
      <x:c r="AB65" s="23" t="str">
        <x:f t="shared" si="3">IF(A65="","",IF(COUNTIF($A$5:$A$1004,A65)&gt;1,"错误:重复成本规则ID",IF(OR(B65="",C65="",E65="",F65="",K65="",O65&lt;=0,P65&lt;=0,Q65&lt;=0,R65&lt;=0,S65&lt;0,T65&lt;=0,Y65=""),"错误:必填项",IF(D65="","警告:SKU待映射","OK"))))</x:f>
        <x:v>OK</x:v>
      </x:c>
    </x:row>
    <x:row r="66" ht="66" customHeight="1">
      <x:c r="A66" s="2" t="str">
        <x:v>COST-PAIPU-R36-720-SEC-NOV</x:v>
      </x:c>
      <x:c r="B66" s="2" t="str">
        <x:v>CH-PAIPU</x:v>
      </x:c>
      <x:c r="C66" s="2" t="str">
        <x:v>lec-seedance-videos-stable-mini</x:v>
      </x:c>
      <x:c r="D66" s="2" t="str">
        <x:v>SKU-SD20-MINI-720</x:v>
      </x:c>
      <x:c r="E66" s="2" t="str">
        <x:v>no_video</x:v>
      </x:c>
      <x:c r="F66" s="2" t="str">
        <x:v>per_duration</x:v>
      </x:c>
      <x:c r="G66" s="2"/>
      <x:c r="H66" s="2" t="str">
        <x:v>validated_request</x:v>
      </x:c>
      <x:c r="I66" s="2" t="str">
        <x:v>billable_duration_seconds</x:v>
      </x:c>
      <x:c r="J66" s="2" t="str">
        <x:v>task_succeeded</x:v>
      </x:c>
      <x:c r="K66" s="2" t="str">
        <x:v>CNY</x:v>
      </x:c>
      <x:c r="L66" s="27"/>
      <x:c r="M66" s="27" t="n">
        <x:v>0.2</x:v>
      </x:c>
      <x:c r="N66" s="27"/>
      <x:c r="O66" s="26" t="n">
        <x:f t="shared" si="0">IF(F66="per_request",L66,IF(F66="per_duration",M66,IF(F66="per_token",N66,0)))</x:f>
        <x:v>0.2</x:v>
      </x:c>
      <x:c r="P66" s="27" t="n">
        <x:v>1</x:v>
      </x:c>
      <x:c r="Q66" s="27" t="n">
        <x:v>1</x:v>
      </x:c>
      <x:c r="R66" s="27" t="n">
        <x:v>1</x:v>
      </x:c>
      <x:c r="S66" s="27" t="n">
        <x:v>0</x:v>
      </x:c>
      <x:c r="T66" s="26" t="n">
        <x:f>IF(K66="USD",1,'参数'!$B$6)</x:f>
        <x:v>0.136986301369863</x:v>
      </x:c>
      <x:c r="U66" s="26" t="n">
        <x:f t="shared" si="1">O66*P66*Q66/R66*(1+S66)*T66</x:f>
        <x:v>0.0273972602739726</x:v>
      </x:c>
      <x:c r="V66" s="23" t="str">
        <x:f t="shared" si="2">IF(F66="per_request","USD/次",IF(F66="per_duration","USD/秒",IF(F66="per_token","USD/1M Token","")))</x:f>
        <x:v>USD/秒</x:v>
      </x:c>
      <x:c r="W66" s="20" t="n">
        <x:v>46229.393565162034</x:v>
      </x:c>
      <x:c r="X66" s="20"/>
      <x:c r="Y66" s="2" t="str">
        <x:v>active</x:v>
      </x:c>
      <x:c r="Z66" s="2" t="str">
        <x:v>SRC-CH-02</x:v>
      </x:c>
      <x:c r="AA66" s="7" t="str">
        <x:v>源行=sd!36；原模型=lec-seedance-videos-stable-mini；时长=4-15；比例=9:16, 16:9, 1:1；视频输入=是；真人脸=是；超分=否；素材库=否；NSFW=否；协议=自有；素材限制=431；原表折扣 秒 无V=0.402（成本/官价参考比，不参与成本二次计算）</x:v>
      </x:c>
      <x:c r="AB66" s="23" t="str">
        <x:f t="shared" si="3">IF(A66="","",IF(COUNTIF($A$5:$A$1004,A66)&gt;1,"错误:重复成本规则ID",IF(OR(B66="",C66="",E66="",F66="",K66="",O66&lt;=0,P66&lt;=0,Q66&lt;=0,R66&lt;=0,S66&lt;0,T66&lt;=0,Y66=""),"错误:必填项",IF(D66="","警告:SKU待映射","OK"))))</x:f>
        <x:v>OK</x:v>
      </x:c>
    </x:row>
    <x:row r="67" ht="66" customHeight="1">
      <x:c r="A67" s="2" t="str">
        <x:v>COST-PAIPU-R36-720-SEC-VID</x:v>
      </x:c>
      <x:c r="B67" s="2" t="str">
        <x:v>CH-PAIPU</x:v>
      </x:c>
      <x:c r="C67" s="2" t="str">
        <x:v>lec-seedance-videos-stable-mini</x:v>
      </x:c>
      <x:c r="D67" s="2" t="str">
        <x:v>SKU-SD20-MINI-720</x:v>
      </x:c>
      <x:c r="E67" s="2" t="str">
        <x:v>with_video</x:v>
      </x:c>
      <x:c r="F67" s="2" t="str">
        <x:v>per_duration</x:v>
      </x:c>
      <x:c r="G67" s="2"/>
      <x:c r="H67" s="2" t="str">
        <x:v>validated_request</x:v>
      </x:c>
      <x:c r="I67" s="2" t="str">
        <x:v>billable_duration_seconds</x:v>
      </x:c>
      <x:c r="J67" s="2" t="str">
        <x:v>task_succeeded</x:v>
      </x:c>
      <x:c r="K67" s="2" t="str">
        <x:v>CNY</x:v>
      </x:c>
      <x:c r="L67" s="27"/>
      <x:c r="M67" s="27" t="n">
        <x:v>0.2</x:v>
      </x:c>
      <x:c r="N67" s="27"/>
      <x:c r="O67" s="26" t="n">
        <x:f t="shared" si="0">IF(F67="per_request",L67,IF(F67="per_duration",M67,IF(F67="per_token",N67,0)))</x:f>
        <x:v>0.2</x:v>
      </x:c>
      <x:c r="P67" s="27" t="n">
        <x:v>1</x:v>
      </x:c>
      <x:c r="Q67" s="27" t="n">
        <x:v>1</x:v>
      </x:c>
      <x:c r="R67" s="27" t="n">
        <x:v>1</x:v>
      </x:c>
      <x:c r="S67" s="27" t="n">
        <x:v>0</x:v>
      </x:c>
      <x:c r="T67" s="26" t="n">
        <x:f>IF(K67="USD",1,'参数'!$B$6)</x:f>
        <x:v>0.136986301369863</x:v>
      </x:c>
      <x:c r="U67" s="26" t="n">
        <x:f t="shared" si="1">O67*P67*Q67/R67*(1+S67)*T67</x:f>
        <x:v>0.0273972602739726</x:v>
      </x:c>
      <x:c r="V67" s="23" t="str">
        <x:f t="shared" si="2">IF(F67="per_request","USD/次",IF(F67="per_duration","USD/秒",IF(F67="per_token","USD/1M Token","")))</x:f>
        <x:v>USD/秒</x:v>
      </x:c>
      <x:c r="W67" s="20" t="n">
        <x:v>46229.393565162034</x:v>
      </x:c>
      <x:c r="X67" s="20"/>
      <x:c r="Y67" s="2" t="str">
        <x:v>active</x:v>
      </x:c>
      <x:c r="Z67" s="2" t="str">
        <x:v>SRC-CH-02</x:v>
      </x:c>
      <x:c r="AA67" s="7" t="str">
        <x:v>源行=sd!36；原模型=lec-seedance-videos-stable-mini；时长=4-15；比例=9:16, 16:9, 1:1；视频输入=是；真人脸=是；超分=否；素材库=否；NSFW=否；协议=自有；素材限制=431；原表折扣 秒 含V=0.662（成本/官价参考比，不参与成本二次计算）</x:v>
      </x:c>
      <x:c r="AB67" s="23" t="str">
        <x:f t="shared" si="3">IF(A67="","",IF(COUNTIF($A$5:$A$1004,A67)&gt;1,"错误:重复成本规则ID",IF(OR(B67="",C67="",E67="",F67="",K67="",O67&lt;=0,P67&lt;=0,Q67&lt;=0,R67&lt;=0,S67&lt;0,T67&lt;=0,Y67=""),"错误:必填项",IF(D67="","警告:SKU待映射","OK"))))</x:f>
        <x:v>OK</x:v>
      </x:c>
    </x:row>
    <x:row r="68" ht="52.79999923706055" customHeight="1">
      <x:c r="A68" s="2" t="str">
        <x:v>COST-PAIPU-R37-720-REQ-NOV</x:v>
      </x:c>
      <x:c r="B68" s="2" t="str">
        <x:v>CH-PAIPU</x:v>
      </x:c>
      <x:c r="C68" s="2" t="str">
        <x:v>lec-seedance-videos-stable-720p</x:v>
      </x:c>
      <x:c r="D68" s="2" t="str">
        <x:v>SKU-SD20-STD-720</x:v>
      </x:c>
      <x:c r="E68" s="2" t="str">
        <x:v>no_video</x:v>
      </x:c>
      <x:c r="F68" s="2" t="str">
        <x:v>per_request</x:v>
      </x:c>
      <x:c r="G68" s="2"/>
      <x:c r="H68" s="2" t="str">
        <x:v>validated_request</x:v>
      </x:c>
      <x:c r="I68" s="2" t="str">
        <x:v>request_count</x:v>
      </x:c>
      <x:c r="J68" s="2" t="str">
        <x:v>task_succeeded</x:v>
      </x:c>
      <x:c r="K68" s="2" t="str">
        <x:v>CNY</x:v>
      </x:c>
      <x:c r="L68" s="27" t="n">
        <x:v>5.5</x:v>
      </x:c>
      <x:c r="M68" s="27"/>
      <x:c r="N68" s="27"/>
      <x:c r="O68" s="26" t="n">
        <x:f t="shared" si="0">IF(F68="per_request",L68,IF(F68="per_duration",M68,IF(F68="per_token",N68,0)))</x:f>
        <x:v>5.5</x:v>
      </x:c>
      <x:c r="P68" s="27" t="n">
        <x:v>1</x:v>
      </x:c>
      <x:c r="Q68" s="27" t="n">
        <x:v>1</x:v>
      </x:c>
      <x:c r="R68" s="27" t="n">
        <x:v>1</x:v>
      </x:c>
      <x:c r="S68" s="27" t="n">
        <x:v>0</x:v>
      </x:c>
      <x:c r="T68" s="26" t="n">
        <x:f>IF(K68="USD",1,'参数'!$B$6)</x:f>
        <x:v>0.136986301369863</x:v>
      </x:c>
      <x:c r="U68" s="26" t="n">
        <x:f t="shared" si="1">O68*P68*Q68/R68*(1+S68)*T68</x:f>
        <x:v>0.7534246575342465</x:v>
      </x:c>
      <x:c r="V68" s="23" t="str">
        <x:f t="shared" si="2">IF(F68="per_request","USD/次",IF(F68="per_duration","USD/秒",IF(F68="per_token","USD/1M Token","")))</x:f>
        <x:v>USD/次</x:v>
      </x:c>
      <x:c r="W68" s="20" t="n">
        <x:v>46229.393565162034</x:v>
      </x:c>
      <x:c r="X68" s="20"/>
      <x:c r="Y68" s="2" t="str">
        <x:v>invalid</x:v>
      </x:c>
      <x:c r="Z68" s="2" t="str">
        <x:v>SRC-CH-02</x:v>
      </x:c>
      <x:c r="AA68" s="7" t="str">
        <x:v>源行=sd!37；原模型=lec-seedance-videos-stable-720p；时长=4-15；比例=9:16, 16:9, 1:1；视频输入=是；真人脸=是；超分=否；素材库=否；NSFW=否；协议=自有；素材限制=933；原表状态=异常，已导入为invalid</x:v>
      </x:c>
      <x:c r="AB68" s="23" t="str">
        <x:f t="shared" si="3">IF(A68="","",IF(COUNTIF($A$5:$A$1004,A68)&gt;1,"错误:重复成本规则ID",IF(OR(B68="",C68="",E68="",F68="",K68="",O68&lt;=0,P68&lt;=0,Q68&lt;=0,R68&lt;=0,S68&lt;0,T68&lt;=0,Y68=""),"错误:必填项",IF(D68="","警告:SKU待映射","OK"))))</x:f>
        <x:v>OK</x:v>
      </x:c>
    </x:row>
    <x:row r="69" ht="52.79999923706055" customHeight="1">
      <x:c r="A69" s="2" t="str">
        <x:v>COST-PAIPU-R37-720-REQ-VID</x:v>
      </x:c>
      <x:c r="B69" s="2" t="str">
        <x:v>CH-PAIPU</x:v>
      </x:c>
      <x:c r="C69" s="2" t="str">
        <x:v>lec-seedance-videos-stable-720p</x:v>
      </x:c>
      <x:c r="D69" s="2" t="str">
        <x:v>SKU-SD20-STD-720</x:v>
      </x:c>
      <x:c r="E69" s="2" t="str">
        <x:v>with_video</x:v>
      </x:c>
      <x:c r="F69" s="2" t="str">
        <x:v>per_request</x:v>
      </x:c>
      <x:c r="G69" s="2"/>
      <x:c r="H69" s="2" t="str">
        <x:v>validated_request</x:v>
      </x:c>
      <x:c r="I69" s="2" t="str">
        <x:v>request_count</x:v>
      </x:c>
      <x:c r="J69" s="2" t="str">
        <x:v>task_succeeded</x:v>
      </x:c>
      <x:c r="K69" s="2" t="str">
        <x:v>CNY</x:v>
      </x:c>
      <x:c r="L69" s="27" t="n">
        <x:v>5.5</x:v>
      </x:c>
      <x:c r="M69" s="27"/>
      <x:c r="N69" s="27"/>
      <x:c r="O69" s="26" t="n">
        <x:f t="shared" ref="O69:O132" si="4">IF(F69="per_request",L69,IF(F69="per_duration",M69,IF(F69="per_token",N69,0)))</x:f>
        <x:v>5.5</x:v>
      </x:c>
      <x:c r="P69" s="27" t="n">
        <x:v>1</x:v>
      </x:c>
      <x:c r="Q69" s="27" t="n">
        <x:v>1</x:v>
      </x:c>
      <x:c r="R69" s="27" t="n">
        <x:v>1</x:v>
      </x:c>
      <x:c r="S69" s="27" t="n">
        <x:v>0</x:v>
      </x:c>
      <x:c r="T69" s="26" t="n">
        <x:f>IF(K69="USD",1,'参数'!$B$6)</x:f>
        <x:v>0.136986301369863</x:v>
      </x:c>
      <x:c r="U69" s="26" t="n">
        <x:f t="shared" ref="U69:U132" si="5">O69*P69*Q69/R69*(1+S69)*T69</x:f>
        <x:v>0.7534246575342465</x:v>
      </x:c>
      <x:c r="V69" s="23" t="str">
        <x:f t="shared" ref="V69:V132" si="6">IF(F69="per_request","USD/次",IF(F69="per_duration","USD/秒",IF(F69="per_token","USD/1M Token","")))</x:f>
        <x:v>USD/次</x:v>
      </x:c>
      <x:c r="W69" s="20" t="n">
        <x:v>46229.393565162034</x:v>
      </x:c>
      <x:c r="X69" s="20"/>
      <x:c r="Y69" s="2" t="str">
        <x:v>invalid</x:v>
      </x:c>
      <x:c r="Z69" s="2" t="str">
        <x:v>SRC-CH-02</x:v>
      </x:c>
      <x:c r="AA69" s="7" t="str">
        <x:v>源行=sd!37；原模型=lec-seedance-videos-stable-720p；时长=4-15；比例=9:16, 16:9, 1:1；视频输入=是；真人脸=是；超分=否；素材库=否；NSFW=否；协议=自有；素材限制=933；原表状态=异常，已导入为invalid</x:v>
      </x:c>
      <x:c r="AB69" s="23" t="str">
        <x:f t="shared" ref="AB69:AB132" si="7">IF(A69="","",IF(COUNTIF($A$5:$A$1004,A69)&gt;1,"错误:重复成本规则ID",IF(OR(B69="",C69="",E69="",F69="",K69="",O69&lt;=0,P69&lt;=0,Q69&lt;=0,R69&lt;=0,S69&lt;0,T69&lt;=0,Y69=""),"错误:必填项",IF(D69="","警告:SKU待映射","OK"))))</x:f>
        <x:v>OK</x:v>
      </x:c>
    </x:row>
    <x:row r="70" ht="52.79999923706055" customHeight="1">
      <x:c r="A70" s="2" t="str">
        <x:v>COST-PAIPU-R38-720-REQ-NOV</x:v>
      </x:c>
      <x:c r="B70" s="2" t="str">
        <x:v>CH-PAIPU</x:v>
      </x:c>
      <x:c r="C70" s="2" t="str">
        <x:v>lec-seedance-videos-fast-720p</x:v>
      </x:c>
      <x:c r="D70" s="2" t="str">
        <x:v>SKU-SD20-FAST-720</x:v>
      </x:c>
      <x:c r="E70" s="2" t="str">
        <x:v>no_video</x:v>
      </x:c>
      <x:c r="F70" s="2" t="str">
        <x:v>per_request</x:v>
      </x:c>
      <x:c r="G70" s="2"/>
      <x:c r="H70" s="2" t="str">
        <x:v>validated_request</x:v>
      </x:c>
      <x:c r="I70" s="2" t="str">
        <x:v>request_count</x:v>
      </x:c>
      <x:c r="J70" s="2" t="str">
        <x:v>task_succeeded</x:v>
      </x:c>
      <x:c r="K70" s="2" t="str">
        <x:v>CNY</x:v>
      </x:c>
      <x:c r="L70" s="27" t="n">
        <x:v>3.5</x:v>
      </x:c>
      <x:c r="M70" s="27"/>
      <x:c r="N70" s="27"/>
      <x:c r="O70" s="26" t="n">
        <x:f t="shared" si="4">IF(F70="per_request",L70,IF(F70="per_duration",M70,IF(F70="per_token",N70,0)))</x:f>
        <x:v>3.5</x:v>
      </x:c>
      <x:c r="P70" s="27" t="n">
        <x:v>1</x:v>
      </x:c>
      <x:c r="Q70" s="27" t="n">
        <x:v>1</x:v>
      </x:c>
      <x:c r="R70" s="27" t="n">
        <x:v>1</x:v>
      </x:c>
      <x:c r="S70" s="27" t="n">
        <x:v>0</x:v>
      </x:c>
      <x:c r="T70" s="26" t="n">
        <x:f>IF(K70="USD",1,'参数'!$B$6)</x:f>
        <x:v>0.136986301369863</x:v>
      </x:c>
      <x:c r="U70" s="26" t="n">
        <x:f t="shared" si="5">O70*P70*Q70/R70*(1+S70)*T70</x:f>
        <x:v>0.4794520547945205</x:v>
      </x:c>
      <x:c r="V70" s="23" t="str">
        <x:f t="shared" si="6">IF(F70="per_request","USD/次",IF(F70="per_duration","USD/秒",IF(F70="per_token","USD/1M Token","")))</x:f>
        <x:v>USD/次</x:v>
      </x:c>
      <x:c r="W70" s="20" t="n">
        <x:v>46229.393565162034</x:v>
      </x:c>
      <x:c r="X70" s="20"/>
      <x:c r="Y70" s="2" t="str">
        <x:v>invalid</x:v>
      </x:c>
      <x:c r="Z70" s="2" t="str">
        <x:v>SRC-CH-02</x:v>
      </x:c>
      <x:c r="AA70" s="7" t="str">
        <x:v>源行=sd!38；原模型=lec-seedance-videos-fast-720p；时长=4-15；比例=9:16, 16:9, 1:1；视频输入=是；真人脸=是；超分=否；素材库=否；NSFW=否；协议=自有；素材限制=933；原表状态=异常，已导入为invalid</x:v>
      </x:c>
      <x:c r="AB70" s="23" t="str">
        <x:f t="shared" si="7">IF(A70="","",IF(COUNTIF($A$5:$A$1004,A70)&gt;1,"错误:重复成本规则ID",IF(OR(B70="",C70="",E70="",F70="",K70="",O70&lt;=0,P70&lt;=0,Q70&lt;=0,R70&lt;=0,S70&lt;0,T70&lt;=0,Y70=""),"错误:必填项",IF(D70="","警告:SKU待映射","OK"))))</x:f>
        <x:v>OK</x:v>
      </x:c>
    </x:row>
    <x:row r="71" ht="52.79999923706055" customHeight="1">
      <x:c r="A71" s="2" t="str">
        <x:v>COST-PAIPU-R38-720-REQ-VID</x:v>
      </x:c>
      <x:c r="B71" s="2" t="str">
        <x:v>CH-PAIPU</x:v>
      </x:c>
      <x:c r="C71" s="2" t="str">
        <x:v>lec-seedance-videos-fast-720p</x:v>
      </x:c>
      <x:c r="D71" s="2" t="str">
        <x:v>SKU-SD20-FAST-720</x:v>
      </x:c>
      <x:c r="E71" s="2" t="str">
        <x:v>with_video</x:v>
      </x:c>
      <x:c r="F71" s="2" t="str">
        <x:v>per_request</x:v>
      </x:c>
      <x:c r="G71" s="2"/>
      <x:c r="H71" s="2" t="str">
        <x:v>validated_request</x:v>
      </x:c>
      <x:c r="I71" s="2" t="str">
        <x:v>request_count</x:v>
      </x:c>
      <x:c r="J71" s="2" t="str">
        <x:v>task_succeeded</x:v>
      </x:c>
      <x:c r="K71" s="2" t="str">
        <x:v>CNY</x:v>
      </x:c>
      <x:c r="L71" s="27" t="n">
        <x:v>3.5</x:v>
      </x:c>
      <x:c r="M71" s="27"/>
      <x:c r="N71" s="27"/>
      <x:c r="O71" s="26" t="n">
        <x:f t="shared" si="4">IF(F71="per_request",L71,IF(F71="per_duration",M71,IF(F71="per_token",N71,0)))</x:f>
        <x:v>3.5</x:v>
      </x:c>
      <x:c r="P71" s="27" t="n">
        <x:v>1</x:v>
      </x:c>
      <x:c r="Q71" s="27" t="n">
        <x:v>1</x:v>
      </x:c>
      <x:c r="R71" s="27" t="n">
        <x:v>1</x:v>
      </x:c>
      <x:c r="S71" s="27" t="n">
        <x:v>0</x:v>
      </x:c>
      <x:c r="T71" s="26" t="n">
        <x:f>IF(K71="USD",1,'参数'!$B$6)</x:f>
        <x:v>0.136986301369863</x:v>
      </x:c>
      <x:c r="U71" s="26" t="n">
        <x:f t="shared" si="5">O71*P71*Q71/R71*(1+S71)*T71</x:f>
        <x:v>0.4794520547945205</x:v>
      </x:c>
      <x:c r="V71" s="23" t="str">
        <x:f t="shared" si="6">IF(F71="per_request","USD/次",IF(F71="per_duration","USD/秒",IF(F71="per_token","USD/1M Token","")))</x:f>
        <x:v>USD/次</x:v>
      </x:c>
      <x:c r="W71" s="20" t="n">
        <x:v>46229.393565162034</x:v>
      </x:c>
      <x:c r="X71" s="20"/>
      <x:c r="Y71" s="2" t="str">
        <x:v>invalid</x:v>
      </x:c>
      <x:c r="Z71" s="2" t="str">
        <x:v>SRC-CH-02</x:v>
      </x:c>
      <x:c r="AA71" s="7" t="str">
        <x:v>源行=sd!38；原模型=lec-seedance-videos-fast-720p；时长=4-15；比例=9:16, 16:9, 1:1；视频输入=是；真人脸=是；超分=否；素材库=否；NSFW=否；协议=自有；素材限制=933；原表状态=异常，已导入为invalid</x:v>
      </x:c>
      <x:c r="AB71" s="23" t="str">
        <x:f t="shared" si="7">IF(A71="","",IF(COUNTIF($A$5:$A$1004,A71)&gt;1,"错误:重复成本规则ID",IF(OR(B71="",C71="",E71="",F71="",K71="",O71&lt;=0,P71&lt;=0,Q71&lt;=0,R71&lt;=0,S71&lt;0,T71&lt;=0,Y71=""),"错误:必填项",IF(D71="","警告:SKU待映射","OK"))))</x:f>
        <x:v>OK</x:v>
      </x:c>
    </x:row>
    <x:row r="72" ht="52.79999923706055" customHeight="1">
      <x:c r="A72" s="2" t="str">
        <x:v>COST-PAIPU-R39-720-REQ-NOV</x:v>
      </x:c>
      <x:c r="B72" s="2" t="str">
        <x:v>CH-PAIPU</x:v>
      </x:c>
      <x:c r="C72" s="2" t="str">
        <x:v>lec-seedance-videos-mini-720p</x:v>
      </x:c>
      <x:c r="D72" s="2" t="str">
        <x:v>SKU-SD20-MINI-720</x:v>
      </x:c>
      <x:c r="E72" s="2" t="str">
        <x:v>no_video</x:v>
      </x:c>
      <x:c r="F72" s="2" t="str">
        <x:v>per_request</x:v>
      </x:c>
      <x:c r="G72" s="2"/>
      <x:c r="H72" s="2" t="str">
        <x:v>validated_request</x:v>
      </x:c>
      <x:c r="I72" s="2" t="str">
        <x:v>request_count</x:v>
      </x:c>
      <x:c r="J72" s="2" t="str">
        <x:v>task_succeeded</x:v>
      </x:c>
      <x:c r="K72" s="2" t="str">
        <x:v>CNY</x:v>
      </x:c>
      <x:c r="L72" s="27" t="n">
        <x:v>2.8</x:v>
      </x:c>
      <x:c r="M72" s="27"/>
      <x:c r="N72" s="27"/>
      <x:c r="O72" s="26" t="n">
        <x:f t="shared" si="4">IF(F72="per_request",L72,IF(F72="per_duration",M72,IF(F72="per_token",N72,0)))</x:f>
        <x:v>2.8</x:v>
      </x:c>
      <x:c r="P72" s="27" t="n">
        <x:v>1</x:v>
      </x:c>
      <x:c r="Q72" s="27" t="n">
        <x:v>1</x:v>
      </x:c>
      <x:c r="R72" s="27" t="n">
        <x:v>1</x:v>
      </x:c>
      <x:c r="S72" s="27" t="n">
        <x:v>0</x:v>
      </x:c>
      <x:c r="T72" s="26" t="n">
        <x:f>IF(K72="USD",1,'参数'!$B$6)</x:f>
        <x:v>0.136986301369863</x:v>
      </x:c>
      <x:c r="U72" s="26" t="n">
        <x:f t="shared" si="5">O72*P72*Q72/R72*(1+S72)*T72</x:f>
        <x:v>0.3835616438356164</x:v>
      </x:c>
      <x:c r="V72" s="23" t="str">
        <x:f t="shared" si="6">IF(F72="per_request","USD/次",IF(F72="per_duration","USD/秒",IF(F72="per_token","USD/1M Token","")))</x:f>
        <x:v>USD/次</x:v>
      </x:c>
      <x:c r="W72" s="20" t="n">
        <x:v>46229.393565162034</x:v>
      </x:c>
      <x:c r="X72" s="20"/>
      <x:c r="Y72" s="2" t="str">
        <x:v>invalid</x:v>
      </x:c>
      <x:c r="Z72" s="2" t="str">
        <x:v>SRC-CH-02</x:v>
      </x:c>
      <x:c r="AA72" s="7" t="str">
        <x:v>源行=sd!39；原模型=lec-seedance-videos-mini-720p；时长=4-15；比例=9:16, 16:9, 1:1；视频输入=是；真人脸=是；超分=否；素材库=否；NSFW=否；协议=自有；素材限制=933；原表状态=异常，已导入为invalid</x:v>
      </x:c>
      <x:c r="AB72" s="23" t="str">
        <x:f t="shared" si="7">IF(A72="","",IF(COUNTIF($A$5:$A$1004,A72)&gt;1,"错误:重复成本规则ID",IF(OR(B72="",C72="",E72="",F72="",K72="",O72&lt;=0,P72&lt;=0,Q72&lt;=0,R72&lt;=0,S72&lt;0,T72&lt;=0,Y72=""),"错误:必填项",IF(D72="","警告:SKU待映射","OK"))))</x:f>
        <x:v>OK</x:v>
      </x:c>
    </x:row>
    <x:row r="73" ht="52.79999923706055" customHeight="1">
      <x:c r="A73" s="2" t="str">
        <x:v>COST-PAIPU-R39-720-REQ-VID</x:v>
      </x:c>
      <x:c r="B73" s="2" t="str">
        <x:v>CH-PAIPU</x:v>
      </x:c>
      <x:c r="C73" s="2" t="str">
        <x:v>lec-seedance-videos-mini-720p</x:v>
      </x:c>
      <x:c r="D73" s="2" t="str">
        <x:v>SKU-SD20-MINI-720</x:v>
      </x:c>
      <x:c r="E73" s="2" t="str">
        <x:v>with_video</x:v>
      </x:c>
      <x:c r="F73" s="2" t="str">
        <x:v>per_request</x:v>
      </x:c>
      <x:c r="G73" s="2"/>
      <x:c r="H73" s="2" t="str">
        <x:v>validated_request</x:v>
      </x:c>
      <x:c r="I73" s="2" t="str">
        <x:v>request_count</x:v>
      </x:c>
      <x:c r="J73" s="2" t="str">
        <x:v>task_succeeded</x:v>
      </x:c>
      <x:c r="K73" s="2" t="str">
        <x:v>CNY</x:v>
      </x:c>
      <x:c r="L73" s="27" t="n">
        <x:v>2.8</x:v>
      </x:c>
      <x:c r="M73" s="27"/>
      <x:c r="N73" s="27"/>
      <x:c r="O73" s="26" t="n">
        <x:f t="shared" si="4">IF(F73="per_request",L73,IF(F73="per_duration",M73,IF(F73="per_token",N73,0)))</x:f>
        <x:v>2.8</x:v>
      </x:c>
      <x:c r="P73" s="27" t="n">
        <x:v>1</x:v>
      </x:c>
      <x:c r="Q73" s="27" t="n">
        <x:v>1</x:v>
      </x:c>
      <x:c r="R73" s="27" t="n">
        <x:v>1</x:v>
      </x:c>
      <x:c r="S73" s="27" t="n">
        <x:v>0</x:v>
      </x:c>
      <x:c r="T73" s="26" t="n">
        <x:f>IF(K73="USD",1,'参数'!$B$6)</x:f>
        <x:v>0.136986301369863</x:v>
      </x:c>
      <x:c r="U73" s="26" t="n">
        <x:f t="shared" si="5">O73*P73*Q73/R73*(1+S73)*T73</x:f>
        <x:v>0.3835616438356164</x:v>
      </x:c>
      <x:c r="V73" s="23" t="str">
        <x:f t="shared" si="6">IF(F73="per_request","USD/次",IF(F73="per_duration","USD/秒",IF(F73="per_token","USD/1M Token","")))</x:f>
        <x:v>USD/次</x:v>
      </x:c>
      <x:c r="W73" s="20" t="n">
        <x:v>46229.393565162034</x:v>
      </x:c>
      <x:c r="X73" s="20"/>
      <x:c r="Y73" s="2" t="str">
        <x:v>invalid</x:v>
      </x:c>
      <x:c r="Z73" s="2" t="str">
        <x:v>SRC-CH-02</x:v>
      </x:c>
      <x:c r="AA73" s="7" t="str">
        <x:v>源行=sd!39；原模型=lec-seedance-videos-mini-720p；时长=4-15；比例=9:16, 16:9, 1:1；视频输入=是；真人脸=是；超分=否；素材库=否；NSFW=否；协议=自有；素材限制=933；原表状态=异常，已导入为invalid</x:v>
      </x:c>
      <x:c r="AB73" s="23" t="str">
        <x:f t="shared" si="7">IF(A73="","",IF(COUNTIF($A$5:$A$1004,A73)&gt;1,"错误:重复成本规则ID",IF(OR(B73="",C73="",E73="",F73="",K73="",O73&lt;=0,P73&lt;=0,Q73&lt;=0,R73&lt;=0,S73&lt;0,T73&lt;=0,Y73=""),"错误:必填项",IF(D73="","警告:SKU待映射","OK"))))</x:f>
        <x:v>OK</x:v>
      </x:c>
    </x:row>
    <x:row r="74" ht="52.79999923706055" customHeight="1">
      <x:c r="A74" s="2" t="str">
        <x:v>COST-PAIPU-R40-480-REQ-NOV</x:v>
      </x:c>
      <x:c r="B74" s="2" t="str">
        <x:v>CH-PAIPU</x:v>
      </x:c>
      <x:c r="C74" s="2" t="str">
        <x:v>lec-seedance-videos-face-standard</x:v>
      </x:c>
      <x:c r="D74" s="2" t="str">
        <x:v>SKU-SD20-STD-480</x:v>
      </x:c>
      <x:c r="E74" s="2" t="str">
        <x:v>no_video</x:v>
      </x:c>
      <x:c r="F74" s="2" t="str">
        <x:v>per_request</x:v>
      </x:c>
      <x:c r="G74" s="2"/>
      <x:c r="H74" s="2" t="str">
        <x:v>validated_request</x:v>
      </x:c>
      <x:c r="I74" s="2" t="str">
        <x:v>request_count</x:v>
      </x:c>
      <x:c r="J74" s="2" t="str">
        <x:v>task_succeeded</x:v>
      </x:c>
      <x:c r="K74" s="2" t="str">
        <x:v>CNY</x:v>
      </x:c>
      <x:c r="L74" s="27" t="n">
        <x:v>3.5</x:v>
      </x:c>
      <x:c r="M74" s="27"/>
      <x:c r="N74" s="27"/>
      <x:c r="O74" s="26" t="n">
        <x:f t="shared" si="4">IF(F74="per_request",L74,IF(F74="per_duration",M74,IF(F74="per_token",N74,0)))</x:f>
        <x:v>3.5</x:v>
      </x:c>
      <x:c r="P74" s="27" t="n">
        <x:v>1</x:v>
      </x:c>
      <x:c r="Q74" s="27" t="n">
        <x:v>1</x:v>
      </x:c>
      <x:c r="R74" s="27" t="n">
        <x:v>1</x:v>
      </x:c>
      <x:c r="S74" s="27" t="n">
        <x:v>0</x:v>
      </x:c>
      <x:c r="T74" s="26" t="n">
        <x:f>IF(K74="USD",1,'参数'!$B$6)</x:f>
        <x:v>0.136986301369863</x:v>
      </x:c>
      <x:c r="U74" s="26" t="n">
        <x:f t="shared" si="5">O74*P74*Q74/R74*(1+S74)*T74</x:f>
        <x:v>0.4794520547945205</x:v>
      </x:c>
      <x:c r="V74" s="23" t="str">
        <x:f t="shared" si="6">IF(F74="per_request","USD/次",IF(F74="per_duration","USD/秒",IF(F74="per_token","USD/1M Token","")))</x:f>
        <x:v>USD/次</x:v>
      </x:c>
      <x:c r="W74" s="20" t="n">
        <x:v>46229.393565162034</x:v>
      </x:c>
      <x:c r="X74" s="20"/>
      <x:c r="Y74" s="2" t="str">
        <x:v>invalid</x:v>
      </x:c>
      <x:c r="Z74" s="2" t="str">
        <x:v>SRC-CH-02</x:v>
      </x:c>
      <x:c r="AA74" s="7" t="str">
        <x:v>源行=sd!40；原模型=lec-seedance-videos-face-standard；时长=4-15；比例=9:16, 16:9, 1:1；视频输入=是；真人脸=否；超分=否；素材库=否；NSFW=否；协议=自有；素材限制=933；原表状态=异常，已导入为invalid</x:v>
      </x:c>
      <x:c r="AB74" s="23" t="str">
        <x:f t="shared" si="7">IF(A74="","",IF(COUNTIF($A$5:$A$1004,A74)&gt;1,"错误:重复成本规则ID",IF(OR(B74="",C74="",E74="",F74="",K74="",O74&lt;=0,P74&lt;=0,Q74&lt;=0,R74&lt;=0,S74&lt;0,T74&lt;=0,Y74=""),"错误:必填项",IF(D74="","警告:SKU待映射","OK"))))</x:f>
        <x:v>OK</x:v>
      </x:c>
    </x:row>
    <x:row r="75" ht="52.79999923706055" customHeight="1">
      <x:c r="A75" s="2" t="str">
        <x:v>COST-PAIPU-R40-480-REQ-VID</x:v>
      </x:c>
      <x:c r="B75" s="2" t="str">
        <x:v>CH-PAIPU</x:v>
      </x:c>
      <x:c r="C75" s="2" t="str">
        <x:v>lec-seedance-videos-face-standard</x:v>
      </x:c>
      <x:c r="D75" s="2" t="str">
        <x:v>SKU-SD20-STD-480</x:v>
      </x:c>
      <x:c r="E75" s="2" t="str">
        <x:v>with_video</x:v>
      </x:c>
      <x:c r="F75" s="2" t="str">
        <x:v>per_request</x:v>
      </x:c>
      <x:c r="G75" s="2"/>
      <x:c r="H75" s="2" t="str">
        <x:v>validated_request</x:v>
      </x:c>
      <x:c r="I75" s="2" t="str">
        <x:v>request_count</x:v>
      </x:c>
      <x:c r="J75" s="2" t="str">
        <x:v>task_succeeded</x:v>
      </x:c>
      <x:c r="K75" s="2" t="str">
        <x:v>CNY</x:v>
      </x:c>
      <x:c r="L75" s="27" t="n">
        <x:v>3.5</x:v>
      </x:c>
      <x:c r="M75" s="27"/>
      <x:c r="N75" s="27"/>
      <x:c r="O75" s="26" t="n">
        <x:f t="shared" si="4">IF(F75="per_request",L75,IF(F75="per_duration",M75,IF(F75="per_token",N75,0)))</x:f>
        <x:v>3.5</x:v>
      </x:c>
      <x:c r="P75" s="27" t="n">
        <x:v>1</x:v>
      </x:c>
      <x:c r="Q75" s="27" t="n">
        <x:v>1</x:v>
      </x:c>
      <x:c r="R75" s="27" t="n">
        <x:v>1</x:v>
      </x:c>
      <x:c r="S75" s="27" t="n">
        <x:v>0</x:v>
      </x:c>
      <x:c r="T75" s="26" t="n">
        <x:f>IF(K75="USD",1,'参数'!$B$6)</x:f>
        <x:v>0.136986301369863</x:v>
      </x:c>
      <x:c r="U75" s="26" t="n">
        <x:f t="shared" si="5">O75*P75*Q75/R75*(1+S75)*T75</x:f>
        <x:v>0.4794520547945205</x:v>
      </x:c>
      <x:c r="V75" s="23" t="str">
        <x:f t="shared" si="6">IF(F75="per_request","USD/次",IF(F75="per_duration","USD/秒",IF(F75="per_token","USD/1M Token","")))</x:f>
        <x:v>USD/次</x:v>
      </x:c>
      <x:c r="W75" s="20" t="n">
        <x:v>46229.393565162034</x:v>
      </x:c>
      <x:c r="X75" s="20"/>
      <x:c r="Y75" s="2" t="str">
        <x:v>invalid</x:v>
      </x:c>
      <x:c r="Z75" s="2" t="str">
        <x:v>SRC-CH-02</x:v>
      </x:c>
      <x:c r="AA75" s="7" t="str">
        <x:v>源行=sd!40；原模型=lec-seedance-videos-face-standard；时长=4-15；比例=9:16, 16:9, 1:1；视频输入=是；真人脸=否；超分=否；素材库=否；NSFW=否；协议=自有；素材限制=933；原表状态=异常，已导入为invalid</x:v>
      </x:c>
      <x:c r="AB75" s="23" t="str">
        <x:f t="shared" si="7">IF(A75="","",IF(COUNTIF($A$5:$A$1004,A75)&gt;1,"错误:重复成本规则ID",IF(OR(B75="",C75="",E75="",F75="",K75="",O75&lt;=0,P75&lt;=0,Q75&lt;=0,R75&lt;=0,S75&lt;0,T75&lt;=0,Y75=""),"错误:必填项",IF(D75="","警告:SKU待映射","OK"))))</x:f>
        <x:v>OK</x:v>
      </x:c>
    </x:row>
    <x:row r="76" ht="52.79999923706055" customHeight="1">
      <x:c r="A76" s="2" t="str">
        <x:v>COST-PAIPU-R41-720-REQ-NOV</x:v>
      </x:c>
      <x:c r="B76" s="2" t="str">
        <x:v>CH-PAIPU</x:v>
      </x:c>
      <x:c r="C76" s="2" t="str">
        <x:v>lec-seedance-videos-face-standard</x:v>
      </x:c>
      <x:c r="D76" s="2" t="str">
        <x:v>SKU-SD20-STD-720</x:v>
      </x:c>
      <x:c r="E76" s="2" t="str">
        <x:v>no_video</x:v>
      </x:c>
      <x:c r="F76" s="2" t="str">
        <x:v>per_request</x:v>
      </x:c>
      <x:c r="G76" s="2"/>
      <x:c r="H76" s="2" t="str">
        <x:v>validated_request</x:v>
      </x:c>
      <x:c r="I76" s="2" t="str">
        <x:v>request_count</x:v>
      </x:c>
      <x:c r="J76" s="2" t="str">
        <x:v>task_succeeded</x:v>
      </x:c>
      <x:c r="K76" s="2" t="str">
        <x:v>CNY</x:v>
      </x:c>
      <x:c r="L76" s="27" t="n">
        <x:v>4.5</x:v>
      </x:c>
      <x:c r="M76" s="27"/>
      <x:c r="N76" s="27"/>
      <x:c r="O76" s="26" t="n">
        <x:f t="shared" si="4">IF(F76="per_request",L76,IF(F76="per_duration",M76,IF(F76="per_token",N76,0)))</x:f>
        <x:v>4.5</x:v>
      </x:c>
      <x:c r="P76" s="27" t="n">
        <x:v>1</x:v>
      </x:c>
      <x:c r="Q76" s="27" t="n">
        <x:v>1</x:v>
      </x:c>
      <x:c r="R76" s="27" t="n">
        <x:v>1</x:v>
      </x:c>
      <x:c r="S76" s="27" t="n">
        <x:v>0</x:v>
      </x:c>
      <x:c r="T76" s="26" t="n">
        <x:f>IF(K76="USD",1,'参数'!$B$6)</x:f>
        <x:v>0.136986301369863</x:v>
      </x:c>
      <x:c r="U76" s="26" t="n">
        <x:f t="shared" si="5">O76*P76*Q76/R76*(1+S76)*T76</x:f>
        <x:v>0.6164383561643836</x:v>
      </x:c>
      <x:c r="V76" s="23" t="str">
        <x:f t="shared" si="6">IF(F76="per_request","USD/次",IF(F76="per_duration","USD/秒",IF(F76="per_token","USD/1M Token","")))</x:f>
        <x:v>USD/次</x:v>
      </x:c>
      <x:c r="W76" s="20" t="n">
        <x:v>46229.393565162034</x:v>
      </x:c>
      <x:c r="X76" s="20"/>
      <x:c r="Y76" s="2" t="str">
        <x:v>invalid</x:v>
      </x:c>
      <x:c r="Z76" s="2" t="str">
        <x:v>SRC-CH-02</x:v>
      </x:c>
      <x:c r="AA76" s="7" t="str">
        <x:v>源行=sd!41；原模型=lec-seedance-videos-face-standard；时长=4-15；比例=9:16, 16:9, 1:1；视频输入=是；真人脸=否；超分=否；素材库=否；NSFW=否；协议=自有；素材限制=933；原表状态=异常，已导入为invalid</x:v>
      </x:c>
      <x:c r="AB76" s="23" t="str">
        <x:f t="shared" si="7">IF(A76="","",IF(COUNTIF($A$5:$A$1004,A76)&gt;1,"错误:重复成本规则ID",IF(OR(B76="",C76="",E76="",F76="",K76="",O76&lt;=0,P76&lt;=0,Q76&lt;=0,R76&lt;=0,S76&lt;0,T76&lt;=0,Y76=""),"错误:必填项",IF(D76="","警告:SKU待映射","OK"))))</x:f>
        <x:v>OK</x:v>
      </x:c>
    </x:row>
    <x:row r="77" ht="52.79999923706055" customHeight="1">
      <x:c r="A77" s="2" t="str">
        <x:v>COST-PAIPU-R41-720-REQ-VID</x:v>
      </x:c>
      <x:c r="B77" s="2" t="str">
        <x:v>CH-PAIPU</x:v>
      </x:c>
      <x:c r="C77" s="2" t="str">
        <x:v>lec-seedance-videos-face-standard</x:v>
      </x:c>
      <x:c r="D77" s="2" t="str">
        <x:v>SKU-SD20-STD-720</x:v>
      </x:c>
      <x:c r="E77" s="2" t="str">
        <x:v>with_video</x:v>
      </x:c>
      <x:c r="F77" s="2" t="str">
        <x:v>per_request</x:v>
      </x:c>
      <x:c r="G77" s="2"/>
      <x:c r="H77" s="2" t="str">
        <x:v>validated_request</x:v>
      </x:c>
      <x:c r="I77" s="2" t="str">
        <x:v>request_count</x:v>
      </x:c>
      <x:c r="J77" s="2" t="str">
        <x:v>task_succeeded</x:v>
      </x:c>
      <x:c r="K77" s="2" t="str">
        <x:v>CNY</x:v>
      </x:c>
      <x:c r="L77" s="27" t="n">
        <x:v>4.5</x:v>
      </x:c>
      <x:c r="M77" s="27"/>
      <x:c r="N77" s="27"/>
      <x:c r="O77" s="26" t="n">
        <x:f t="shared" si="4">IF(F77="per_request",L77,IF(F77="per_duration",M77,IF(F77="per_token",N77,0)))</x:f>
        <x:v>4.5</x:v>
      </x:c>
      <x:c r="P77" s="27" t="n">
        <x:v>1</x:v>
      </x:c>
      <x:c r="Q77" s="27" t="n">
        <x:v>1</x:v>
      </x:c>
      <x:c r="R77" s="27" t="n">
        <x:v>1</x:v>
      </x:c>
      <x:c r="S77" s="27" t="n">
        <x:v>0</x:v>
      </x:c>
      <x:c r="T77" s="26" t="n">
        <x:f>IF(K77="USD",1,'参数'!$B$6)</x:f>
        <x:v>0.136986301369863</x:v>
      </x:c>
      <x:c r="U77" s="26" t="n">
        <x:f t="shared" si="5">O77*P77*Q77/R77*(1+S77)*T77</x:f>
        <x:v>0.6164383561643836</x:v>
      </x:c>
      <x:c r="V77" s="23" t="str">
        <x:f t="shared" si="6">IF(F77="per_request","USD/次",IF(F77="per_duration","USD/秒",IF(F77="per_token","USD/1M Token","")))</x:f>
        <x:v>USD/次</x:v>
      </x:c>
      <x:c r="W77" s="20" t="n">
        <x:v>46229.393565162034</x:v>
      </x:c>
      <x:c r="X77" s="20"/>
      <x:c r="Y77" s="2" t="str">
        <x:v>invalid</x:v>
      </x:c>
      <x:c r="Z77" s="2" t="str">
        <x:v>SRC-CH-02</x:v>
      </x:c>
      <x:c r="AA77" s="7" t="str">
        <x:v>源行=sd!41；原模型=lec-seedance-videos-face-standard；时长=4-15；比例=9:16, 16:9, 1:1；视频输入=是；真人脸=否；超分=否；素材库=否；NSFW=否；协议=自有；素材限制=933；原表状态=异常，已导入为invalid</x:v>
      </x:c>
      <x:c r="AB77" s="23" t="str">
        <x:f t="shared" si="7">IF(A77="","",IF(COUNTIF($A$5:$A$1004,A77)&gt;1,"错误:重复成本规则ID",IF(OR(B77="",C77="",E77="",F77="",K77="",O77&lt;=0,P77&lt;=0,Q77&lt;=0,R77&lt;=0,S77&lt;0,T77&lt;=0,Y77=""),"错误:必填项",IF(D77="","警告:SKU待映射","OK"))))</x:f>
        <x:v>OK</x:v>
      </x:c>
    </x:row>
    <x:row r="78" ht="66" customHeight="1">
      <x:c r="A78" s="2" t="str">
        <x:v>COST-PAIPU-R42-1080-SEC-NOV</x:v>
      </x:c>
      <x:c r="B78" s="2" t="str">
        <x:v>CH-PAIPU</x:v>
      </x:c>
      <x:c r="C78" s="2" t="str">
        <x:v>lec-seedance-videos-face-standard</x:v>
      </x:c>
      <x:c r="D78" s="2" t="str">
        <x:v>SKU-SD20-STD-1080</x:v>
      </x:c>
      <x:c r="E78" s="2" t="str">
        <x:v>no_video</x:v>
      </x:c>
      <x:c r="F78" s="2" t="str">
        <x:v>per_duration</x:v>
      </x:c>
      <x:c r="G78" s="2"/>
      <x:c r="H78" s="2" t="str">
        <x:v>validated_request</x:v>
      </x:c>
      <x:c r="I78" s="2" t="str">
        <x:v>billable_duration_seconds</x:v>
      </x:c>
      <x:c r="J78" s="2" t="str">
        <x:v>task_succeeded</x:v>
      </x:c>
      <x:c r="K78" s="2" t="str">
        <x:v>CNY</x:v>
      </x:c>
      <x:c r="L78" s="27"/>
      <x:c r="M78" s="27" t="n">
        <x:v>0.52</x:v>
      </x:c>
      <x:c r="N78" s="27"/>
      <x:c r="O78" s="26" t="n">
        <x:f t="shared" si="4">IF(F78="per_request",L78,IF(F78="per_duration",M78,IF(F78="per_token",N78,0)))</x:f>
        <x:v>0.52</x:v>
      </x:c>
      <x:c r="P78" s="27" t="n">
        <x:v>1</x:v>
      </x:c>
      <x:c r="Q78" s="27" t="n">
        <x:v>1</x:v>
      </x:c>
      <x:c r="R78" s="27" t="n">
        <x:v>1</x:v>
      </x:c>
      <x:c r="S78" s="27" t="n">
        <x:v>0</x:v>
      </x:c>
      <x:c r="T78" s="26" t="n">
        <x:f>IF(K78="USD",1,'参数'!$B$6)</x:f>
        <x:v>0.136986301369863</x:v>
      </x:c>
      <x:c r="U78" s="26" t="n">
        <x:f t="shared" si="5">O78*P78*Q78/R78*(1+S78)*T78</x:f>
        <x:v>0.07123287671232877</x:v>
      </x:c>
      <x:c r="V78" s="23" t="str">
        <x:f t="shared" si="6">IF(F78="per_request","USD/次",IF(F78="per_duration","USD/秒",IF(F78="per_token","USD/1M Token","")))</x:f>
        <x:v>USD/秒</x:v>
      </x:c>
      <x:c r="W78" s="20" t="n">
        <x:v>46229.393565162034</x:v>
      </x:c>
      <x:c r="X78" s="20"/>
      <x:c r="Y78" s="2" t="str">
        <x:v>invalid</x:v>
      </x:c>
      <x:c r="Z78" s="2" t="str">
        <x:v>SRC-CH-02</x:v>
      </x:c>
      <x:c r="AA78" s="7" t="str">
        <x:v>源行=sd!42；原模型=lec-seedance-videos-face-standard；时长=4-15；比例=9:16, 16:9, 1:1；视频输入=是；真人脸=否；超分=否；素材库=否；NSFW=否；协议=自有；素材限制=933；原表折扣 秒 无V=0.21（成本/官价参考比，不参与成本二次计算）；原表状态=异常，已导入为invalid</x:v>
      </x:c>
      <x:c r="AB78" s="23" t="str">
        <x:f t="shared" si="7">IF(A78="","",IF(COUNTIF($A$5:$A$1004,A78)&gt;1,"错误:重复成本规则ID",IF(OR(B78="",C78="",E78="",F78="",K78="",O78&lt;=0,P78&lt;=0,Q78&lt;=0,R78&lt;=0,S78&lt;0,T78&lt;=0,Y78=""),"错误:必填项",IF(D78="","警告:SKU待映射","OK"))))</x:f>
        <x:v>OK</x:v>
      </x:c>
    </x:row>
    <x:row r="79" ht="66" customHeight="1">
      <x:c r="A79" s="2" t="str">
        <x:v>COST-PAIPU-R42-1080-SEC-VID</x:v>
      </x:c>
      <x:c r="B79" s="2" t="str">
        <x:v>CH-PAIPU</x:v>
      </x:c>
      <x:c r="C79" s="2" t="str">
        <x:v>lec-seedance-videos-face-standard</x:v>
      </x:c>
      <x:c r="D79" s="2" t="str">
        <x:v>SKU-SD20-STD-1080</x:v>
      </x:c>
      <x:c r="E79" s="2" t="str">
        <x:v>with_video</x:v>
      </x:c>
      <x:c r="F79" s="2" t="str">
        <x:v>per_duration</x:v>
      </x:c>
      <x:c r="G79" s="2"/>
      <x:c r="H79" s="2" t="str">
        <x:v>validated_request</x:v>
      </x:c>
      <x:c r="I79" s="2" t="str">
        <x:v>billable_duration_seconds</x:v>
      </x:c>
      <x:c r="J79" s="2" t="str">
        <x:v>task_succeeded</x:v>
      </x:c>
      <x:c r="K79" s="2" t="str">
        <x:v>CNY</x:v>
      </x:c>
      <x:c r="L79" s="27"/>
      <x:c r="M79" s="27" t="n">
        <x:v>0.52</x:v>
      </x:c>
      <x:c r="N79" s="27"/>
      <x:c r="O79" s="26" t="n">
        <x:f t="shared" si="4">IF(F79="per_request",L79,IF(F79="per_duration",M79,IF(F79="per_token",N79,0)))</x:f>
        <x:v>0.52</x:v>
      </x:c>
      <x:c r="P79" s="27" t="n">
        <x:v>1</x:v>
      </x:c>
      <x:c r="Q79" s="27" t="n">
        <x:v>1</x:v>
      </x:c>
      <x:c r="R79" s="27" t="n">
        <x:v>1</x:v>
      </x:c>
      <x:c r="S79" s="27" t="n">
        <x:v>0</x:v>
      </x:c>
      <x:c r="T79" s="26" t="n">
        <x:f>IF(K79="USD",1,'参数'!$B$6)</x:f>
        <x:v>0.136986301369863</x:v>
      </x:c>
      <x:c r="U79" s="26" t="n">
        <x:f t="shared" si="5">O79*P79*Q79/R79*(1+S79)*T79</x:f>
        <x:v>0.07123287671232877</x:v>
      </x:c>
      <x:c r="V79" s="23" t="str">
        <x:f t="shared" si="6">IF(F79="per_request","USD/次",IF(F79="per_duration","USD/秒",IF(F79="per_token","USD/1M Token","")))</x:f>
        <x:v>USD/秒</x:v>
      </x:c>
      <x:c r="W79" s="20" t="n">
        <x:v>46229.393565162034</x:v>
      </x:c>
      <x:c r="X79" s="20"/>
      <x:c r="Y79" s="2" t="str">
        <x:v>invalid</x:v>
      </x:c>
      <x:c r="Z79" s="2" t="str">
        <x:v>SRC-CH-02</x:v>
      </x:c>
      <x:c r="AA79" s="7" t="str">
        <x:v>源行=sd!42；原模型=lec-seedance-videos-face-standard；时长=4-15；比例=9:16, 16:9, 1:1；视频输入=是；真人脸=否；超分=否；素材库=否；NSFW=否；协议=自有；素材限制=933；原表折扣 秒 含V=0.345（成本/官价参考比，不参与成本二次计算）；原表状态=异常，已导入为invalid</x:v>
      </x:c>
      <x:c r="AB79" s="23" t="str">
        <x:f t="shared" si="7">IF(A79="","",IF(COUNTIF($A$5:$A$1004,A79)&gt;1,"错误:重复成本规则ID",IF(OR(B79="",C79="",E79="",F79="",K79="",O79&lt;=0,P79&lt;=0,Q79&lt;=0,R79&lt;=0,S79&lt;0,T79&lt;=0,Y79=""),"错误:必填项",IF(D79="","警告:SKU待映射","OK"))))</x:f>
        <x:v>OK</x:v>
      </x:c>
    </x:row>
    <x:row r="80" ht="52.79999923706055" customHeight="1">
      <x:c r="A80" s="2" t="str">
        <x:v>COST-PAIPU-R43-480-REQ-NOV</x:v>
      </x:c>
      <x:c r="B80" s="2" t="str">
        <x:v>CH-PAIPU</x:v>
      </x:c>
      <x:c r="C80" s="2" t="str">
        <x:v>lec-seedance-videos-face-fast</x:v>
      </x:c>
      <x:c r="D80" s="2" t="str">
        <x:v>SKU-SD20-FAST-480</x:v>
      </x:c>
      <x:c r="E80" s="2" t="str">
        <x:v>no_video</x:v>
      </x:c>
      <x:c r="F80" s="2" t="str">
        <x:v>per_request</x:v>
      </x:c>
      <x:c r="G80" s="2"/>
      <x:c r="H80" s="2" t="str">
        <x:v>validated_request</x:v>
      </x:c>
      <x:c r="I80" s="2" t="str">
        <x:v>request_count</x:v>
      </x:c>
      <x:c r="J80" s="2" t="str">
        <x:v>task_succeeded</x:v>
      </x:c>
      <x:c r="K80" s="2" t="str">
        <x:v>CNY</x:v>
      </x:c>
      <x:c r="L80" s="27" t="n">
        <x:v>2.3</x:v>
      </x:c>
      <x:c r="M80" s="27"/>
      <x:c r="N80" s="27"/>
      <x:c r="O80" s="26" t="n">
        <x:f t="shared" si="4">IF(F80="per_request",L80,IF(F80="per_duration",M80,IF(F80="per_token",N80,0)))</x:f>
        <x:v>2.3</x:v>
      </x:c>
      <x:c r="P80" s="27" t="n">
        <x:v>1</x:v>
      </x:c>
      <x:c r="Q80" s="27" t="n">
        <x:v>1</x:v>
      </x:c>
      <x:c r="R80" s="27" t="n">
        <x:v>1</x:v>
      </x:c>
      <x:c r="S80" s="27" t="n">
        <x:v>0</x:v>
      </x:c>
      <x:c r="T80" s="26" t="n">
        <x:f>IF(K80="USD",1,'参数'!$B$6)</x:f>
        <x:v>0.136986301369863</x:v>
      </x:c>
      <x:c r="U80" s="26" t="n">
        <x:f t="shared" si="5">O80*P80*Q80/R80*(1+S80)*T80</x:f>
        <x:v>0.3150684931506849</x:v>
      </x:c>
      <x:c r="V80" s="23" t="str">
        <x:f t="shared" si="6">IF(F80="per_request","USD/次",IF(F80="per_duration","USD/秒",IF(F80="per_token","USD/1M Token","")))</x:f>
        <x:v>USD/次</x:v>
      </x:c>
      <x:c r="W80" s="20" t="n">
        <x:v>46229.393565162034</x:v>
      </x:c>
      <x:c r="X80" s="20"/>
      <x:c r="Y80" s="2" t="str">
        <x:v>invalid</x:v>
      </x:c>
      <x:c r="Z80" s="2" t="str">
        <x:v>SRC-CH-02</x:v>
      </x:c>
      <x:c r="AA80" s="7" t="str">
        <x:v>源行=sd!43；原模型=lec-seedance-videos-face-fast；时长=4-15；比例=9:16, 16:9, 1:1；视频输入=是；真人脸=否；超分=否；素材库=否；NSFW=否；协议=自有；素材限制=933；原表状态=异常，已导入为invalid</x:v>
      </x:c>
      <x:c r="AB80" s="23" t="str">
        <x:f t="shared" si="7">IF(A80="","",IF(COUNTIF($A$5:$A$1004,A80)&gt;1,"错误:重复成本规则ID",IF(OR(B80="",C80="",E80="",F80="",K80="",O80&lt;=0,P80&lt;=0,Q80&lt;=0,R80&lt;=0,S80&lt;0,T80&lt;=0,Y80=""),"错误:必填项",IF(D80="","警告:SKU待映射","OK"))))</x:f>
        <x:v>OK</x:v>
      </x:c>
    </x:row>
    <x:row r="81" ht="52.79999923706055" customHeight="1">
      <x:c r="A81" s="2" t="str">
        <x:v>COST-PAIPU-R43-480-REQ-VID</x:v>
      </x:c>
      <x:c r="B81" s="2" t="str">
        <x:v>CH-PAIPU</x:v>
      </x:c>
      <x:c r="C81" s="2" t="str">
        <x:v>lec-seedance-videos-face-fast</x:v>
      </x:c>
      <x:c r="D81" s="2" t="str">
        <x:v>SKU-SD20-FAST-480</x:v>
      </x:c>
      <x:c r="E81" s="2" t="str">
        <x:v>with_video</x:v>
      </x:c>
      <x:c r="F81" s="2" t="str">
        <x:v>per_request</x:v>
      </x:c>
      <x:c r="G81" s="2"/>
      <x:c r="H81" s="2" t="str">
        <x:v>validated_request</x:v>
      </x:c>
      <x:c r="I81" s="2" t="str">
        <x:v>request_count</x:v>
      </x:c>
      <x:c r="J81" s="2" t="str">
        <x:v>task_succeeded</x:v>
      </x:c>
      <x:c r="K81" s="2" t="str">
        <x:v>CNY</x:v>
      </x:c>
      <x:c r="L81" s="27" t="n">
        <x:v>2.3</x:v>
      </x:c>
      <x:c r="M81" s="27"/>
      <x:c r="N81" s="27"/>
      <x:c r="O81" s="26" t="n">
        <x:f t="shared" si="4">IF(F81="per_request",L81,IF(F81="per_duration",M81,IF(F81="per_token",N81,0)))</x:f>
        <x:v>2.3</x:v>
      </x:c>
      <x:c r="P81" s="27" t="n">
        <x:v>1</x:v>
      </x:c>
      <x:c r="Q81" s="27" t="n">
        <x:v>1</x:v>
      </x:c>
      <x:c r="R81" s="27" t="n">
        <x:v>1</x:v>
      </x:c>
      <x:c r="S81" s="27" t="n">
        <x:v>0</x:v>
      </x:c>
      <x:c r="T81" s="26" t="n">
        <x:f>IF(K81="USD",1,'参数'!$B$6)</x:f>
        <x:v>0.136986301369863</x:v>
      </x:c>
      <x:c r="U81" s="26" t="n">
        <x:f t="shared" si="5">O81*P81*Q81/R81*(1+S81)*T81</x:f>
        <x:v>0.3150684931506849</x:v>
      </x:c>
      <x:c r="V81" s="23" t="str">
        <x:f t="shared" si="6">IF(F81="per_request","USD/次",IF(F81="per_duration","USD/秒",IF(F81="per_token","USD/1M Token","")))</x:f>
        <x:v>USD/次</x:v>
      </x:c>
      <x:c r="W81" s="20" t="n">
        <x:v>46229.393565162034</x:v>
      </x:c>
      <x:c r="X81" s="20"/>
      <x:c r="Y81" s="2" t="str">
        <x:v>invalid</x:v>
      </x:c>
      <x:c r="Z81" s="2" t="str">
        <x:v>SRC-CH-02</x:v>
      </x:c>
      <x:c r="AA81" s="7" t="str">
        <x:v>源行=sd!43；原模型=lec-seedance-videos-face-fast；时长=4-15；比例=9:16, 16:9, 1:1；视频输入=是；真人脸=否；超分=否；素材库=否；NSFW=否；协议=自有；素材限制=933；原表状态=异常，已导入为invalid</x:v>
      </x:c>
      <x:c r="AB81" s="23" t="str">
        <x:f t="shared" si="7">IF(A81="","",IF(COUNTIF($A$5:$A$1004,A81)&gt;1,"错误:重复成本规则ID",IF(OR(B81="",C81="",E81="",F81="",K81="",O81&lt;=0,P81&lt;=0,Q81&lt;=0,R81&lt;=0,S81&lt;0,T81&lt;=0,Y81=""),"错误:必填项",IF(D81="","警告:SKU待映射","OK"))))</x:f>
        <x:v>OK</x:v>
      </x:c>
    </x:row>
    <x:row r="82" ht="52.79999923706055" customHeight="1">
      <x:c r="A82" s="2" t="str">
        <x:v>COST-PAIPU-R44-720-REQ-NOV</x:v>
      </x:c>
      <x:c r="B82" s="2" t="str">
        <x:v>CH-PAIPU</x:v>
      </x:c>
      <x:c r="C82" s="2" t="str">
        <x:v>lec-seedance-videos-face-fast</x:v>
      </x:c>
      <x:c r="D82" s="2" t="str">
        <x:v>SKU-SD20-FAST-720</x:v>
      </x:c>
      <x:c r="E82" s="2" t="str">
        <x:v>no_video</x:v>
      </x:c>
      <x:c r="F82" s="2" t="str">
        <x:v>per_request</x:v>
      </x:c>
      <x:c r="G82" s="2"/>
      <x:c r="H82" s="2" t="str">
        <x:v>validated_request</x:v>
      </x:c>
      <x:c r="I82" s="2" t="str">
        <x:v>request_count</x:v>
      </x:c>
      <x:c r="J82" s="2" t="str">
        <x:v>task_succeeded</x:v>
      </x:c>
      <x:c r="K82" s="2" t="str">
        <x:v>CNY</x:v>
      </x:c>
      <x:c r="L82" s="27" t="n">
        <x:v>3.3</x:v>
      </x:c>
      <x:c r="M82" s="27"/>
      <x:c r="N82" s="27"/>
      <x:c r="O82" s="26" t="n">
        <x:f t="shared" si="4">IF(F82="per_request",L82,IF(F82="per_duration",M82,IF(F82="per_token",N82,0)))</x:f>
        <x:v>3.3</x:v>
      </x:c>
      <x:c r="P82" s="27" t="n">
        <x:v>1</x:v>
      </x:c>
      <x:c r="Q82" s="27" t="n">
        <x:v>1</x:v>
      </x:c>
      <x:c r="R82" s="27" t="n">
        <x:v>1</x:v>
      </x:c>
      <x:c r="S82" s="27" t="n">
        <x:v>0</x:v>
      </x:c>
      <x:c r="T82" s="26" t="n">
        <x:f>IF(K82="USD",1,'参数'!$B$6)</x:f>
        <x:v>0.136986301369863</x:v>
      </x:c>
      <x:c r="U82" s="26" t="n">
        <x:f t="shared" si="5">O82*P82*Q82/R82*(1+S82)*T82</x:f>
        <x:v>0.4520547945205479</x:v>
      </x:c>
      <x:c r="V82" s="23" t="str">
        <x:f t="shared" si="6">IF(F82="per_request","USD/次",IF(F82="per_duration","USD/秒",IF(F82="per_token","USD/1M Token","")))</x:f>
        <x:v>USD/次</x:v>
      </x:c>
      <x:c r="W82" s="20" t="n">
        <x:v>46229.393565162034</x:v>
      </x:c>
      <x:c r="X82" s="20"/>
      <x:c r="Y82" s="2" t="str">
        <x:v>invalid</x:v>
      </x:c>
      <x:c r="Z82" s="2" t="str">
        <x:v>SRC-CH-02</x:v>
      </x:c>
      <x:c r="AA82" s="7" t="str">
        <x:v>源行=sd!44；原模型=lec-seedance-videos-face-fast；时长=4-15；比例=9:16, 16:9, 1:1；视频输入=是；真人脸=否；超分=否；素材库=否；NSFW=否；协议=自有；素材限制=933；原表状态=异常，已导入为invalid</x:v>
      </x:c>
      <x:c r="AB82" s="23" t="str">
        <x:f t="shared" si="7">IF(A82="","",IF(COUNTIF($A$5:$A$1004,A82)&gt;1,"错误:重复成本规则ID",IF(OR(B82="",C82="",E82="",F82="",K82="",O82&lt;=0,P82&lt;=0,Q82&lt;=0,R82&lt;=0,S82&lt;0,T82&lt;=0,Y82=""),"错误:必填项",IF(D82="","警告:SKU待映射","OK"))))</x:f>
        <x:v>OK</x:v>
      </x:c>
    </x:row>
    <x:row r="83" ht="52.79999923706055" customHeight="1">
      <x:c r="A83" s="2" t="str">
        <x:v>COST-PAIPU-R44-720-REQ-VID</x:v>
      </x:c>
      <x:c r="B83" s="2" t="str">
        <x:v>CH-PAIPU</x:v>
      </x:c>
      <x:c r="C83" s="2" t="str">
        <x:v>lec-seedance-videos-face-fast</x:v>
      </x:c>
      <x:c r="D83" s="2" t="str">
        <x:v>SKU-SD20-FAST-720</x:v>
      </x:c>
      <x:c r="E83" s="2" t="str">
        <x:v>with_video</x:v>
      </x:c>
      <x:c r="F83" s="2" t="str">
        <x:v>per_request</x:v>
      </x:c>
      <x:c r="G83" s="2"/>
      <x:c r="H83" s="2" t="str">
        <x:v>validated_request</x:v>
      </x:c>
      <x:c r="I83" s="2" t="str">
        <x:v>request_count</x:v>
      </x:c>
      <x:c r="J83" s="2" t="str">
        <x:v>task_succeeded</x:v>
      </x:c>
      <x:c r="K83" s="2" t="str">
        <x:v>CNY</x:v>
      </x:c>
      <x:c r="L83" s="27" t="n">
        <x:v>3.3</x:v>
      </x:c>
      <x:c r="M83" s="27"/>
      <x:c r="N83" s="27"/>
      <x:c r="O83" s="26" t="n">
        <x:f t="shared" si="4">IF(F83="per_request",L83,IF(F83="per_duration",M83,IF(F83="per_token",N83,0)))</x:f>
        <x:v>3.3</x:v>
      </x:c>
      <x:c r="P83" s="27" t="n">
        <x:v>1</x:v>
      </x:c>
      <x:c r="Q83" s="27" t="n">
        <x:v>1</x:v>
      </x:c>
      <x:c r="R83" s="27" t="n">
        <x:v>1</x:v>
      </x:c>
      <x:c r="S83" s="27" t="n">
        <x:v>0</x:v>
      </x:c>
      <x:c r="T83" s="26" t="n">
        <x:f>IF(K83="USD",1,'参数'!$B$6)</x:f>
        <x:v>0.136986301369863</x:v>
      </x:c>
      <x:c r="U83" s="26" t="n">
        <x:f t="shared" si="5">O83*P83*Q83/R83*(1+S83)*T83</x:f>
        <x:v>0.4520547945205479</x:v>
      </x:c>
      <x:c r="V83" s="23" t="str">
        <x:f t="shared" si="6">IF(F83="per_request","USD/次",IF(F83="per_duration","USD/秒",IF(F83="per_token","USD/1M Token","")))</x:f>
        <x:v>USD/次</x:v>
      </x:c>
      <x:c r="W83" s="20" t="n">
        <x:v>46229.393565162034</x:v>
      </x:c>
      <x:c r="X83" s="20"/>
      <x:c r="Y83" s="2" t="str">
        <x:v>invalid</x:v>
      </x:c>
      <x:c r="Z83" s="2" t="str">
        <x:v>SRC-CH-02</x:v>
      </x:c>
      <x:c r="AA83" s="7" t="str">
        <x:v>源行=sd!44；原模型=lec-seedance-videos-face-fast；时长=4-15；比例=9:16, 16:9, 1:1；视频输入=是；真人脸=否；超分=否；素材库=否；NSFW=否；协议=自有；素材限制=933；原表状态=异常，已导入为invalid</x:v>
      </x:c>
      <x:c r="AB83" s="23" t="str">
        <x:f t="shared" si="7">IF(A83="","",IF(COUNTIF($A$5:$A$1004,A83)&gt;1,"错误:重复成本规则ID",IF(OR(B83="",C83="",E83="",F83="",K83="",O83&lt;=0,P83&lt;=0,Q83&lt;=0,R83&lt;=0,S83&lt;0,T83&lt;=0,Y83=""),"错误:必填项",IF(D83="","警告:SKU待映射","OK"))))</x:f>
        <x:v>OK</x:v>
      </x:c>
    </x:row>
    <x:row r="84" ht="52.79999923706055" hidden="1" customHeight="1">
      <x:c r="A84" s="2" t="str">
        <x:v>COST-PAIPU-R45-720-REQ-NOV</x:v>
      </x:c>
      <x:c r="B84" s="2" t="str">
        <x:v>CH-PAIPU</x:v>
      </x:c>
      <x:c r="C84" s="2" t="str">
        <x:v>lec-fd-seedance-2-0-933-720p</x:v>
      </x:c>
      <x:c r="D84" s="2" t="str">
        <x:v>SKU-SD20-STD-720</x:v>
      </x:c>
      <x:c r="E84" s="2" t="str">
        <x:v>no_video</x:v>
      </x:c>
      <x:c r="F84" s="2" t="str">
        <x:v>per_request</x:v>
      </x:c>
      <x:c r="G84" s="2"/>
      <x:c r="H84" s="2" t="str">
        <x:v>validated_request</x:v>
      </x:c>
      <x:c r="I84" s="2" t="str">
        <x:v>request_count</x:v>
      </x:c>
      <x:c r="J84" s="2" t="str">
        <x:v>task_succeeded</x:v>
      </x:c>
      <x:c r="K84" s="2" t="str">
        <x:v>CNY</x:v>
      </x:c>
      <x:c r="L84" s="27" t="n">
        <x:v>4</x:v>
      </x:c>
      <x:c r="M84" s="27"/>
      <x:c r="N84" s="27"/>
      <x:c r="O84" s="26" t="n">
        <x:f t="shared" si="4">IF(F84="per_request",L84,IF(F84="per_duration",M84,IF(F84="per_token",N84,0)))</x:f>
        <x:v>4</x:v>
      </x:c>
      <x:c r="P84" s="27" t="n">
        <x:v>1</x:v>
      </x:c>
      <x:c r="Q84" s="27" t="n">
        <x:v>1</x:v>
      </x:c>
      <x:c r="R84" s="27" t="n">
        <x:v>1</x:v>
      </x:c>
      <x:c r="S84" s="27" t="n">
        <x:v>0</x:v>
      </x:c>
      <x:c r="T84" s="26" t="n">
        <x:f>IF(K84="USD",1,'参数'!$B$6)</x:f>
        <x:v>0.136986301369863</x:v>
      </x:c>
      <x:c r="U84" s="26" t="n">
        <x:f t="shared" si="5">O84*P84*Q84/R84*(1+S84)*T84</x:f>
        <x:v>0.547945205479452</x:v>
      </x:c>
      <x:c r="V84" s="23" t="str">
        <x:f t="shared" si="6">IF(F84="per_request","USD/次",IF(F84="per_duration","USD/秒",IF(F84="per_token","USD/1M Token","")))</x:f>
        <x:v>USD/次</x:v>
      </x:c>
      <x:c r="W84" s="20" t="n">
        <x:v>46229.393565162034</x:v>
      </x:c>
      <x:c r="X84" s="20"/>
      <x:c r="Y84" s="2" t="str">
        <x:v>active</x:v>
      </x:c>
      <x:c r="Z84" s="2" t="str">
        <x:v>SRC-CH-02</x:v>
      </x:c>
      <x:c r="AA84" s="7" t="str">
        <x:v>源行=sd!45；原模型=lec-fd-seedance-2-0-933-720p；时长=4-15；比例=9:16, 16:9, 1:1；视频输入=是；真人脸=是；超分=否；素材库=否；NSFW=否；协议=自有；素材限制=933</x:v>
      </x:c>
      <x:c r="AB84" s="23" t="str">
        <x:f t="shared" si="7">IF(A84="","",IF(COUNTIF($A$5:$A$1004,A84)&gt;1,"错误:重复成本规则ID",IF(OR(B84="",C84="",E84="",F84="",K84="",O84&lt;=0,P84&lt;=0,Q84&lt;=0,R84&lt;=0,S84&lt;0,T84&lt;=0,Y84=""),"错误:必填项",IF(D84="","警告:SKU待映射","OK"))))</x:f>
        <x:v>OK</x:v>
      </x:c>
    </x:row>
    <x:row r="85" ht="52.79999923706055" hidden="1" customHeight="1">
      <x:c r="A85" s="2" t="str">
        <x:v>COST-PAIPU-R45-720-REQ-VID</x:v>
      </x:c>
      <x:c r="B85" s="2" t="str">
        <x:v>CH-PAIPU</x:v>
      </x:c>
      <x:c r="C85" s="2" t="str">
        <x:v>lec-fd-seedance-2-0-933-720p</x:v>
      </x:c>
      <x:c r="D85" s="2" t="str">
        <x:v>SKU-SD20-STD-720</x:v>
      </x:c>
      <x:c r="E85" s="2" t="str">
        <x:v>with_video</x:v>
      </x:c>
      <x:c r="F85" s="2" t="str">
        <x:v>per_request</x:v>
      </x:c>
      <x:c r="G85" s="2"/>
      <x:c r="H85" s="2" t="str">
        <x:v>validated_request</x:v>
      </x:c>
      <x:c r="I85" s="2" t="str">
        <x:v>request_count</x:v>
      </x:c>
      <x:c r="J85" s="2" t="str">
        <x:v>task_succeeded</x:v>
      </x:c>
      <x:c r="K85" s="2" t="str">
        <x:v>CNY</x:v>
      </x:c>
      <x:c r="L85" s="27" t="n">
        <x:v>4</x:v>
      </x:c>
      <x:c r="M85" s="27"/>
      <x:c r="N85" s="27"/>
      <x:c r="O85" s="26" t="n">
        <x:f t="shared" si="4">IF(F85="per_request",L85,IF(F85="per_duration",M85,IF(F85="per_token",N85,0)))</x:f>
        <x:v>4</x:v>
      </x:c>
      <x:c r="P85" s="27" t="n">
        <x:v>1</x:v>
      </x:c>
      <x:c r="Q85" s="27" t="n">
        <x:v>1</x:v>
      </x:c>
      <x:c r="R85" s="27" t="n">
        <x:v>1</x:v>
      </x:c>
      <x:c r="S85" s="27" t="n">
        <x:v>0</x:v>
      </x:c>
      <x:c r="T85" s="26" t="n">
        <x:f>IF(K85="USD",1,'参数'!$B$6)</x:f>
        <x:v>0.136986301369863</x:v>
      </x:c>
      <x:c r="U85" s="26" t="n">
        <x:f t="shared" si="5">O85*P85*Q85/R85*(1+S85)*T85</x:f>
        <x:v>0.547945205479452</x:v>
      </x:c>
      <x:c r="V85" s="23" t="str">
        <x:f t="shared" si="6">IF(F85="per_request","USD/次",IF(F85="per_duration","USD/秒",IF(F85="per_token","USD/1M Token","")))</x:f>
        <x:v>USD/次</x:v>
      </x:c>
      <x:c r="W85" s="20" t="n">
        <x:v>46229.393565162034</x:v>
      </x:c>
      <x:c r="X85" s="20"/>
      <x:c r="Y85" s="2" t="str">
        <x:v>active</x:v>
      </x:c>
      <x:c r="Z85" s="2" t="str">
        <x:v>SRC-CH-02</x:v>
      </x:c>
      <x:c r="AA85" s="7" t="str">
        <x:v>源行=sd!45；原模型=lec-fd-seedance-2-0-933-720p；时长=4-15；比例=9:16, 16:9, 1:1；视频输入=是；真人脸=是；超分=否；素材库=否；NSFW=否；协议=自有；素材限制=933</x:v>
      </x:c>
      <x:c r="AB85" s="23" t="str">
        <x:f t="shared" si="7">IF(A85="","",IF(COUNTIF($A$5:$A$1004,A85)&gt;1,"错误:重复成本规则ID",IF(OR(B85="",C85="",E85="",F85="",K85="",O85&lt;=0,P85&lt;=0,Q85&lt;=0,R85&lt;=0,S85&lt;0,T85&lt;=0,Y85=""),"错误:必填项",IF(D85="","警告:SKU待映射","OK"))))</x:f>
        <x:v>OK</x:v>
      </x:c>
    </x:row>
    <x:row r="86" ht="52.79999923706055" hidden="1" customHeight="1">
      <x:c r="A86" s="2" t="str">
        <x:v>COST-LUCEN-R47-720-SEC-NOV</x:v>
      </x:c>
      <x:c r="B86" s="2" t="str">
        <x:v>CH-LUCEN</x:v>
      </x:c>
      <x:c r="C86" s="2" t="str">
        <x:v>seedance-720p-5s</x:v>
      </x:c>
      <x:c r="D86" s="2" t="str">
        <x:v>SKU-SD20-STD-720</x:v>
      </x:c>
      <x:c r="E86" s="2" t="str">
        <x:v>no_video</x:v>
      </x:c>
      <x:c r="F86" s="2" t="str">
        <x:v>per_duration</x:v>
      </x:c>
      <x:c r="G86" s="2"/>
      <x:c r="H86" s="2" t="str">
        <x:v>validated_request</x:v>
      </x:c>
      <x:c r="I86" s="2" t="str">
        <x:v>billable_duration_seconds</x:v>
      </x:c>
      <x:c r="J86" s="2" t="str">
        <x:v>task_succeeded</x:v>
      </x:c>
      <x:c r="K86" s="2" t="str">
        <x:v>CNY</x:v>
      </x:c>
      <x:c r="L86" s="27"/>
      <x:c r="M86" s="27" t="n">
        <x:v>1</x:v>
      </x:c>
      <x:c r="N86" s="27"/>
      <x:c r="O86" s="26" t="n">
        <x:f t="shared" si="4">IF(F86="per_request",L86,IF(F86="per_duration",M86,IF(F86="per_token",N86,0)))</x:f>
        <x:v>1</x:v>
      </x:c>
      <x:c r="P86" s="27" t="n">
        <x:v>1</x:v>
      </x:c>
      <x:c r="Q86" s="27" t="n">
        <x:v>1</x:v>
      </x:c>
      <x:c r="R86" s="27" t="n">
        <x:v>1</x:v>
      </x:c>
      <x:c r="S86" s="27" t="n">
        <x:v>0</x:v>
      </x:c>
      <x:c r="T86" s="26" t="n">
        <x:f>IF(K86="USD",1,'参数'!$B$6)</x:f>
        <x:v>0.136986301369863</x:v>
      </x:c>
      <x:c r="U86" s="26" t="n">
        <x:f t="shared" si="5">O86*P86*Q86/R86*(1+S86)*T86</x:f>
        <x:v>0.136986301369863</x:v>
      </x:c>
      <x:c r="V86" s="23" t="str">
        <x:f t="shared" si="6">IF(F86="per_request","USD/次",IF(F86="per_duration","USD/秒",IF(F86="per_token","USD/1M Token","")))</x:f>
        <x:v>USD/秒</x:v>
      </x:c>
      <x:c r="W86" s="20" t="n">
        <x:v>46229.393565162034</x:v>
      </x:c>
      <x:c r="X86" s="20"/>
      <x:c r="Y86" s="2" t="str">
        <x:v>active</x:v>
      </x:c>
      <x:c r="Z86" s="2" t="str">
        <x:v>SRC-CH-03</x:v>
      </x:c>
      <x:c r="AA86" s="7" t="str">
        <x:v>源行=sd!47；原模型=seedance-720p-5s；时长=5；比例=不限；视频输入=是；真人脸=否；超分=否；素材库=否；NSFW=否；协议=new-api；素材限制=933；原表折扣 秒 无V=1.006（成本/官价参考比，不参与成本二次计算）；火山URL</x:v>
      </x:c>
      <x:c r="AB86" s="23" t="str">
        <x:f t="shared" si="7">IF(A86="","",IF(COUNTIF($A$5:$A$1004,A86)&gt;1,"错误:重复成本规则ID",IF(OR(B86="",C86="",E86="",F86="",K86="",O86&lt;=0,P86&lt;=0,Q86&lt;=0,R86&lt;=0,S86&lt;0,T86&lt;=0,Y86=""),"错误:必填项",IF(D86="","警告:SKU待映射","OK"))))</x:f>
        <x:v>OK</x:v>
      </x:c>
    </x:row>
    <x:row r="87" ht="52.79999923706055" hidden="1" customHeight="1">
      <x:c r="A87" s="2" t="str">
        <x:v>COST-LUCEN-R47-720-SEC-VID</x:v>
      </x:c>
      <x:c r="B87" s="2" t="str">
        <x:v>CH-LUCEN</x:v>
      </x:c>
      <x:c r="C87" s="2" t="str">
        <x:v>seedance-720p-5s</x:v>
      </x:c>
      <x:c r="D87" s="2" t="str">
        <x:v>SKU-SD20-STD-720</x:v>
      </x:c>
      <x:c r="E87" s="2" t="str">
        <x:v>with_video</x:v>
      </x:c>
      <x:c r="F87" s="2" t="str">
        <x:v>per_duration</x:v>
      </x:c>
      <x:c r="G87" s="2"/>
      <x:c r="H87" s="2" t="str">
        <x:v>validated_request</x:v>
      </x:c>
      <x:c r="I87" s="2" t="str">
        <x:v>billable_duration_seconds</x:v>
      </x:c>
      <x:c r="J87" s="2" t="str">
        <x:v>task_succeeded</x:v>
      </x:c>
      <x:c r="K87" s="2" t="str">
        <x:v>CNY</x:v>
      </x:c>
      <x:c r="L87" s="27"/>
      <x:c r="M87" s="27" t="n">
        <x:v>1</x:v>
      </x:c>
      <x:c r="N87" s="27"/>
      <x:c r="O87" s="26" t="n">
        <x:f t="shared" si="4">IF(F87="per_request",L87,IF(F87="per_duration",M87,IF(F87="per_token",N87,0)))</x:f>
        <x:v>1</x:v>
      </x:c>
      <x:c r="P87" s="27" t="n">
        <x:v>1</x:v>
      </x:c>
      <x:c r="Q87" s="27" t="n">
        <x:v>1</x:v>
      </x:c>
      <x:c r="R87" s="27" t="n">
        <x:v>1</x:v>
      </x:c>
      <x:c r="S87" s="27" t="n">
        <x:v>0</x:v>
      </x:c>
      <x:c r="T87" s="26" t="n">
        <x:f>IF(K87="USD",1,'参数'!$B$6)</x:f>
        <x:v>0.136986301369863</x:v>
      </x:c>
      <x:c r="U87" s="26" t="n">
        <x:f t="shared" si="5">O87*P87*Q87/R87*(1+S87)*T87</x:f>
        <x:v>0.136986301369863</x:v>
      </x:c>
      <x:c r="V87" s="23" t="str">
        <x:f t="shared" si="6">IF(F87="per_request","USD/次",IF(F87="per_duration","USD/秒",IF(F87="per_token","USD/1M Token","")))</x:f>
        <x:v>USD/秒</x:v>
      </x:c>
      <x:c r="W87" s="20" t="n">
        <x:v>46229.393565162034</x:v>
      </x:c>
      <x:c r="X87" s="20"/>
      <x:c r="Y87" s="2" t="str">
        <x:v>active</x:v>
      </x:c>
      <x:c r="Z87" s="2" t="str">
        <x:v>SRC-CH-03</x:v>
      </x:c>
      <x:c r="AA87" s="7" t="str">
        <x:v>源行=sd!47；原模型=seedance-720p-5s；时长=5；比例=不限；视频输入=是；真人脸=否；超分=否；素材库=否；NSFW=否；协议=new-api；素材限制=933；原表折扣 秒 含V=1.653（成本/官价参考比，不参与成本二次计算）；火山URL</x:v>
      </x:c>
      <x:c r="AB87" s="23" t="str">
        <x:f t="shared" si="7">IF(A87="","",IF(COUNTIF($A$5:$A$1004,A87)&gt;1,"错误:重复成本规则ID",IF(OR(B87="",C87="",E87="",F87="",K87="",O87&lt;=0,P87&lt;=0,Q87&lt;=0,R87&lt;=0,S87&lt;0,T87&lt;=0,Y87=""),"错误:必填项",IF(D87="","警告:SKU待映射","OK"))))</x:f>
        <x:v>OK</x:v>
      </x:c>
    </x:row>
    <x:row r="88" ht="52.79999923706055" hidden="1" customHeight="1">
      <x:c r="A88" s="2" t="str">
        <x:v>COST-LUCEN-R48-720-SEC-NOV</x:v>
      </x:c>
      <x:c r="B88" s="2" t="str">
        <x:v>CH-LUCEN</x:v>
      </x:c>
      <x:c r="C88" s="2" t="str">
        <x:v>seedance-720p-10s</x:v>
      </x:c>
      <x:c r="D88" s="2" t="str">
        <x:v>SKU-SD20-STD-720</x:v>
      </x:c>
      <x:c r="E88" s="2" t="str">
        <x:v>no_video</x:v>
      </x:c>
      <x:c r="F88" s="2" t="str">
        <x:v>per_duration</x:v>
      </x:c>
      <x:c r="G88" s="2"/>
      <x:c r="H88" s="2" t="str">
        <x:v>validated_request</x:v>
      </x:c>
      <x:c r="I88" s="2" t="str">
        <x:v>billable_duration_seconds</x:v>
      </x:c>
      <x:c r="J88" s="2" t="str">
        <x:v>task_succeeded</x:v>
      </x:c>
      <x:c r="K88" s="2" t="str">
        <x:v>CNY</x:v>
      </x:c>
      <x:c r="L88" s="27"/>
      <x:c r="M88" s="27" t="n">
        <x:v>1</x:v>
      </x:c>
      <x:c r="N88" s="27"/>
      <x:c r="O88" s="26" t="n">
        <x:f t="shared" si="4">IF(F88="per_request",L88,IF(F88="per_duration",M88,IF(F88="per_token",N88,0)))</x:f>
        <x:v>1</x:v>
      </x:c>
      <x:c r="P88" s="27" t="n">
        <x:v>1</x:v>
      </x:c>
      <x:c r="Q88" s="27" t="n">
        <x:v>1</x:v>
      </x:c>
      <x:c r="R88" s="27" t="n">
        <x:v>1</x:v>
      </x:c>
      <x:c r="S88" s="27" t="n">
        <x:v>0</x:v>
      </x:c>
      <x:c r="T88" s="26" t="n">
        <x:f>IF(K88="USD",1,'参数'!$B$6)</x:f>
        <x:v>0.136986301369863</x:v>
      </x:c>
      <x:c r="U88" s="26" t="n">
        <x:f t="shared" si="5">O88*P88*Q88/R88*(1+S88)*T88</x:f>
        <x:v>0.136986301369863</x:v>
      </x:c>
      <x:c r="V88" s="23" t="str">
        <x:f t="shared" si="6">IF(F88="per_request","USD/次",IF(F88="per_duration","USD/秒",IF(F88="per_token","USD/1M Token","")))</x:f>
        <x:v>USD/秒</x:v>
      </x:c>
      <x:c r="W88" s="20" t="n">
        <x:v>46229.393565162034</x:v>
      </x:c>
      <x:c r="X88" s="20"/>
      <x:c r="Y88" s="2" t="str">
        <x:v>active</x:v>
      </x:c>
      <x:c r="Z88" s="2" t="str">
        <x:v>SRC-CH-03</x:v>
      </x:c>
      <x:c r="AA88" s="7" t="str">
        <x:v>源行=sd!48；原模型=seedance-720p-10s；时长=10；比例=不限；视频输入=是；真人脸=否；超分=否；素材库=否；NSFW=否；协议=new-api；素材限制=933；原表折扣 秒 无V=1.006（成本/官价参考比，不参与成本二次计算）；火山URL</x:v>
      </x:c>
      <x:c r="AB88" s="23" t="str">
        <x:f t="shared" si="7">IF(A88="","",IF(COUNTIF($A$5:$A$1004,A88)&gt;1,"错误:重复成本规则ID",IF(OR(B88="",C88="",E88="",F88="",K88="",O88&lt;=0,P88&lt;=0,Q88&lt;=0,R88&lt;=0,S88&lt;0,T88&lt;=0,Y88=""),"错误:必填项",IF(D88="","警告:SKU待映射","OK"))))</x:f>
        <x:v>OK</x:v>
      </x:c>
    </x:row>
    <x:row r="89" ht="52.79999923706055" hidden="1" customHeight="1">
      <x:c r="A89" s="2" t="str">
        <x:v>COST-LUCEN-R48-720-SEC-VID</x:v>
      </x:c>
      <x:c r="B89" s="2" t="str">
        <x:v>CH-LUCEN</x:v>
      </x:c>
      <x:c r="C89" s="2" t="str">
        <x:v>seedance-720p-10s</x:v>
      </x:c>
      <x:c r="D89" s="2" t="str">
        <x:v>SKU-SD20-STD-720</x:v>
      </x:c>
      <x:c r="E89" s="2" t="str">
        <x:v>with_video</x:v>
      </x:c>
      <x:c r="F89" s="2" t="str">
        <x:v>per_duration</x:v>
      </x:c>
      <x:c r="G89" s="2"/>
      <x:c r="H89" s="2" t="str">
        <x:v>validated_request</x:v>
      </x:c>
      <x:c r="I89" s="2" t="str">
        <x:v>billable_duration_seconds</x:v>
      </x:c>
      <x:c r="J89" s="2" t="str">
        <x:v>task_succeeded</x:v>
      </x:c>
      <x:c r="K89" s="2" t="str">
        <x:v>CNY</x:v>
      </x:c>
      <x:c r="L89" s="27"/>
      <x:c r="M89" s="27" t="n">
        <x:v>1</x:v>
      </x:c>
      <x:c r="N89" s="27"/>
      <x:c r="O89" s="26" t="n">
        <x:f t="shared" si="4">IF(F89="per_request",L89,IF(F89="per_duration",M89,IF(F89="per_token",N89,0)))</x:f>
        <x:v>1</x:v>
      </x:c>
      <x:c r="P89" s="27" t="n">
        <x:v>1</x:v>
      </x:c>
      <x:c r="Q89" s="27" t="n">
        <x:v>1</x:v>
      </x:c>
      <x:c r="R89" s="27" t="n">
        <x:v>1</x:v>
      </x:c>
      <x:c r="S89" s="27" t="n">
        <x:v>0</x:v>
      </x:c>
      <x:c r="T89" s="26" t="n">
        <x:f>IF(K89="USD",1,'参数'!$B$6)</x:f>
        <x:v>0.136986301369863</x:v>
      </x:c>
      <x:c r="U89" s="26" t="n">
        <x:f t="shared" si="5">O89*P89*Q89/R89*(1+S89)*T89</x:f>
        <x:v>0.136986301369863</x:v>
      </x:c>
      <x:c r="V89" s="23" t="str">
        <x:f t="shared" si="6">IF(F89="per_request","USD/次",IF(F89="per_duration","USD/秒",IF(F89="per_token","USD/1M Token","")))</x:f>
        <x:v>USD/秒</x:v>
      </x:c>
      <x:c r="W89" s="20" t="n">
        <x:v>46229.393565162034</x:v>
      </x:c>
      <x:c r="X89" s="20"/>
      <x:c r="Y89" s="2" t="str">
        <x:v>active</x:v>
      </x:c>
      <x:c r="Z89" s="2" t="str">
        <x:v>SRC-CH-03</x:v>
      </x:c>
      <x:c r="AA89" s="7" t="str">
        <x:v>源行=sd!48；原模型=seedance-720p-10s；时长=10；比例=不限；视频输入=是；真人脸=否；超分=否；素材库=否；NSFW=否；协议=new-api；素材限制=933；原表折扣 秒 含V=1.653（成本/官价参考比，不参与成本二次计算）；火山URL</x:v>
      </x:c>
      <x:c r="AB89" s="23" t="str">
        <x:f t="shared" si="7">IF(A89="","",IF(COUNTIF($A$5:$A$1004,A89)&gt;1,"错误:重复成本规则ID",IF(OR(B89="",C89="",E89="",F89="",K89="",O89&lt;=0,P89&lt;=0,Q89&lt;=0,R89&lt;=0,S89&lt;0,T89&lt;=0,Y89=""),"错误:必填项",IF(D89="","警告:SKU待映射","OK"))))</x:f>
        <x:v>OK</x:v>
      </x:c>
    </x:row>
    <x:row r="90" ht="52.79999923706055" hidden="1" customHeight="1">
      <x:c r="A90" s="2" t="str">
        <x:v>COST-LUCEN-R49-720-SEC-NOV</x:v>
      </x:c>
      <x:c r="B90" s="2" t="str">
        <x:v>CH-LUCEN</x:v>
      </x:c>
      <x:c r="C90" s="2" t="str">
        <x:v>seedance-720p-15s</x:v>
      </x:c>
      <x:c r="D90" s="2" t="str">
        <x:v>SKU-SD20-STD-720</x:v>
      </x:c>
      <x:c r="E90" s="2" t="str">
        <x:v>no_video</x:v>
      </x:c>
      <x:c r="F90" s="2" t="str">
        <x:v>per_duration</x:v>
      </x:c>
      <x:c r="G90" s="2"/>
      <x:c r="H90" s="2" t="str">
        <x:v>validated_request</x:v>
      </x:c>
      <x:c r="I90" s="2" t="str">
        <x:v>billable_duration_seconds</x:v>
      </x:c>
      <x:c r="J90" s="2" t="str">
        <x:v>task_succeeded</x:v>
      </x:c>
      <x:c r="K90" s="2" t="str">
        <x:v>CNY</x:v>
      </x:c>
      <x:c r="L90" s="27"/>
      <x:c r="M90" s="27" t="n">
        <x:v>1</x:v>
      </x:c>
      <x:c r="N90" s="27"/>
      <x:c r="O90" s="26" t="n">
        <x:f t="shared" si="4">IF(F90="per_request",L90,IF(F90="per_duration",M90,IF(F90="per_token",N90,0)))</x:f>
        <x:v>1</x:v>
      </x:c>
      <x:c r="P90" s="27" t="n">
        <x:v>1</x:v>
      </x:c>
      <x:c r="Q90" s="27" t="n">
        <x:v>1</x:v>
      </x:c>
      <x:c r="R90" s="27" t="n">
        <x:v>1</x:v>
      </x:c>
      <x:c r="S90" s="27" t="n">
        <x:v>0</x:v>
      </x:c>
      <x:c r="T90" s="26" t="n">
        <x:f>IF(K90="USD",1,'参数'!$B$6)</x:f>
        <x:v>0.136986301369863</x:v>
      </x:c>
      <x:c r="U90" s="26" t="n">
        <x:f t="shared" si="5">O90*P90*Q90/R90*(1+S90)*T90</x:f>
        <x:v>0.136986301369863</x:v>
      </x:c>
      <x:c r="V90" s="23" t="str">
        <x:f t="shared" si="6">IF(F90="per_request","USD/次",IF(F90="per_duration","USD/秒",IF(F90="per_token","USD/1M Token","")))</x:f>
        <x:v>USD/秒</x:v>
      </x:c>
      <x:c r="W90" s="20" t="n">
        <x:v>46229.393565162034</x:v>
      </x:c>
      <x:c r="X90" s="20"/>
      <x:c r="Y90" s="2" t="str">
        <x:v>active</x:v>
      </x:c>
      <x:c r="Z90" s="2" t="str">
        <x:v>SRC-CH-03</x:v>
      </x:c>
      <x:c r="AA90" s="7" t="str">
        <x:v>源行=sd!49；原模型=seedance-720p-15s；时长=15；比例=不限；视频输入=是；真人脸=否；超分=否；素材库=否；NSFW=否；协议=new-api；素材限制=933；原表折扣 秒 无V=1.006（成本/官价参考比，不参与成本二次计算）；火山URL</x:v>
      </x:c>
      <x:c r="AB90" s="23" t="str">
        <x:f t="shared" si="7">IF(A90="","",IF(COUNTIF($A$5:$A$1004,A90)&gt;1,"错误:重复成本规则ID",IF(OR(B90="",C90="",E90="",F90="",K90="",O90&lt;=0,P90&lt;=0,Q90&lt;=0,R90&lt;=0,S90&lt;0,T90&lt;=0,Y90=""),"错误:必填项",IF(D90="","警告:SKU待映射","OK"))))</x:f>
        <x:v>OK</x:v>
      </x:c>
    </x:row>
    <x:row r="91" ht="52.79999923706055" hidden="1" customHeight="1">
      <x:c r="A91" s="2" t="str">
        <x:v>COST-LUCEN-R49-720-SEC-VID</x:v>
      </x:c>
      <x:c r="B91" s="2" t="str">
        <x:v>CH-LUCEN</x:v>
      </x:c>
      <x:c r="C91" s="2" t="str">
        <x:v>seedance-720p-15s</x:v>
      </x:c>
      <x:c r="D91" s="2" t="str">
        <x:v>SKU-SD20-STD-720</x:v>
      </x:c>
      <x:c r="E91" s="2" t="str">
        <x:v>with_video</x:v>
      </x:c>
      <x:c r="F91" s="2" t="str">
        <x:v>per_duration</x:v>
      </x:c>
      <x:c r="G91" s="2"/>
      <x:c r="H91" s="2" t="str">
        <x:v>validated_request</x:v>
      </x:c>
      <x:c r="I91" s="2" t="str">
        <x:v>billable_duration_seconds</x:v>
      </x:c>
      <x:c r="J91" s="2" t="str">
        <x:v>task_succeeded</x:v>
      </x:c>
      <x:c r="K91" s="2" t="str">
        <x:v>CNY</x:v>
      </x:c>
      <x:c r="L91" s="27"/>
      <x:c r="M91" s="27" t="n">
        <x:v>1</x:v>
      </x:c>
      <x:c r="N91" s="27"/>
      <x:c r="O91" s="26" t="n">
        <x:f t="shared" si="4">IF(F91="per_request",L91,IF(F91="per_duration",M91,IF(F91="per_token",N91,0)))</x:f>
        <x:v>1</x:v>
      </x:c>
      <x:c r="P91" s="27" t="n">
        <x:v>1</x:v>
      </x:c>
      <x:c r="Q91" s="27" t="n">
        <x:v>1</x:v>
      </x:c>
      <x:c r="R91" s="27" t="n">
        <x:v>1</x:v>
      </x:c>
      <x:c r="S91" s="27" t="n">
        <x:v>0</x:v>
      </x:c>
      <x:c r="T91" s="26" t="n">
        <x:f>IF(K91="USD",1,'参数'!$B$6)</x:f>
        <x:v>0.136986301369863</x:v>
      </x:c>
      <x:c r="U91" s="26" t="n">
        <x:f t="shared" si="5">O91*P91*Q91/R91*(1+S91)*T91</x:f>
        <x:v>0.136986301369863</x:v>
      </x:c>
      <x:c r="V91" s="23" t="str">
        <x:f t="shared" si="6">IF(F91="per_request","USD/次",IF(F91="per_duration","USD/秒",IF(F91="per_token","USD/1M Token","")))</x:f>
        <x:v>USD/秒</x:v>
      </x:c>
      <x:c r="W91" s="20" t="n">
        <x:v>46229.393565162034</x:v>
      </x:c>
      <x:c r="X91" s="20"/>
      <x:c r="Y91" s="2" t="str">
        <x:v>active</x:v>
      </x:c>
      <x:c r="Z91" s="2" t="str">
        <x:v>SRC-CH-03</x:v>
      </x:c>
      <x:c r="AA91" s="7" t="str">
        <x:v>源行=sd!49；原模型=seedance-720p-15s；时长=15；比例=不限；视频输入=是；真人脸=否；超分=否；素材库=否；NSFW=否；协议=new-api；素材限制=933；原表折扣 秒 含V=1.653（成本/官价参考比，不参与成本二次计算）；火山URL</x:v>
      </x:c>
      <x:c r="AB91" s="23" t="str">
        <x:f t="shared" si="7">IF(A91="","",IF(COUNTIF($A$5:$A$1004,A91)&gt;1,"错误:重复成本规则ID",IF(OR(B91="",C91="",E91="",F91="",K91="",O91&lt;=0,P91&lt;=0,Q91&lt;=0,R91&lt;=0,S91&lt;0,T91&lt;=0,Y91=""),"错误:必填项",IF(D91="","警告:SKU待映射","OK"))))</x:f>
        <x:v>OK</x:v>
      </x:c>
    </x:row>
    <x:row r="92" ht="52.79999923706055" hidden="1" customHeight="1">
      <x:c r="A92" s="2" t="str">
        <x:v>COST-LUCEN-R50-480-SEC-NOV</x:v>
      </x:c>
      <x:c r="B92" s="2" t="str">
        <x:v>CH-LUCEN</x:v>
      </x:c>
      <x:c r="C92" s="2" t="str">
        <x:v>seedance-480p-5s</x:v>
      </x:c>
      <x:c r="D92" s="2" t="str">
        <x:v>SKU-SD20-STD-480</x:v>
      </x:c>
      <x:c r="E92" s="2" t="str">
        <x:v>no_video</x:v>
      </x:c>
      <x:c r="F92" s="2" t="str">
        <x:v>per_duration</x:v>
      </x:c>
      <x:c r="G92" s="2"/>
      <x:c r="H92" s="2" t="str">
        <x:v>validated_request</x:v>
      </x:c>
      <x:c r="I92" s="2" t="str">
        <x:v>billable_duration_seconds</x:v>
      </x:c>
      <x:c r="J92" s="2" t="str">
        <x:v>task_succeeded</x:v>
      </x:c>
      <x:c r="K92" s="2" t="str">
        <x:v>CNY</x:v>
      </x:c>
      <x:c r="L92" s="27"/>
      <x:c r="M92" s="27" t="n">
        <x:v>0.5</x:v>
      </x:c>
      <x:c r="N92" s="27"/>
      <x:c r="O92" s="26" t="n">
        <x:f t="shared" si="4">IF(F92="per_request",L92,IF(F92="per_duration",M92,IF(F92="per_token",N92,0)))</x:f>
        <x:v>0.5</x:v>
      </x:c>
      <x:c r="P92" s="27" t="n">
        <x:v>1</x:v>
      </x:c>
      <x:c r="Q92" s="27" t="n">
        <x:v>1</x:v>
      </x:c>
      <x:c r="R92" s="27" t="n">
        <x:v>1</x:v>
      </x:c>
      <x:c r="S92" s="27" t="n">
        <x:v>0</x:v>
      </x:c>
      <x:c r="T92" s="26" t="n">
        <x:f>IF(K92="USD",1,'参数'!$B$6)</x:f>
        <x:v>0.136986301369863</x:v>
      </x:c>
      <x:c r="U92" s="26" t="n">
        <x:f t="shared" si="5">O92*P92*Q92/R92*(1+S92)*T92</x:f>
        <x:v>0.0684931506849315</x:v>
      </x:c>
      <x:c r="V92" s="23" t="str">
        <x:f t="shared" si="6">IF(F92="per_request","USD/次",IF(F92="per_duration","USD/秒",IF(F92="per_token","USD/1M Token","")))</x:f>
        <x:v>USD/秒</x:v>
      </x:c>
      <x:c r="W92" s="20" t="n">
        <x:v>46229.393565162034</x:v>
      </x:c>
      <x:c r="X92" s="20"/>
      <x:c r="Y92" s="2" t="str">
        <x:v>active</x:v>
      </x:c>
      <x:c r="Z92" s="2" t="str">
        <x:v>SRC-CH-03</x:v>
      </x:c>
      <x:c r="AA92" s="7" t="str">
        <x:v>源行=sd!50；原模型=seedance-480p-5s；时长=5；比例=不限；视频输入=是；真人脸=否；超分=否；素材库=否；NSFW=否；协议=new-api；素材限制=933；原表折扣 秒 无V=1.082（成本/官价参考比，不参与成本二次计算）；火山URL</x:v>
      </x:c>
      <x:c r="AB92" s="23" t="str">
        <x:f t="shared" si="7">IF(A92="","",IF(COUNTIF($A$5:$A$1004,A92)&gt;1,"错误:重复成本规则ID",IF(OR(B92="",C92="",E92="",F92="",K92="",O92&lt;=0,P92&lt;=0,Q92&lt;=0,R92&lt;=0,S92&lt;0,T92&lt;=0,Y92=""),"错误:必填项",IF(D92="","警告:SKU待映射","OK"))))</x:f>
        <x:v>OK</x:v>
      </x:c>
    </x:row>
    <x:row r="93" ht="52.79999923706055" hidden="1" customHeight="1">
      <x:c r="A93" s="2" t="str">
        <x:v>COST-LUCEN-R50-480-SEC-VID</x:v>
      </x:c>
      <x:c r="B93" s="2" t="str">
        <x:v>CH-LUCEN</x:v>
      </x:c>
      <x:c r="C93" s="2" t="str">
        <x:v>seedance-480p-5s</x:v>
      </x:c>
      <x:c r="D93" s="2" t="str">
        <x:v>SKU-SD20-STD-480</x:v>
      </x:c>
      <x:c r="E93" s="2" t="str">
        <x:v>with_video</x:v>
      </x:c>
      <x:c r="F93" s="2" t="str">
        <x:v>per_duration</x:v>
      </x:c>
      <x:c r="G93" s="2"/>
      <x:c r="H93" s="2" t="str">
        <x:v>validated_request</x:v>
      </x:c>
      <x:c r="I93" s="2" t="str">
        <x:v>billable_duration_seconds</x:v>
      </x:c>
      <x:c r="J93" s="2" t="str">
        <x:v>task_succeeded</x:v>
      </x:c>
      <x:c r="K93" s="2" t="str">
        <x:v>CNY</x:v>
      </x:c>
      <x:c r="L93" s="27"/>
      <x:c r="M93" s="27" t="n">
        <x:v>0.5</x:v>
      </x:c>
      <x:c r="N93" s="27"/>
      <x:c r="O93" s="26" t="n">
        <x:f t="shared" si="4">IF(F93="per_request",L93,IF(F93="per_duration",M93,IF(F93="per_token",N93,0)))</x:f>
        <x:v>0.5</x:v>
      </x:c>
      <x:c r="P93" s="27" t="n">
        <x:v>1</x:v>
      </x:c>
      <x:c r="Q93" s="27" t="n">
        <x:v>1</x:v>
      </x:c>
      <x:c r="R93" s="27" t="n">
        <x:v>1</x:v>
      </x:c>
      <x:c r="S93" s="27" t="n">
        <x:v>0</x:v>
      </x:c>
      <x:c r="T93" s="26" t="n">
        <x:f>IF(K93="USD",1,'参数'!$B$6)</x:f>
        <x:v>0.136986301369863</x:v>
      </x:c>
      <x:c r="U93" s="26" t="n">
        <x:f t="shared" si="5">O93*P93*Q93/R93*(1+S93)*T93</x:f>
        <x:v>0.0684931506849315</x:v>
      </x:c>
      <x:c r="V93" s="23" t="str">
        <x:f t="shared" si="6">IF(F93="per_request","USD/次",IF(F93="per_duration","USD/秒",IF(F93="per_token","USD/1M Token","")))</x:f>
        <x:v>USD/秒</x:v>
      </x:c>
      <x:c r="W93" s="20" t="n">
        <x:v>46229.393565162034</x:v>
      </x:c>
      <x:c r="X93" s="20"/>
      <x:c r="Y93" s="2" t="str">
        <x:v>active</x:v>
      </x:c>
      <x:c r="Z93" s="2" t="str">
        <x:v>SRC-CH-03</x:v>
      </x:c>
      <x:c r="AA93" s="7" t="str">
        <x:v>源行=sd!50；原模型=seedance-480p-5s；时长=5；比例=不限；视频输入=是；真人脸=否；超分=否；素材库=否；NSFW=否；协议=new-api；素材限制=933；原表折扣 秒 含V=1.779（成本/官价参考比，不参与成本二次计算）；火山URL</x:v>
      </x:c>
      <x:c r="AB93" s="23" t="str">
        <x:f t="shared" si="7">IF(A93="","",IF(COUNTIF($A$5:$A$1004,A93)&gt;1,"错误:重复成本规则ID",IF(OR(B93="",C93="",E93="",F93="",K93="",O93&lt;=0,P93&lt;=0,Q93&lt;=0,R93&lt;=0,S93&lt;0,T93&lt;=0,Y93=""),"错误:必填项",IF(D93="","警告:SKU待映射","OK"))))</x:f>
        <x:v>OK</x:v>
      </x:c>
    </x:row>
    <x:row r="94" ht="52.79999923706055" hidden="1" customHeight="1">
      <x:c r="A94" s="2" t="str">
        <x:v>COST-LUCEN-R51-480-SEC-NOV</x:v>
      </x:c>
      <x:c r="B94" s="2" t="str">
        <x:v>CH-LUCEN</x:v>
      </x:c>
      <x:c r="C94" s="2" t="str">
        <x:v>seedance-480p-10s</x:v>
      </x:c>
      <x:c r="D94" s="2" t="str">
        <x:v>SKU-SD20-STD-480</x:v>
      </x:c>
      <x:c r="E94" s="2" t="str">
        <x:v>no_video</x:v>
      </x:c>
      <x:c r="F94" s="2" t="str">
        <x:v>per_duration</x:v>
      </x:c>
      <x:c r="G94" s="2"/>
      <x:c r="H94" s="2" t="str">
        <x:v>validated_request</x:v>
      </x:c>
      <x:c r="I94" s="2" t="str">
        <x:v>billable_duration_seconds</x:v>
      </x:c>
      <x:c r="J94" s="2" t="str">
        <x:v>task_succeeded</x:v>
      </x:c>
      <x:c r="K94" s="2" t="str">
        <x:v>CNY</x:v>
      </x:c>
      <x:c r="L94" s="27"/>
      <x:c r="M94" s="27" t="n">
        <x:v>0.5</x:v>
      </x:c>
      <x:c r="N94" s="27"/>
      <x:c r="O94" s="26" t="n">
        <x:f t="shared" si="4">IF(F94="per_request",L94,IF(F94="per_duration",M94,IF(F94="per_token",N94,0)))</x:f>
        <x:v>0.5</x:v>
      </x:c>
      <x:c r="P94" s="27" t="n">
        <x:v>1</x:v>
      </x:c>
      <x:c r="Q94" s="27" t="n">
        <x:v>1</x:v>
      </x:c>
      <x:c r="R94" s="27" t="n">
        <x:v>1</x:v>
      </x:c>
      <x:c r="S94" s="27" t="n">
        <x:v>0</x:v>
      </x:c>
      <x:c r="T94" s="26" t="n">
        <x:f>IF(K94="USD",1,'参数'!$B$6)</x:f>
        <x:v>0.136986301369863</x:v>
      </x:c>
      <x:c r="U94" s="26" t="n">
        <x:f t="shared" si="5">O94*P94*Q94/R94*(1+S94)*T94</x:f>
        <x:v>0.0684931506849315</x:v>
      </x:c>
      <x:c r="V94" s="23" t="str">
        <x:f t="shared" si="6">IF(F94="per_request","USD/次",IF(F94="per_duration","USD/秒",IF(F94="per_token","USD/1M Token","")))</x:f>
        <x:v>USD/秒</x:v>
      </x:c>
      <x:c r="W94" s="20" t="n">
        <x:v>46229.393565162034</x:v>
      </x:c>
      <x:c r="X94" s="20"/>
      <x:c r="Y94" s="2" t="str">
        <x:v>active</x:v>
      </x:c>
      <x:c r="Z94" s="2" t="str">
        <x:v>SRC-CH-03</x:v>
      </x:c>
      <x:c r="AA94" s="7" t="str">
        <x:v>源行=sd!51；原模型=seedance-480p-10s；时长=10；比例=不限；视频输入=是；真人脸=否；超分=否；素材库=否；NSFW=否；协议=new-api；素材限制=933；原表折扣 秒 无V=1.082（成本/官价参考比，不参与成本二次计算）；火山URL</x:v>
      </x:c>
      <x:c r="AB94" s="23" t="str">
        <x:f t="shared" si="7">IF(A94="","",IF(COUNTIF($A$5:$A$1004,A94)&gt;1,"错误:重复成本规则ID",IF(OR(B94="",C94="",E94="",F94="",K94="",O94&lt;=0,P94&lt;=0,Q94&lt;=0,R94&lt;=0,S94&lt;0,T94&lt;=0,Y94=""),"错误:必填项",IF(D94="","警告:SKU待映射","OK"))))</x:f>
        <x:v>OK</x:v>
      </x:c>
    </x:row>
    <x:row r="95" ht="52.79999923706055" hidden="1" customHeight="1">
      <x:c r="A95" s="2" t="str">
        <x:v>COST-LUCEN-R51-480-SEC-VID</x:v>
      </x:c>
      <x:c r="B95" s="2" t="str">
        <x:v>CH-LUCEN</x:v>
      </x:c>
      <x:c r="C95" s="2" t="str">
        <x:v>seedance-480p-10s</x:v>
      </x:c>
      <x:c r="D95" s="2" t="str">
        <x:v>SKU-SD20-STD-480</x:v>
      </x:c>
      <x:c r="E95" s="2" t="str">
        <x:v>with_video</x:v>
      </x:c>
      <x:c r="F95" s="2" t="str">
        <x:v>per_duration</x:v>
      </x:c>
      <x:c r="G95" s="2"/>
      <x:c r="H95" s="2" t="str">
        <x:v>validated_request</x:v>
      </x:c>
      <x:c r="I95" s="2" t="str">
        <x:v>billable_duration_seconds</x:v>
      </x:c>
      <x:c r="J95" s="2" t="str">
        <x:v>task_succeeded</x:v>
      </x:c>
      <x:c r="K95" s="2" t="str">
        <x:v>CNY</x:v>
      </x:c>
      <x:c r="L95" s="27"/>
      <x:c r="M95" s="27" t="n">
        <x:v>0.5</x:v>
      </x:c>
      <x:c r="N95" s="27"/>
      <x:c r="O95" s="26" t="n">
        <x:f t="shared" si="4">IF(F95="per_request",L95,IF(F95="per_duration",M95,IF(F95="per_token",N95,0)))</x:f>
        <x:v>0.5</x:v>
      </x:c>
      <x:c r="P95" s="27" t="n">
        <x:v>1</x:v>
      </x:c>
      <x:c r="Q95" s="27" t="n">
        <x:v>1</x:v>
      </x:c>
      <x:c r="R95" s="27" t="n">
        <x:v>1</x:v>
      </x:c>
      <x:c r="S95" s="27" t="n">
        <x:v>0</x:v>
      </x:c>
      <x:c r="T95" s="26" t="n">
        <x:f>IF(K95="USD",1,'参数'!$B$6)</x:f>
        <x:v>0.136986301369863</x:v>
      </x:c>
      <x:c r="U95" s="26" t="n">
        <x:f t="shared" si="5">O95*P95*Q95/R95*(1+S95)*T95</x:f>
        <x:v>0.0684931506849315</x:v>
      </x:c>
      <x:c r="V95" s="23" t="str">
        <x:f t="shared" si="6">IF(F95="per_request","USD/次",IF(F95="per_duration","USD/秒",IF(F95="per_token","USD/1M Token","")))</x:f>
        <x:v>USD/秒</x:v>
      </x:c>
      <x:c r="W95" s="20" t="n">
        <x:v>46229.393565162034</x:v>
      </x:c>
      <x:c r="X95" s="20"/>
      <x:c r="Y95" s="2" t="str">
        <x:v>active</x:v>
      </x:c>
      <x:c r="Z95" s="2" t="str">
        <x:v>SRC-CH-03</x:v>
      </x:c>
      <x:c r="AA95" s="7" t="str">
        <x:v>源行=sd!51；原模型=seedance-480p-10s；时长=10；比例=不限；视频输入=是；真人脸=否；超分=否；素材库=否；NSFW=否；协议=new-api；素材限制=933；原表折扣 秒 含V=1.779（成本/官价参考比，不参与成本二次计算）；火山URL</x:v>
      </x:c>
      <x:c r="AB95" s="23" t="str">
        <x:f t="shared" si="7">IF(A95="","",IF(COUNTIF($A$5:$A$1004,A95)&gt;1,"错误:重复成本规则ID",IF(OR(B95="",C95="",E95="",F95="",K95="",O95&lt;=0,P95&lt;=0,Q95&lt;=0,R95&lt;=0,S95&lt;0,T95&lt;=0,Y95=""),"错误:必填项",IF(D95="","警告:SKU待映射","OK"))))</x:f>
        <x:v>OK</x:v>
      </x:c>
    </x:row>
    <x:row r="96" ht="52.79999923706055" hidden="1" customHeight="1">
      <x:c r="A96" s="2" t="str">
        <x:v>COST-LUCEN-R52-480-SEC-NOV</x:v>
      </x:c>
      <x:c r="B96" s="2" t="str">
        <x:v>CH-LUCEN</x:v>
      </x:c>
      <x:c r="C96" s="2" t="str">
        <x:v>seedance-480p-15s</x:v>
      </x:c>
      <x:c r="D96" s="2" t="str">
        <x:v>SKU-SD20-STD-480</x:v>
      </x:c>
      <x:c r="E96" s="2" t="str">
        <x:v>no_video</x:v>
      </x:c>
      <x:c r="F96" s="2" t="str">
        <x:v>per_duration</x:v>
      </x:c>
      <x:c r="G96" s="2"/>
      <x:c r="H96" s="2" t="str">
        <x:v>validated_request</x:v>
      </x:c>
      <x:c r="I96" s="2" t="str">
        <x:v>billable_duration_seconds</x:v>
      </x:c>
      <x:c r="J96" s="2" t="str">
        <x:v>task_succeeded</x:v>
      </x:c>
      <x:c r="K96" s="2" t="str">
        <x:v>CNY</x:v>
      </x:c>
      <x:c r="L96" s="27"/>
      <x:c r="M96" s="27" t="n">
        <x:v>0.5</x:v>
      </x:c>
      <x:c r="N96" s="27"/>
      <x:c r="O96" s="26" t="n">
        <x:f t="shared" si="4">IF(F96="per_request",L96,IF(F96="per_duration",M96,IF(F96="per_token",N96,0)))</x:f>
        <x:v>0.5</x:v>
      </x:c>
      <x:c r="P96" s="27" t="n">
        <x:v>1</x:v>
      </x:c>
      <x:c r="Q96" s="27" t="n">
        <x:v>1</x:v>
      </x:c>
      <x:c r="R96" s="27" t="n">
        <x:v>1</x:v>
      </x:c>
      <x:c r="S96" s="27" t="n">
        <x:v>0</x:v>
      </x:c>
      <x:c r="T96" s="26" t="n">
        <x:f>IF(K96="USD",1,'参数'!$B$6)</x:f>
        <x:v>0.136986301369863</x:v>
      </x:c>
      <x:c r="U96" s="26" t="n">
        <x:f t="shared" si="5">O96*P96*Q96/R96*(1+S96)*T96</x:f>
        <x:v>0.0684931506849315</x:v>
      </x:c>
      <x:c r="V96" s="23" t="str">
        <x:f t="shared" si="6">IF(F96="per_request","USD/次",IF(F96="per_duration","USD/秒",IF(F96="per_token","USD/1M Token","")))</x:f>
        <x:v>USD/秒</x:v>
      </x:c>
      <x:c r="W96" s="20" t="n">
        <x:v>46229.393565162034</x:v>
      </x:c>
      <x:c r="X96" s="20"/>
      <x:c r="Y96" s="2" t="str">
        <x:v>active</x:v>
      </x:c>
      <x:c r="Z96" s="2" t="str">
        <x:v>SRC-CH-03</x:v>
      </x:c>
      <x:c r="AA96" s="7" t="str">
        <x:v>源行=sd!52；原模型=seedance-480p-15s；时长=15；比例=不限；视频输入=是；真人脸=否；超分=否；素材库=否；NSFW=否；协议=new-api；素材限制=933；原表折扣 秒 无V=1.082（成本/官价参考比，不参与成本二次计算）；火山URL</x:v>
      </x:c>
      <x:c r="AB96" s="23" t="str">
        <x:f t="shared" si="7">IF(A96="","",IF(COUNTIF($A$5:$A$1004,A96)&gt;1,"错误:重复成本规则ID",IF(OR(B96="",C96="",E96="",F96="",K96="",O96&lt;=0,P96&lt;=0,Q96&lt;=0,R96&lt;=0,S96&lt;0,T96&lt;=0,Y96=""),"错误:必填项",IF(D96="","警告:SKU待映射","OK"))))</x:f>
        <x:v>OK</x:v>
      </x:c>
    </x:row>
    <x:row r="97" ht="52.79999923706055" hidden="1" customHeight="1">
      <x:c r="A97" s="2" t="str">
        <x:v>COST-LUCEN-R52-480-SEC-VID</x:v>
      </x:c>
      <x:c r="B97" s="2" t="str">
        <x:v>CH-LUCEN</x:v>
      </x:c>
      <x:c r="C97" s="2" t="str">
        <x:v>seedance-480p-15s</x:v>
      </x:c>
      <x:c r="D97" s="2" t="str">
        <x:v>SKU-SD20-STD-480</x:v>
      </x:c>
      <x:c r="E97" s="2" t="str">
        <x:v>with_video</x:v>
      </x:c>
      <x:c r="F97" s="2" t="str">
        <x:v>per_duration</x:v>
      </x:c>
      <x:c r="G97" s="2"/>
      <x:c r="H97" s="2" t="str">
        <x:v>validated_request</x:v>
      </x:c>
      <x:c r="I97" s="2" t="str">
        <x:v>billable_duration_seconds</x:v>
      </x:c>
      <x:c r="J97" s="2" t="str">
        <x:v>task_succeeded</x:v>
      </x:c>
      <x:c r="K97" s="2" t="str">
        <x:v>CNY</x:v>
      </x:c>
      <x:c r="L97" s="27"/>
      <x:c r="M97" s="27" t="n">
        <x:v>0.5</x:v>
      </x:c>
      <x:c r="N97" s="27"/>
      <x:c r="O97" s="26" t="n">
        <x:f t="shared" si="4">IF(F97="per_request",L97,IF(F97="per_duration",M97,IF(F97="per_token",N97,0)))</x:f>
        <x:v>0.5</x:v>
      </x:c>
      <x:c r="P97" s="27" t="n">
        <x:v>1</x:v>
      </x:c>
      <x:c r="Q97" s="27" t="n">
        <x:v>1</x:v>
      </x:c>
      <x:c r="R97" s="27" t="n">
        <x:v>1</x:v>
      </x:c>
      <x:c r="S97" s="27" t="n">
        <x:v>0</x:v>
      </x:c>
      <x:c r="T97" s="26" t="n">
        <x:f>IF(K97="USD",1,'参数'!$B$6)</x:f>
        <x:v>0.136986301369863</x:v>
      </x:c>
      <x:c r="U97" s="26" t="n">
        <x:f t="shared" si="5">O97*P97*Q97/R97*(1+S97)*T97</x:f>
        <x:v>0.0684931506849315</x:v>
      </x:c>
      <x:c r="V97" s="23" t="str">
        <x:f t="shared" si="6">IF(F97="per_request","USD/次",IF(F97="per_duration","USD/秒",IF(F97="per_token","USD/1M Token","")))</x:f>
        <x:v>USD/秒</x:v>
      </x:c>
      <x:c r="W97" s="20" t="n">
        <x:v>46229.393565162034</x:v>
      </x:c>
      <x:c r="X97" s="20"/>
      <x:c r="Y97" s="2" t="str">
        <x:v>active</x:v>
      </x:c>
      <x:c r="Z97" s="2" t="str">
        <x:v>SRC-CH-03</x:v>
      </x:c>
      <x:c r="AA97" s="7" t="str">
        <x:v>源行=sd!52；原模型=seedance-480p-15s；时长=15；比例=不限；视频输入=是；真人脸=否；超分=否；素材库=否；NSFW=否；协议=new-api；素材限制=933；原表折扣 秒 含V=1.779（成本/官价参考比，不参与成本二次计算）；火山URL</x:v>
      </x:c>
      <x:c r="AB97" s="23" t="str">
        <x:f t="shared" si="7">IF(A97="","",IF(COUNTIF($A$5:$A$1004,A97)&gt;1,"错误:重复成本规则ID",IF(OR(B97="",C97="",E97="",F97="",K97="",O97&lt;=0,P97&lt;=0,Q97&lt;=0,R97&lt;=0,S97&lt;0,T97&lt;=0,Y97=""),"错误:必填项",IF(D97="","警告:SKU待映射","OK"))))</x:f>
        <x:v>OK</x:v>
      </x:c>
    </x:row>
    <x:row r="98" ht="52.79999923706055" hidden="1" customHeight="1">
      <x:c r="A98" s="2" t="str">
        <x:v>COST-LUCEN-R53-1080-SEC-NOV</x:v>
      </x:c>
      <x:c r="B98" s="2" t="str">
        <x:v>CH-LUCEN</x:v>
      </x:c>
      <x:c r="C98" s="2" t="str">
        <x:v>seedance-1080p-5s</x:v>
      </x:c>
      <x:c r="D98" s="2" t="str">
        <x:v>SKU-SD20-STD-1080</x:v>
      </x:c>
      <x:c r="E98" s="2" t="str">
        <x:v>no_video</x:v>
      </x:c>
      <x:c r="F98" s="2" t="str">
        <x:v>per_duration</x:v>
      </x:c>
      <x:c r="G98" s="2"/>
      <x:c r="H98" s="2" t="str">
        <x:v>validated_request</x:v>
      </x:c>
      <x:c r="I98" s="2" t="str">
        <x:v>billable_duration_seconds</x:v>
      </x:c>
      <x:c r="J98" s="2" t="str">
        <x:v>task_succeeded</x:v>
      </x:c>
      <x:c r="K98" s="2" t="str">
        <x:v>CNY</x:v>
      </x:c>
      <x:c r="L98" s="27"/>
      <x:c r="M98" s="27" t="n">
        <x:v>2.5</x:v>
      </x:c>
      <x:c r="N98" s="27"/>
      <x:c r="O98" s="26" t="n">
        <x:f t="shared" si="4">IF(F98="per_request",L98,IF(F98="per_duration",M98,IF(F98="per_token",N98,0)))</x:f>
        <x:v>2.5</x:v>
      </x:c>
      <x:c r="P98" s="27" t="n">
        <x:v>1</x:v>
      </x:c>
      <x:c r="Q98" s="27" t="n">
        <x:v>1</x:v>
      </x:c>
      <x:c r="R98" s="27" t="n">
        <x:v>1</x:v>
      </x:c>
      <x:c r="S98" s="27" t="n">
        <x:v>0</x:v>
      </x:c>
      <x:c r="T98" s="26" t="n">
        <x:f>IF(K98="USD",1,'参数'!$B$6)</x:f>
        <x:v>0.136986301369863</x:v>
      </x:c>
      <x:c r="U98" s="26" t="n">
        <x:f t="shared" si="5">O98*P98*Q98/R98*(1+S98)*T98</x:f>
        <x:v>0.3424657534246575</x:v>
      </x:c>
      <x:c r="V98" s="23" t="str">
        <x:f t="shared" si="6">IF(F98="per_request","USD/次",IF(F98="per_duration","USD/秒",IF(F98="per_token","USD/1M Token","")))</x:f>
        <x:v>USD/秒</x:v>
      </x:c>
      <x:c r="W98" s="20" t="n">
        <x:v>46229.393565162034</x:v>
      </x:c>
      <x:c r="X98" s="20"/>
      <x:c r="Y98" s="2" t="str">
        <x:v>active</x:v>
      </x:c>
      <x:c r="Z98" s="2" t="str">
        <x:v>SRC-CH-03</x:v>
      </x:c>
      <x:c r="AA98" s="7" t="str">
        <x:v>源行=sd!53；原模型=seedance-1080p-5s；时长=5；比例=不限；视频输入=是；真人脸=否；超分=否；素材库=否；NSFW=否；协议=new-api；素材限制=933；原表折扣 秒 无V=1.008（成本/官价参考比，不参与成本二次计算）；火山URL</x:v>
      </x:c>
      <x:c r="AB98" s="23" t="str">
        <x:f t="shared" si="7">IF(A98="","",IF(COUNTIF($A$5:$A$1004,A98)&gt;1,"错误:重复成本规则ID",IF(OR(B98="",C98="",E98="",F98="",K98="",O98&lt;=0,P98&lt;=0,Q98&lt;=0,R98&lt;=0,S98&lt;0,T98&lt;=0,Y98=""),"错误:必填项",IF(D98="","警告:SKU待映射","OK"))))</x:f>
        <x:v>OK</x:v>
      </x:c>
    </x:row>
    <x:row r="99" ht="52.79999923706055" hidden="1" customHeight="1">
      <x:c r="A99" s="2" t="str">
        <x:v>COST-LUCEN-R53-1080-SEC-VID</x:v>
      </x:c>
      <x:c r="B99" s="2" t="str">
        <x:v>CH-LUCEN</x:v>
      </x:c>
      <x:c r="C99" s="2" t="str">
        <x:v>seedance-1080p-5s</x:v>
      </x:c>
      <x:c r="D99" s="2" t="str">
        <x:v>SKU-SD20-STD-1080</x:v>
      </x:c>
      <x:c r="E99" s="2" t="str">
        <x:v>with_video</x:v>
      </x:c>
      <x:c r="F99" s="2" t="str">
        <x:v>per_duration</x:v>
      </x:c>
      <x:c r="G99" s="2"/>
      <x:c r="H99" s="2" t="str">
        <x:v>validated_request</x:v>
      </x:c>
      <x:c r="I99" s="2" t="str">
        <x:v>billable_duration_seconds</x:v>
      </x:c>
      <x:c r="J99" s="2" t="str">
        <x:v>task_succeeded</x:v>
      </x:c>
      <x:c r="K99" s="2" t="str">
        <x:v>CNY</x:v>
      </x:c>
      <x:c r="L99" s="27"/>
      <x:c r="M99" s="27" t="n">
        <x:v>2.5</x:v>
      </x:c>
      <x:c r="N99" s="27"/>
      <x:c r="O99" s="26" t="n">
        <x:f t="shared" si="4">IF(F99="per_request",L99,IF(F99="per_duration",M99,IF(F99="per_token",N99,0)))</x:f>
        <x:v>2.5</x:v>
      </x:c>
      <x:c r="P99" s="27" t="n">
        <x:v>1</x:v>
      </x:c>
      <x:c r="Q99" s="27" t="n">
        <x:v>1</x:v>
      </x:c>
      <x:c r="R99" s="27" t="n">
        <x:v>1</x:v>
      </x:c>
      <x:c r="S99" s="27" t="n">
        <x:v>0</x:v>
      </x:c>
      <x:c r="T99" s="26" t="n">
        <x:f>IF(K99="USD",1,'参数'!$B$6)</x:f>
        <x:v>0.136986301369863</x:v>
      </x:c>
      <x:c r="U99" s="26" t="n">
        <x:f t="shared" si="5">O99*P99*Q99/R99*(1+S99)*T99</x:f>
        <x:v>0.3424657534246575</x:v>
      </x:c>
      <x:c r="V99" s="23" t="str">
        <x:f t="shared" si="6">IF(F99="per_request","USD/次",IF(F99="per_duration","USD/秒",IF(F99="per_token","USD/1M Token","")))</x:f>
        <x:v>USD/秒</x:v>
      </x:c>
      <x:c r="W99" s="20" t="n">
        <x:v>46229.393565162034</x:v>
      </x:c>
      <x:c r="X99" s="20"/>
      <x:c r="Y99" s="2" t="str">
        <x:v>active</x:v>
      </x:c>
      <x:c r="Z99" s="2" t="str">
        <x:v>SRC-CH-03</x:v>
      </x:c>
      <x:c r="AA99" s="7" t="str">
        <x:v>源行=sd!53；原模型=seedance-1080p-5s；时长=5；比例=不限；视频输入=是；真人脸=否；超分=否；素材库=否；NSFW=否；协议=new-api；素材限制=933；原表折扣 秒 含V=1.659（成本/官价参考比，不参与成本二次计算）；火山URL</x:v>
      </x:c>
      <x:c r="AB99" s="23" t="str">
        <x:f t="shared" si="7">IF(A99="","",IF(COUNTIF($A$5:$A$1004,A99)&gt;1,"错误:重复成本规则ID",IF(OR(B99="",C99="",E99="",F99="",K99="",O99&lt;=0,P99&lt;=0,Q99&lt;=0,R99&lt;=0,S99&lt;0,T99&lt;=0,Y99=""),"错误:必填项",IF(D99="","警告:SKU待映射","OK"))))</x:f>
        <x:v>OK</x:v>
      </x:c>
    </x:row>
    <x:row r="100" ht="52.79999923706055" hidden="1" customHeight="1">
      <x:c r="A100" s="2" t="str">
        <x:v>COST-LUCEN-R54-1080-SEC-NOV</x:v>
      </x:c>
      <x:c r="B100" s="2" t="str">
        <x:v>CH-LUCEN</x:v>
      </x:c>
      <x:c r="C100" s="2" t="str">
        <x:v>seedance-1080p-10s</x:v>
      </x:c>
      <x:c r="D100" s="2" t="str">
        <x:v>SKU-SD20-STD-1080</x:v>
      </x:c>
      <x:c r="E100" s="2" t="str">
        <x:v>no_video</x:v>
      </x:c>
      <x:c r="F100" s="2" t="str">
        <x:v>per_duration</x:v>
      </x:c>
      <x:c r="G100" s="2"/>
      <x:c r="H100" s="2" t="str">
        <x:v>validated_request</x:v>
      </x:c>
      <x:c r="I100" s="2" t="str">
        <x:v>billable_duration_seconds</x:v>
      </x:c>
      <x:c r="J100" s="2" t="str">
        <x:v>task_succeeded</x:v>
      </x:c>
      <x:c r="K100" s="2" t="str">
        <x:v>CNY</x:v>
      </x:c>
      <x:c r="L100" s="27"/>
      <x:c r="M100" s="27" t="n">
        <x:v>2.5</x:v>
      </x:c>
      <x:c r="N100" s="27"/>
      <x:c r="O100" s="26" t="n">
        <x:f t="shared" si="4">IF(F100="per_request",L100,IF(F100="per_duration",M100,IF(F100="per_token",N100,0)))</x:f>
        <x:v>2.5</x:v>
      </x:c>
      <x:c r="P100" s="27" t="n">
        <x:v>1</x:v>
      </x:c>
      <x:c r="Q100" s="27" t="n">
        <x:v>1</x:v>
      </x:c>
      <x:c r="R100" s="27" t="n">
        <x:v>1</x:v>
      </x:c>
      <x:c r="S100" s="27" t="n">
        <x:v>0</x:v>
      </x:c>
      <x:c r="T100" s="26" t="n">
        <x:f>IF(K100="USD",1,'参数'!$B$6)</x:f>
        <x:v>0.136986301369863</x:v>
      </x:c>
      <x:c r="U100" s="26" t="n">
        <x:f t="shared" si="5">O100*P100*Q100/R100*(1+S100)*T100</x:f>
        <x:v>0.3424657534246575</x:v>
      </x:c>
      <x:c r="V100" s="23" t="str">
        <x:f t="shared" si="6">IF(F100="per_request","USD/次",IF(F100="per_duration","USD/秒",IF(F100="per_token","USD/1M Token","")))</x:f>
        <x:v>USD/秒</x:v>
      </x:c>
      <x:c r="W100" s="20" t="n">
        <x:v>46229.393565162034</x:v>
      </x:c>
      <x:c r="X100" s="20"/>
      <x:c r="Y100" s="2" t="str">
        <x:v>active</x:v>
      </x:c>
      <x:c r="Z100" s="2" t="str">
        <x:v>SRC-CH-03</x:v>
      </x:c>
      <x:c r="AA100" s="7" t="str">
        <x:v>源行=sd!54；原模型=seedance-1080p-10s；时长=10；比例=不限；视频输入=是；真人脸=否；超分=否；素材库=否；NSFW=否；协议=new-api；素材限制=933；原表折扣 秒 无V=1.008（成本/官价参考比，不参与成本二次计算）；火山URL</x:v>
      </x:c>
      <x:c r="AB100" s="23" t="str">
        <x:f t="shared" si="7">IF(A100="","",IF(COUNTIF($A$5:$A$1004,A100)&gt;1,"错误:重复成本规则ID",IF(OR(B100="",C100="",E100="",F100="",K100="",O100&lt;=0,P100&lt;=0,Q100&lt;=0,R100&lt;=0,S100&lt;0,T100&lt;=0,Y100=""),"错误:必填项",IF(D100="","警告:SKU待映射","OK"))))</x:f>
        <x:v>OK</x:v>
      </x:c>
    </x:row>
    <x:row r="101" ht="52.79999923706055" hidden="1" customHeight="1">
      <x:c r="A101" s="2" t="str">
        <x:v>COST-LUCEN-R54-1080-SEC-VID</x:v>
      </x:c>
      <x:c r="B101" s="2" t="str">
        <x:v>CH-LUCEN</x:v>
      </x:c>
      <x:c r="C101" s="2" t="str">
        <x:v>seedance-1080p-10s</x:v>
      </x:c>
      <x:c r="D101" s="2" t="str">
        <x:v>SKU-SD20-STD-1080</x:v>
      </x:c>
      <x:c r="E101" s="2" t="str">
        <x:v>with_video</x:v>
      </x:c>
      <x:c r="F101" s="2" t="str">
        <x:v>per_duration</x:v>
      </x:c>
      <x:c r="G101" s="2"/>
      <x:c r="H101" s="2" t="str">
        <x:v>validated_request</x:v>
      </x:c>
      <x:c r="I101" s="2" t="str">
        <x:v>billable_duration_seconds</x:v>
      </x:c>
      <x:c r="J101" s="2" t="str">
        <x:v>task_succeeded</x:v>
      </x:c>
      <x:c r="K101" s="2" t="str">
        <x:v>CNY</x:v>
      </x:c>
      <x:c r="L101" s="27"/>
      <x:c r="M101" s="27" t="n">
        <x:v>2.5</x:v>
      </x:c>
      <x:c r="N101" s="27"/>
      <x:c r="O101" s="26" t="n">
        <x:f t="shared" si="4">IF(F101="per_request",L101,IF(F101="per_duration",M101,IF(F101="per_token",N101,0)))</x:f>
        <x:v>2.5</x:v>
      </x:c>
      <x:c r="P101" s="27" t="n">
        <x:v>1</x:v>
      </x:c>
      <x:c r="Q101" s="27" t="n">
        <x:v>1</x:v>
      </x:c>
      <x:c r="R101" s="27" t="n">
        <x:v>1</x:v>
      </x:c>
      <x:c r="S101" s="27" t="n">
        <x:v>0</x:v>
      </x:c>
      <x:c r="T101" s="26" t="n">
        <x:f>IF(K101="USD",1,'参数'!$B$6)</x:f>
        <x:v>0.136986301369863</x:v>
      </x:c>
      <x:c r="U101" s="26" t="n">
        <x:f t="shared" si="5">O101*P101*Q101/R101*(1+S101)*T101</x:f>
        <x:v>0.3424657534246575</x:v>
      </x:c>
      <x:c r="V101" s="23" t="str">
        <x:f t="shared" si="6">IF(F101="per_request","USD/次",IF(F101="per_duration","USD/秒",IF(F101="per_token","USD/1M Token","")))</x:f>
        <x:v>USD/秒</x:v>
      </x:c>
      <x:c r="W101" s="20" t="n">
        <x:v>46229.393565162034</x:v>
      </x:c>
      <x:c r="X101" s="20"/>
      <x:c r="Y101" s="2" t="str">
        <x:v>active</x:v>
      </x:c>
      <x:c r="Z101" s="2" t="str">
        <x:v>SRC-CH-03</x:v>
      </x:c>
      <x:c r="AA101" s="7" t="str">
        <x:v>源行=sd!54；原模型=seedance-1080p-10s；时长=10；比例=不限；视频输入=是；真人脸=否；超分=否；素材库=否；NSFW=否；协议=new-api；素材限制=933；原表折扣 秒 含V=1.659（成本/官价参考比，不参与成本二次计算）；火山URL</x:v>
      </x:c>
      <x:c r="AB101" s="23" t="str">
        <x:f t="shared" si="7">IF(A101="","",IF(COUNTIF($A$5:$A$1004,A101)&gt;1,"错误:重复成本规则ID",IF(OR(B101="",C101="",E101="",F101="",K101="",O101&lt;=0,P101&lt;=0,Q101&lt;=0,R101&lt;=0,S101&lt;0,T101&lt;=0,Y101=""),"错误:必填项",IF(D101="","警告:SKU待映射","OK"))))</x:f>
        <x:v>OK</x:v>
      </x:c>
    </x:row>
    <x:row r="102" ht="66" hidden="1" customHeight="1">
      <x:c r="A102" s="2" t="str">
        <x:v>COST-LUCEN-R55-1080-SEC-NOV</x:v>
      </x:c>
      <x:c r="B102" s="2" t="str">
        <x:v>CH-LUCEN</x:v>
      </x:c>
      <x:c r="C102" s="2" t="str">
        <x:v>seedance-1080p-15s</x:v>
      </x:c>
      <x:c r="D102" s="2" t="str">
        <x:v>SKU-SD20-STD-1080</x:v>
      </x:c>
      <x:c r="E102" s="2" t="str">
        <x:v>no_video</x:v>
      </x:c>
      <x:c r="F102" s="2" t="str">
        <x:v>per_duration</x:v>
      </x:c>
      <x:c r="G102" s="2"/>
      <x:c r="H102" s="2" t="str">
        <x:v>validated_request</x:v>
      </x:c>
      <x:c r="I102" s="2" t="str">
        <x:v>billable_duration_seconds</x:v>
      </x:c>
      <x:c r="J102" s="2" t="str">
        <x:v>task_succeeded</x:v>
      </x:c>
      <x:c r="K102" s="2" t="str">
        <x:v>CNY</x:v>
      </x:c>
      <x:c r="L102" s="27"/>
      <x:c r="M102" s="27" t="n">
        <x:v>2.5</x:v>
      </x:c>
      <x:c r="N102" s="27"/>
      <x:c r="O102" s="26" t="n">
        <x:f t="shared" si="4">IF(F102="per_request",L102,IF(F102="per_duration",M102,IF(F102="per_token",N102,0)))</x:f>
        <x:v>2.5</x:v>
      </x:c>
      <x:c r="P102" s="27" t="n">
        <x:v>1</x:v>
      </x:c>
      <x:c r="Q102" s="27" t="n">
        <x:v>1</x:v>
      </x:c>
      <x:c r="R102" s="27" t="n">
        <x:v>1</x:v>
      </x:c>
      <x:c r="S102" s="27" t="n">
        <x:v>0</x:v>
      </x:c>
      <x:c r="T102" s="26" t="n">
        <x:f>IF(K102="USD",1,'参数'!$B$6)</x:f>
        <x:v>0.136986301369863</x:v>
      </x:c>
      <x:c r="U102" s="26" t="n">
        <x:f t="shared" si="5">O102*P102*Q102/R102*(1+S102)*T102</x:f>
        <x:v>0.3424657534246575</x:v>
      </x:c>
      <x:c r="V102" s="23" t="str">
        <x:f t="shared" si="6">IF(F102="per_request","USD/次",IF(F102="per_duration","USD/秒",IF(F102="per_token","USD/1M Token","")))</x:f>
        <x:v>USD/秒</x:v>
      </x:c>
      <x:c r="W102" s="20" t="n">
        <x:v>46229.393565162034</x:v>
      </x:c>
      <x:c r="X102" s="20"/>
      <x:c r="Y102" s="2" t="str">
        <x:v>active</x:v>
      </x:c>
      <x:c r="Z102" s="2" t="str">
        <x:v>SRC-CH-03</x:v>
      </x:c>
      <x:c r="AA102" s="7" t="str">
        <x:v>源行=sd!55；原模型=seedance-1080p-15s；时长=15；比例=不限；视频输入=是；真人脸=否；超分=否；素材库=否；NSFW=否；协议=new-api；素材限制=933；原表折扣 秒 无V=1.008（成本/官价参考比，不参与成本二次计算）；火山URL</x:v>
      </x:c>
      <x:c r="AB102" s="23" t="str">
        <x:f t="shared" si="7">IF(A102="","",IF(COUNTIF($A$5:$A$1004,A102)&gt;1,"错误:重复成本规则ID",IF(OR(B102="",C102="",E102="",F102="",K102="",O102&lt;=0,P102&lt;=0,Q102&lt;=0,R102&lt;=0,S102&lt;0,T102&lt;=0,Y102=""),"错误:必填项",IF(D102="","警告:SKU待映射","OK"))))</x:f>
        <x:v>OK</x:v>
      </x:c>
    </x:row>
    <x:row r="103" ht="66" hidden="1" customHeight="1">
      <x:c r="A103" s="2" t="str">
        <x:v>COST-LUCEN-R55-1080-SEC-VID</x:v>
      </x:c>
      <x:c r="B103" s="2" t="str">
        <x:v>CH-LUCEN</x:v>
      </x:c>
      <x:c r="C103" s="2" t="str">
        <x:v>seedance-1080p-15s</x:v>
      </x:c>
      <x:c r="D103" s="2" t="str">
        <x:v>SKU-SD20-STD-1080</x:v>
      </x:c>
      <x:c r="E103" s="2" t="str">
        <x:v>with_video</x:v>
      </x:c>
      <x:c r="F103" s="2" t="str">
        <x:v>per_duration</x:v>
      </x:c>
      <x:c r="G103" s="2"/>
      <x:c r="H103" s="2" t="str">
        <x:v>validated_request</x:v>
      </x:c>
      <x:c r="I103" s="2" t="str">
        <x:v>billable_duration_seconds</x:v>
      </x:c>
      <x:c r="J103" s="2" t="str">
        <x:v>task_succeeded</x:v>
      </x:c>
      <x:c r="K103" s="2" t="str">
        <x:v>CNY</x:v>
      </x:c>
      <x:c r="L103" s="27"/>
      <x:c r="M103" s="27" t="n">
        <x:v>2.5</x:v>
      </x:c>
      <x:c r="N103" s="27"/>
      <x:c r="O103" s="26" t="n">
        <x:f t="shared" si="4">IF(F103="per_request",L103,IF(F103="per_duration",M103,IF(F103="per_token",N103,0)))</x:f>
        <x:v>2.5</x:v>
      </x:c>
      <x:c r="P103" s="27" t="n">
        <x:v>1</x:v>
      </x:c>
      <x:c r="Q103" s="27" t="n">
        <x:v>1</x:v>
      </x:c>
      <x:c r="R103" s="27" t="n">
        <x:v>1</x:v>
      </x:c>
      <x:c r="S103" s="27" t="n">
        <x:v>0</x:v>
      </x:c>
      <x:c r="T103" s="26" t="n">
        <x:f>IF(K103="USD",1,'参数'!$B$6)</x:f>
        <x:v>0.136986301369863</x:v>
      </x:c>
      <x:c r="U103" s="26" t="n">
        <x:f t="shared" si="5">O103*P103*Q103/R103*(1+S103)*T103</x:f>
        <x:v>0.3424657534246575</x:v>
      </x:c>
      <x:c r="V103" s="23" t="str">
        <x:f t="shared" si="6">IF(F103="per_request","USD/次",IF(F103="per_duration","USD/秒",IF(F103="per_token","USD/1M Token","")))</x:f>
        <x:v>USD/秒</x:v>
      </x:c>
      <x:c r="W103" s="20" t="n">
        <x:v>46229.393565162034</x:v>
      </x:c>
      <x:c r="X103" s="20"/>
      <x:c r="Y103" s="2" t="str">
        <x:v>active</x:v>
      </x:c>
      <x:c r="Z103" s="2" t="str">
        <x:v>SRC-CH-03</x:v>
      </x:c>
      <x:c r="AA103" s="7" t="str">
        <x:v>源行=sd!55；原模型=seedance-1080p-15s；时长=15；比例=不限；视频输入=是；真人脸=否；超分=否；素材库=否；NSFW=否；协议=new-api；素材限制=933；原表折扣 秒 含V=1.659（成本/官价参考比，不参与成本二次计算）；火山URL</x:v>
      </x:c>
      <x:c r="AB103" s="23" t="str">
        <x:f t="shared" si="7">IF(A103="","",IF(COUNTIF($A$5:$A$1004,A103)&gt;1,"错误:重复成本规则ID",IF(OR(B103="",C103="",E103="",F103="",K103="",O103&lt;=0,P103&lt;=0,Q103&lt;=0,R103&lt;=0,S103&lt;0,T103&lt;=0,Y103=""),"错误:必填项",IF(D103="","警告:SKU待映射","OK"))))</x:f>
        <x:v>OK</x:v>
      </x:c>
    </x:row>
    <x:row r="104" ht="66" hidden="1" customHeight="1">
      <x:c r="A104" s="2" t="str">
        <x:v>COST-LUCEN-R56-480-TOK-NOV</x:v>
      </x:c>
      <x:c r="B104" s="2" t="str">
        <x:v>CH-LUCEN</x:v>
      </x:c>
      <x:c r="C104" s="2" t="str">
        <x:v>seedance-480p-token</x:v>
      </x:c>
      <x:c r="D104" s="2" t="str">
        <x:v>SKU-SD20-STD-480</x:v>
      </x:c>
      <x:c r="E104" s="2" t="str">
        <x:v>no_video</x:v>
      </x:c>
      <x:c r="F104" s="2" t="str">
        <x:v>per_token</x:v>
      </x:c>
      <x:c r="G104" s="2" t="str">
        <x:v>total</x:v>
      </x:c>
      <x:c r="H104" s="2" t="str">
        <x:v>video_pixel_tokens</x:v>
      </x:c>
      <x:c r="I104" s="2" t="str">
        <x:v>estimated_tokens</x:v>
      </x:c>
      <x:c r="J104" s="2" t="str">
        <x:v>task_succeeded</x:v>
      </x:c>
      <x:c r="K104" s="2" t="str">
        <x:v>CNY</x:v>
      </x:c>
      <x:c r="L104" s="27"/>
      <x:c r="M104" s="27"/>
      <x:c r="N104" s="27" t="n">
        <x:v>46</x:v>
      </x:c>
      <x:c r="O104" s="26" t="n">
        <x:f t="shared" si="4">IF(F104="per_request",L104,IF(F104="per_duration",M104,IF(F104="per_token",N104,0)))</x:f>
        <x:v>46</x:v>
      </x:c>
      <x:c r="P104" s="27" t="n">
        <x:v>1</x:v>
      </x:c>
      <x:c r="Q104" s="27" t="n">
        <x:v>1</x:v>
      </x:c>
      <x:c r="R104" s="27" t="n">
        <x:v>1</x:v>
      </x:c>
      <x:c r="S104" s="27" t="n">
        <x:v>0</x:v>
      </x:c>
      <x:c r="T104" s="26" t="n">
        <x:f>IF(K104="USD",1,'参数'!$B$6)</x:f>
        <x:v>0.136986301369863</x:v>
      </x:c>
      <x:c r="U104" s="26" t="n">
        <x:f t="shared" si="5">O104*P104*Q104/R104*(1+S104)*T104</x:f>
        <x:v>6.301369863013698</x:v>
      </x:c>
      <x:c r="V104" s="23" t="str">
        <x:f t="shared" si="6">IF(F104="per_request","USD/次",IF(F104="per_duration","USD/秒",IF(F104="per_token","USD/1M Token","")))</x:f>
        <x:v>USD/1M Token</x:v>
      </x:c>
      <x:c r="W104" s="20" t="n">
        <x:v>46229.393565162034</x:v>
      </x:c>
      <x:c r="X104" s="20"/>
      <x:c r="Y104" s="2" t="str">
        <x:v>active</x:v>
      </x:c>
      <x:c r="Z104" s="2" t="str">
        <x:v>SRC-CH-03</x:v>
      </x:c>
      <x:c r="AA104" s="7" t="str">
        <x:v>源行=sd!56；原模型=seedance-480p-token；时长=4-15；比例=不限；视频输入=是；真人脸=否；超分=否；素材库=否；NSFW=否；协议=new-api；素材限制=933；原表折扣 M 无V=1（成本/官价参考比，不参与成本二次计算）；输入视频由网关解析，输出视频由上游结果解析；均按像素Token公式计量；火山URL</x:v>
      </x:c>
      <x:c r="AB104" s="23" t="str">
        <x:f t="shared" si="7">IF(A104="","",IF(COUNTIF($A$5:$A$1004,A104)&gt;1,"错误:重复成本规则ID",IF(OR(B104="",C104="",E104="",F104="",K104="",O104&lt;=0,P104&lt;=0,Q104&lt;=0,R104&lt;=0,S104&lt;0,T104&lt;=0,Y104=""),"错误:必填项",IF(D104="","警告:SKU待映射","OK"))))</x:f>
        <x:v>OK</x:v>
      </x:c>
    </x:row>
    <x:row r="105" ht="66" hidden="1" customHeight="1">
      <x:c r="A105" s="2" t="str">
        <x:v>COST-LUCEN-R56-480-TOK-VID</x:v>
      </x:c>
      <x:c r="B105" s="2" t="str">
        <x:v>CH-LUCEN</x:v>
      </x:c>
      <x:c r="C105" s="2" t="str">
        <x:v>seedance-480p-token</x:v>
      </x:c>
      <x:c r="D105" s="2" t="str">
        <x:v>SKU-SD20-STD-480</x:v>
      </x:c>
      <x:c r="E105" s="2" t="str">
        <x:v>with_video</x:v>
      </x:c>
      <x:c r="F105" s="2" t="str">
        <x:v>per_token</x:v>
      </x:c>
      <x:c r="G105" s="2" t="str">
        <x:v>total</x:v>
      </x:c>
      <x:c r="H105" s="2" t="str">
        <x:v>video_pixel_tokens</x:v>
      </x:c>
      <x:c r="I105" s="2" t="str">
        <x:v>estimated_tokens</x:v>
      </x:c>
      <x:c r="J105" s="2" t="str">
        <x:v>task_succeeded</x:v>
      </x:c>
      <x:c r="K105" s="2" t="str">
        <x:v>CNY</x:v>
      </x:c>
      <x:c r="L105" s="27"/>
      <x:c r="M105" s="27"/>
      <x:c r="N105" s="27" t="n">
        <x:v>46</x:v>
      </x:c>
      <x:c r="O105" s="26" t="n">
        <x:f t="shared" si="4">IF(F105="per_request",L105,IF(F105="per_duration",M105,IF(F105="per_token",N105,0)))</x:f>
        <x:v>46</x:v>
      </x:c>
      <x:c r="P105" s="27" t="n">
        <x:v>1</x:v>
      </x:c>
      <x:c r="Q105" s="27" t="n">
        <x:v>1</x:v>
      </x:c>
      <x:c r="R105" s="27" t="n">
        <x:v>1</x:v>
      </x:c>
      <x:c r="S105" s="27" t="n">
        <x:v>0</x:v>
      </x:c>
      <x:c r="T105" s="26" t="n">
        <x:f>IF(K105="USD",1,'参数'!$B$6)</x:f>
        <x:v>0.136986301369863</x:v>
      </x:c>
      <x:c r="U105" s="26" t="n">
        <x:f t="shared" si="5">O105*P105*Q105/R105*(1+S105)*T105</x:f>
        <x:v>6.301369863013698</x:v>
      </x:c>
      <x:c r="V105" s="23" t="str">
        <x:f t="shared" si="6">IF(F105="per_request","USD/次",IF(F105="per_duration","USD/秒",IF(F105="per_token","USD/1M Token","")))</x:f>
        <x:v>USD/1M Token</x:v>
      </x:c>
      <x:c r="W105" s="20" t="n">
        <x:v>46229.393565162034</x:v>
      </x:c>
      <x:c r="X105" s="20"/>
      <x:c r="Y105" s="2" t="str">
        <x:v>active</x:v>
      </x:c>
      <x:c r="Z105" s="2" t="str">
        <x:v>SRC-CH-03</x:v>
      </x:c>
      <x:c r="AA105" s="7" t="str">
        <x:v>源行=sd!56；原模型=seedance-480p-token；时长=4-15；比例=不限；视频输入=是；真人脸=否；超分=否；素材库=否；NSFW=否；协议=new-api；素材限制=933；原表折扣 M 含V=1.643（成本/官价参考比，不参与成本二次计算）；输入视频由网关解析，输出视频由上游结果解析；均按像素Token公式计量；火山URL</x:v>
      </x:c>
      <x:c r="AB105" s="23" t="str">
        <x:f t="shared" si="7">IF(A105="","",IF(COUNTIF($A$5:$A$1004,A105)&gt;1,"错误:重复成本规则ID",IF(OR(B105="",C105="",E105="",F105="",K105="",O105&lt;=0,P105&lt;=0,Q105&lt;=0,R105&lt;=0,S105&lt;0,T105&lt;=0,Y105=""),"错误:必填项",IF(D105="","警告:SKU待映射","OK"))))</x:f>
        <x:v>OK</x:v>
      </x:c>
    </x:row>
    <x:row r="106" ht="66" hidden="1" customHeight="1">
      <x:c r="A106" s="2" t="str">
        <x:v>COST-LUCEN-R57-720-TOK-NOV</x:v>
      </x:c>
      <x:c r="B106" s="2" t="str">
        <x:v>CH-LUCEN</x:v>
      </x:c>
      <x:c r="C106" s="2" t="str">
        <x:v>seedance-720p-token</x:v>
      </x:c>
      <x:c r="D106" s="2" t="str">
        <x:v>SKU-SD20-STD-720</x:v>
      </x:c>
      <x:c r="E106" s="2" t="str">
        <x:v>no_video</x:v>
      </x:c>
      <x:c r="F106" s="2" t="str">
        <x:v>per_token</x:v>
      </x:c>
      <x:c r="G106" s="2" t="str">
        <x:v>total</x:v>
      </x:c>
      <x:c r="H106" s="2" t="str">
        <x:v>video_pixel_tokens</x:v>
      </x:c>
      <x:c r="I106" s="2" t="str">
        <x:v>estimated_tokens</x:v>
      </x:c>
      <x:c r="J106" s="2" t="str">
        <x:v>task_succeeded</x:v>
      </x:c>
      <x:c r="K106" s="2" t="str">
        <x:v>CNY</x:v>
      </x:c>
      <x:c r="L106" s="27"/>
      <x:c r="M106" s="27"/>
      <x:c r="N106" s="27" t="n">
        <x:v>46</x:v>
      </x:c>
      <x:c r="O106" s="26" t="n">
        <x:f t="shared" si="4">IF(F106="per_request",L106,IF(F106="per_duration",M106,IF(F106="per_token",N106,0)))</x:f>
        <x:v>46</x:v>
      </x:c>
      <x:c r="P106" s="27" t="n">
        <x:v>1</x:v>
      </x:c>
      <x:c r="Q106" s="27" t="n">
        <x:v>1</x:v>
      </x:c>
      <x:c r="R106" s="27" t="n">
        <x:v>1</x:v>
      </x:c>
      <x:c r="S106" s="27" t="n">
        <x:v>0</x:v>
      </x:c>
      <x:c r="T106" s="26" t="n">
        <x:f>IF(K106="USD",1,'参数'!$B$6)</x:f>
        <x:v>0.136986301369863</x:v>
      </x:c>
      <x:c r="U106" s="26" t="n">
        <x:f t="shared" si="5">O106*P106*Q106/R106*(1+S106)*T106</x:f>
        <x:v>6.301369863013698</x:v>
      </x:c>
      <x:c r="V106" s="23" t="str">
        <x:f t="shared" si="6">IF(F106="per_request","USD/次",IF(F106="per_duration","USD/秒",IF(F106="per_token","USD/1M Token","")))</x:f>
        <x:v>USD/1M Token</x:v>
      </x:c>
      <x:c r="W106" s="20" t="n">
        <x:v>46229.393565162034</x:v>
      </x:c>
      <x:c r="X106" s="20"/>
      <x:c r="Y106" s="2" t="str">
        <x:v>active</x:v>
      </x:c>
      <x:c r="Z106" s="2" t="str">
        <x:v>SRC-CH-03</x:v>
      </x:c>
      <x:c r="AA106" s="7" t="str">
        <x:v>源行=sd!57；原模型=seedance-720p-token；时长=4-15；比例=不限；视频输入=是；真人脸=否；超分=否；素材库=否；NSFW=否；协议=new-api；素材限制=933；原表折扣 M 无V=1（成本/官价参考比，不参与成本二次计算）；输入视频由网关解析，输出视频由上游结果解析；均按像素Token公式计量；火山URL</x:v>
      </x:c>
      <x:c r="AB106" s="23" t="str">
        <x:f t="shared" si="7">IF(A106="","",IF(COUNTIF($A$5:$A$1004,A106)&gt;1,"错误:重复成本规则ID",IF(OR(B106="",C106="",E106="",F106="",K106="",O106&lt;=0,P106&lt;=0,Q106&lt;=0,R106&lt;=0,S106&lt;0,T106&lt;=0,Y106=""),"错误:必填项",IF(D106="","警告:SKU待映射","OK"))))</x:f>
        <x:v>OK</x:v>
      </x:c>
    </x:row>
    <x:row r="107" ht="66" hidden="1" customHeight="1">
      <x:c r="A107" s="2" t="str">
        <x:v>COST-LUCEN-R57-720-TOK-VID</x:v>
      </x:c>
      <x:c r="B107" s="2" t="str">
        <x:v>CH-LUCEN</x:v>
      </x:c>
      <x:c r="C107" s="2" t="str">
        <x:v>seedance-720p-token</x:v>
      </x:c>
      <x:c r="D107" s="2" t="str">
        <x:v>SKU-SD20-STD-720</x:v>
      </x:c>
      <x:c r="E107" s="2" t="str">
        <x:v>with_video</x:v>
      </x:c>
      <x:c r="F107" s="2" t="str">
        <x:v>per_token</x:v>
      </x:c>
      <x:c r="G107" s="2" t="str">
        <x:v>total</x:v>
      </x:c>
      <x:c r="H107" s="2" t="str">
        <x:v>video_pixel_tokens</x:v>
      </x:c>
      <x:c r="I107" s="2" t="str">
        <x:v>estimated_tokens</x:v>
      </x:c>
      <x:c r="J107" s="2" t="str">
        <x:v>task_succeeded</x:v>
      </x:c>
      <x:c r="K107" s="2" t="str">
        <x:v>CNY</x:v>
      </x:c>
      <x:c r="L107" s="27"/>
      <x:c r="M107" s="27"/>
      <x:c r="N107" s="27" t="n">
        <x:v>46</x:v>
      </x:c>
      <x:c r="O107" s="26" t="n">
        <x:f t="shared" si="4">IF(F107="per_request",L107,IF(F107="per_duration",M107,IF(F107="per_token",N107,0)))</x:f>
        <x:v>46</x:v>
      </x:c>
      <x:c r="P107" s="27" t="n">
        <x:v>1</x:v>
      </x:c>
      <x:c r="Q107" s="27" t="n">
        <x:v>1</x:v>
      </x:c>
      <x:c r="R107" s="27" t="n">
        <x:v>1</x:v>
      </x:c>
      <x:c r="S107" s="27" t="n">
        <x:v>0</x:v>
      </x:c>
      <x:c r="T107" s="26" t="n">
        <x:f>IF(K107="USD",1,'参数'!$B$6)</x:f>
        <x:v>0.136986301369863</x:v>
      </x:c>
      <x:c r="U107" s="26" t="n">
        <x:f t="shared" si="5">O107*P107*Q107/R107*(1+S107)*T107</x:f>
        <x:v>6.301369863013698</x:v>
      </x:c>
      <x:c r="V107" s="23" t="str">
        <x:f t="shared" si="6">IF(F107="per_request","USD/次",IF(F107="per_duration","USD/秒",IF(F107="per_token","USD/1M Token","")))</x:f>
        <x:v>USD/1M Token</x:v>
      </x:c>
      <x:c r="W107" s="20" t="n">
        <x:v>46229.393565162034</x:v>
      </x:c>
      <x:c r="X107" s="20"/>
      <x:c r="Y107" s="2" t="str">
        <x:v>active</x:v>
      </x:c>
      <x:c r="Z107" s="2" t="str">
        <x:v>SRC-CH-03</x:v>
      </x:c>
      <x:c r="AA107" s="7" t="str">
        <x:v>源行=sd!57；原模型=seedance-720p-token；时长=4-15；比例=不限；视频输入=是；真人脸=否；超分=否；素材库=否；NSFW=否；协议=new-api；素材限制=933；原表折扣 M 含V=1.643（成本/官价参考比，不参与成本二次计算）；输入视频由网关解析，输出视频由上游结果解析；均按像素Token公式计量；火山URL</x:v>
      </x:c>
      <x:c r="AB107" s="23" t="str">
        <x:f t="shared" si="7">IF(A107="","",IF(COUNTIF($A$5:$A$1004,A107)&gt;1,"错误:重复成本规则ID",IF(OR(B107="",C107="",E107="",F107="",K107="",O107&lt;=0,P107&lt;=0,Q107&lt;=0,R107&lt;=0,S107&lt;0,T107&lt;=0,Y107=""),"错误:必填项",IF(D107="","警告:SKU待映射","OK"))))</x:f>
        <x:v>OK</x:v>
      </x:c>
    </x:row>
    <x:row r="108" ht="39.599998474121094" hidden="1" customHeight="1">
      <x:c r="A108" s="2" t="str">
        <x:v>COST-LUCEN-R58-1080-TOK-NOV</x:v>
      </x:c>
      <x:c r="B108" s="2" t="str">
        <x:v>CH-LUCEN</x:v>
      </x:c>
      <x:c r="C108" s="2" t="str">
        <x:v>seedance-1080p-token</x:v>
      </x:c>
      <x:c r="D108" s="2" t="str">
        <x:v>SKU-SD20-STD-1080</x:v>
      </x:c>
      <x:c r="E108" s="2" t="str">
        <x:v>no_video</x:v>
      </x:c>
      <x:c r="F108" s="2" t="str">
        <x:v>per_token</x:v>
      </x:c>
      <x:c r="G108" s="2" t="str">
        <x:v>total</x:v>
      </x:c>
      <x:c r="H108" s="2" t="str">
        <x:v>video_pixel_tokens</x:v>
      </x:c>
      <x:c r="I108" s="2" t="str">
        <x:v>estimated_tokens</x:v>
      </x:c>
      <x:c r="J108" s="2" t="str">
        <x:v>task_succeeded</x:v>
      </x:c>
      <x:c r="K108" s="2" t="str">
        <x:v>CNY</x:v>
      </x:c>
      <x:c r="L108" s="27"/>
      <x:c r="M108" s="27"/>
      <x:c r="N108" s="27" t="n">
        <x:v>51</x:v>
      </x:c>
      <x:c r="O108" s="26" t="n">
        <x:f t="shared" si="4">IF(F108="per_request",L108,IF(F108="per_duration",M108,IF(F108="per_token",N108,0)))</x:f>
        <x:v>51</x:v>
      </x:c>
      <x:c r="P108" s="27" t="n">
        <x:v>1</x:v>
      </x:c>
      <x:c r="Q108" s="27" t="n">
        <x:v>1</x:v>
      </x:c>
      <x:c r="R108" s="27" t="n">
        <x:v>1</x:v>
      </x:c>
      <x:c r="S108" s="27" t="n">
        <x:v>0</x:v>
      </x:c>
      <x:c r="T108" s="26" t="n">
        <x:f>IF(K108="USD",1,'参数'!$B$6)</x:f>
        <x:v>0.136986301369863</x:v>
      </x:c>
      <x:c r="U108" s="26" t="n">
        <x:f t="shared" si="5">O108*P108*Q108/R108*(1+S108)*T108</x:f>
        <x:v>6.986301369863013</x:v>
      </x:c>
      <x:c r="V108" s="23" t="str">
        <x:f t="shared" si="6">IF(F108="per_request","USD/次",IF(F108="per_duration","USD/秒",IF(F108="per_token","USD/1M Token","")))</x:f>
        <x:v>USD/1M Token</x:v>
      </x:c>
      <x:c r="W108" s="20" t="n">
        <x:v>46229.393565162034</x:v>
      </x:c>
      <x:c r="X108" s="20"/>
      <x:c r="Y108" s="2" t="str">
        <x:v>active</x:v>
      </x:c>
      <x:c r="Z108" s="2" t="str">
        <x:v>SRC-CH-03</x:v>
      </x:c>
      <x:c r="AA108" s="7" t="str">
        <x:v>源行=sd!58；原模型=seedance-1080p-token；时长=4-15；比例=不限；视频输入=是；真人脸=否；超分=否；素材库=否；NSFW=否；协议=new-api；素材限制=933；原表折扣 M 无V=1（成本/官价参考比，不参与成本二次计算）；输入视频由网关解析，输出视频由上游结果解析；均按像素Token公式计量；火山URL</x:v>
      </x:c>
      <x:c r="AB108" s="23" t="str">
        <x:f t="shared" si="7">IF(A108="","",IF(COUNTIF($A$5:$A$1004,A108)&gt;1,"错误:重复成本规则ID",IF(OR(B108="",C108="",E108="",F108="",K108="",O108&lt;=0,P108&lt;=0,Q108&lt;=0,R108&lt;=0,S108&lt;0,T108&lt;=0,Y108=""),"错误:必填项",IF(D108="","警告:SKU待映射","OK"))))</x:f>
        <x:v>OK</x:v>
      </x:c>
    </x:row>
    <x:row r="109" ht="39.599998474121094" hidden="1" customHeight="1">
      <x:c r="A109" s="2" t="str">
        <x:v>COST-LUCEN-R58-1080-TOK-VID</x:v>
      </x:c>
      <x:c r="B109" s="2" t="str">
        <x:v>CH-LUCEN</x:v>
      </x:c>
      <x:c r="C109" s="2" t="str">
        <x:v>seedance-1080p-token</x:v>
      </x:c>
      <x:c r="D109" s="2" t="str">
        <x:v>SKU-SD20-STD-1080</x:v>
      </x:c>
      <x:c r="E109" s="2" t="str">
        <x:v>with_video</x:v>
      </x:c>
      <x:c r="F109" s="2" t="str">
        <x:v>per_token</x:v>
      </x:c>
      <x:c r="G109" s="2" t="str">
        <x:v>total</x:v>
      </x:c>
      <x:c r="H109" s="2" t="str">
        <x:v>video_pixel_tokens</x:v>
      </x:c>
      <x:c r="I109" s="2" t="str">
        <x:v>estimated_tokens</x:v>
      </x:c>
      <x:c r="J109" s="2" t="str">
        <x:v>task_succeeded</x:v>
      </x:c>
      <x:c r="K109" s="2" t="str">
        <x:v>CNY</x:v>
      </x:c>
      <x:c r="L109" s="27"/>
      <x:c r="M109" s="27"/>
      <x:c r="N109" s="27" t="n">
        <x:v>51</x:v>
      </x:c>
      <x:c r="O109" s="26" t="n">
        <x:f t="shared" si="4">IF(F109="per_request",L109,IF(F109="per_duration",M109,IF(F109="per_token",N109,0)))</x:f>
        <x:v>51</x:v>
      </x:c>
      <x:c r="P109" s="27" t="n">
        <x:v>1</x:v>
      </x:c>
      <x:c r="Q109" s="27" t="n">
        <x:v>1</x:v>
      </x:c>
      <x:c r="R109" s="27" t="n">
        <x:v>1</x:v>
      </x:c>
      <x:c r="S109" s="27" t="n">
        <x:v>0</x:v>
      </x:c>
      <x:c r="T109" s="26" t="n">
        <x:f>IF(K109="USD",1,'参数'!$B$6)</x:f>
        <x:v>0.136986301369863</x:v>
      </x:c>
      <x:c r="U109" s="26" t="n">
        <x:f t="shared" si="5">O109*P109*Q109/R109*(1+S109)*T109</x:f>
        <x:v>6.986301369863013</x:v>
      </x:c>
      <x:c r="V109" s="23" t="str">
        <x:f t="shared" si="6">IF(F109="per_request","USD/次",IF(F109="per_duration","USD/秒",IF(F109="per_token","USD/1M Token","")))</x:f>
        <x:v>USD/1M Token</x:v>
      </x:c>
      <x:c r="W109" s="20" t="n">
        <x:v>46229.393565162034</x:v>
      </x:c>
      <x:c r="X109" s="20"/>
      <x:c r="Y109" s="2" t="str">
        <x:v>active</x:v>
      </x:c>
      <x:c r="Z109" s="2" t="str">
        <x:v>SRC-CH-03</x:v>
      </x:c>
      <x:c r="AA109" s="7" t="str">
        <x:v>源行=sd!58；原模型=seedance-1080p-token；时长=4-15；比例=不限；视频输入=是；真人脸=否；超分=否；素材库=否；NSFW=否；协议=new-api；素材限制=933；原表折扣 M 含V=1.645（成本/官价参考比，不参与成本二次计算）；输入视频由网关解析，输出视频由上游结果解析；均按像素Token公式计量；火山URL</x:v>
      </x:c>
      <x:c r="AB109" s="23" t="str">
        <x:f t="shared" si="7">IF(A109="","",IF(COUNTIF($A$5:$A$1004,A109)&gt;1,"错误:重复成本规则ID",IF(OR(B109="",C109="",E109="",F109="",K109="",O109&lt;=0,P109&lt;=0,Q109&lt;=0,R109&lt;=0,S109&lt;0,T109&lt;=0,Y109=""),"错误:必填项",IF(D109="","警告:SKU待映射","OK"))))</x:f>
        <x:v>OK</x:v>
      </x:c>
    </x:row>
    <x:row r="110" ht="39.599998474121094" hidden="1" customHeight="1">
      <x:c r="A110" s="2" t="str">
        <x:v>COST-8YES-R60-480-REQ-NOV</x:v>
      </x:c>
      <x:c r="B110" s="2" t="str">
        <x:v>CH-8YES</x:v>
      </x:c>
      <x:c r="C110" s="2" t="str">
        <x:v>seedance-2.0</x:v>
      </x:c>
      <x:c r="D110" s="2" t="str">
        <x:v>SKU-SD20-STD-480</x:v>
      </x:c>
      <x:c r="E110" s="2" t="str">
        <x:v>no_video</x:v>
      </x:c>
      <x:c r="F110" s="2" t="str">
        <x:v>per_request</x:v>
      </x:c>
      <x:c r="G110" s="2"/>
      <x:c r="H110" s="2" t="str">
        <x:v>validated_request</x:v>
      </x:c>
      <x:c r="I110" s="2" t="str">
        <x:v>request_count</x:v>
      </x:c>
      <x:c r="J110" s="2" t="str">
        <x:v>task_succeeded</x:v>
      </x:c>
      <x:c r="K110" s="2" t="str">
        <x:v>CNY</x:v>
      </x:c>
      <x:c r="L110" s="27" t="n">
        <x:v>5.005</x:v>
      </x:c>
      <x:c r="M110" s="27"/>
      <x:c r="N110" s="27"/>
      <x:c r="O110" s="26" t="n">
        <x:f t="shared" si="4">IF(F110="per_request",L110,IF(F110="per_duration",M110,IF(F110="per_token",N110,0)))</x:f>
        <x:v>5.005</x:v>
      </x:c>
      <x:c r="P110" s="27" t="n">
        <x:v>1</x:v>
      </x:c>
      <x:c r="Q110" s="27" t="n">
        <x:v>1</x:v>
      </x:c>
      <x:c r="R110" s="27" t="n">
        <x:v>1</x:v>
      </x:c>
      <x:c r="S110" s="27" t="n">
        <x:v>0.01</x:v>
      </x:c>
      <x:c r="T110" s="26" t="n">
        <x:f>IF(K110="USD",1,'参数'!$B$6)</x:f>
        <x:v>0.136986301369863</x:v>
      </x:c>
      <x:c r="U110" s="26" t="n">
        <x:f t="shared" si="5">O110*P110*Q110/R110*(1+S110)*T110</x:f>
        <x:v>0.6924726027397259</x:v>
      </x:c>
      <x:c r="V110" s="23" t="str">
        <x:f t="shared" si="6">IF(F110="per_request","USD/次",IF(F110="per_duration","USD/秒",IF(F110="per_token","USD/1M Token","")))</x:f>
        <x:v>USD/次</x:v>
      </x:c>
      <x:c r="W110" s="20" t="n">
        <x:v>46229.393565162034</x:v>
      </x:c>
      <x:c r="X110" s="20"/>
      <x:c r="Y110" s="2" t="str">
        <x:v>draft</x:v>
      </x:c>
      <x:c r="Z110" s="2" t="str">
        <x:v>SRC-CH-04</x:v>
      </x:c>
      <x:c r="AA110" s="7" t="str">
        <x:v>源行=sd!60；原模型=seedance-2.0；时长=4-15；比例=不限；视频输入=是；真人脸=否；超分=否；素材库=否；NSFW=否；协议=待确认；原表状态为空，已导入为draft</x:v>
      </x:c>
      <x:c r="AB110" s="23" t="str">
        <x:f t="shared" si="7">IF(A110="","",IF(COUNTIF($A$5:$A$1004,A110)&gt;1,"错误:重复成本规则ID",IF(OR(B110="",C110="",E110="",F110="",K110="",O110&lt;=0,P110&lt;=0,Q110&lt;=0,R110&lt;=0,S110&lt;0,T110&lt;=0,Y110=""),"错误:必填项",IF(D110="","警告:SKU待映射","OK"))))</x:f>
        <x:v>OK</x:v>
      </x:c>
    </x:row>
    <x:row r="111" ht="39.599998474121094" hidden="1" customHeight="1">
      <x:c r="A111" s="2" t="str">
        <x:v>COST-8YES-R60-480-REQ-VID</x:v>
      </x:c>
      <x:c r="B111" s="2" t="str">
        <x:v>CH-8YES</x:v>
      </x:c>
      <x:c r="C111" s="2" t="str">
        <x:v>seedance-2.0</x:v>
      </x:c>
      <x:c r="D111" s="2" t="str">
        <x:v>SKU-SD20-STD-480</x:v>
      </x:c>
      <x:c r="E111" s="2" t="str">
        <x:v>with_video</x:v>
      </x:c>
      <x:c r="F111" s="2" t="str">
        <x:v>per_request</x:v>
      </x:c>
      <x:c r="G111" s="2"/>
      <x:c r="H111" s="2" t="str">
        <x:v>validated_request</x:v>
      </x:c>
      <x:c r="I111" s="2" t="str">
        <x:v>request_count</x:v>
      </x:c>
      <x:c r="J111" s="2" t="str">
        <x:v>task_succeeded</x:v>
      </x:c>
      <x:c r="K111" s="2" t="str">
        <x:v>CNY</x:v>
      </x:c>
      <x:c r="L111" s="27" t="n">
        <x:v>5.005</x:v>
      </x:c>
      <x:c r="M111" s="27"/>
      <x:c r="N111" s="27"/>
      <x:c r="O111" s="26" t="n">
        <x:f t="shared" si="4">IF(F111="per_request",L111,IF(F111="per_duration",M111,IF(F111="per_token",N111,0)))</x:f>
        <x:v>5.005</x:v>
      </x:c>
      <x:c r="P111" s="27" t="n">
        <x:v>1</x:v>
      </x:c>
      <x:c r="Q111" s="27" t="n">
        <x:v>1</x:v>
      </x:c>
      <x:c r="R111" s="27" t="n">
        <x:v>1</x:v>
      </x:c>
      <x:c r="S111" s="27" t="n">
        <x:v>0.01</x:v>
      </x:c>
      <x:c r="T111" s="26" t="n">
        <x:f>IF(K111="USD",1,'参数'!$B$6)</x:f>
        <x:v>0.136986301369863</x:v>
      </x:c>
      <x:c r="U111" s="26" t="n">
        <x:f t="shared" si="5">O111*P111*Q111/R111*(1+S111)*T111</x:f>
        <x:v>0.6924726027397259</x:v>
      </x:c>
      <x:c r="V111" s="23" t="str">
        <x:f t="shared" si="6">IF(F111="per_request","USD/次",IF(F111="per_duration","USD/秒",IF(F111="per_token","USD/1M Token","")))</x:f>
        <x:v>USD/次</x:v>
      </x:c>
      <x:c r="W111" s="20" t="n">
        <x:v>46229.393565162034</x:v>
      </x:c>
      <x:c r="X111" s="20"/>
      <x:c r="Y111" s="2" t="str">
        <x:v>draft</x:v>
      </x:c>
      <x:c r="Z111" s="2" t="str">
        <x:v>SRC-CH-04</x:v>
      </x:c>
      <x:c r="AA111" s="7" t="str">
        <x:v>源行=sd!60；原模型=seedance-2.0；时长=4-15；比例=不限；视频输入=是；真人脸=否；超分=否；素材库=否；NSFW=否；协议=待确认；原表状态为空，已导入为draft</x:v>
      </x:c>
      <x:c r="AB111" s="23" t="str">
        <x:f t="shared" si="7">IF(A111="","",IF(COUNTIF($A$5:$A$1004,A111)&gt;1,"错误:重复成本规则ID",IF(OR(B111="",C111="",E111="",F111="",K111="",O111&lt;=0,P111&lt;=0,Q111&lt;=0,R111&lt;=0,S111&lt;0,T111&lt;=0,Y111=""),"错误:必填项",IF(D111="","警告:SKU待映射","OK"))))</x:f>
        <x:v>OK</x:v>
      </x:c>
    </x:row>
    <x:row r="112" ht="52.79999923706055" hidden="1" customHeight="1">
      <x:c r="A112" s="2" t="str">
        <x:v>COST-8YES-R60-720-REQ-NOV</x:v>
      </x:c>
      <x:c r="B112" s="2" t="str">
        <x:v>CH-8YES</x:v>
      </x:c>
      <x:c r="C112" s="2" t="str">
        <x:v>seedance-2.0</x:v>
      </x:c>
      <x:c r="D112" s="2" t="str">
        <x:v>SKU-SD20-STD-720</x:v>
      </x:c>
      <x:c r="E112" s="2" t="str">
        <x:v>no_video</x:v>
      </x:c>
      <x:c r="F112" s="2" t="str">
        <x:v>per_request</x:v>
      </x:c>
      <x:c r="G112" s="2"/>
      <x:c r="H112" s="2" t="str">
        <x:v>validated_request</x:v>
      </x:c>
      <x:c r="I112" s="2" t="str">
        <x:v>request_count</x:v>
      </x:c>
      <x:c r="J112" s="2" t="str">
        <x:v>task_succeeded</x:v>
      </x:c>
      <x:c r="K112" s="2" t="str">
        <x:v>CNY</x:v>
      </x:c>
      <x:c r="L112" s="27" t="n">
        <x:v>5.005</x:v>
      </x:c>
      <x:c r="M112" s="27"/>
      <x:c r="N112" s="27"/>
      <x:c r="O112" s="26" t="n">
        <x:f t="shared" si="4">IF(F112="per_request",L112,IF(F112="per_duration",M112,IF(F112="per_token",N112,0)))</x:f>
        <x:v>5.005</x:v>
      </x:c>
      <x:c r="P112" s="27" t="n">
        <x:v>1</x:v>
      </x:c>
      <x:c r="Q112" s="27" t="n">
        <x:v>1</x:v>
      </x:c>
      <x:c r="R112" s="27" t="n">
        <x:v>1</x:v>
      </x:c>
      <x:c r="S112" s="27" t="n">
        <x:v>0.01</x:v>
      </x:c>
      <x:c r="T112" s="26" t="n">
        <x:f>IF(K112="USD",1,'参数'!$B$6)</x:f>
        <x:v>0.136986301369863</x:v>
      </x:c>
      <x:c r="U112" s="26" t="n">
        <x:f t="shared" si="5">O112*P112*Q112/R112*(1+S112)*T112</x:f>
        <x:v>0.6924726027397259</x:v>
      </x:c>
      <x:c r="V112" s="23" t="str">
        <x:f t="shared" si="6">IF(F112="per_request","USD/次",IF(F112="per_duration","USD/秒",IF(F112="per_token","USD/1M Token","")))</x:f>
        <x:v>USD/次</x:v>
      </x:c>
      <x:c r="W112" s="20" t="n">
        <x:v>46229.393565162034</x:v>
      </x:c>
      <x:c r="X112" s="20"/>
      <x:c r="Y112" s="2" t="str">
        <x:v>draft</x:v>
      </x:c>
      <x:c r="Z112" s="2" t="str">
        <x:v>SRC-CH-04</x:v>
      </x:c>
      <x:c r="AA112" s="7" t="str">
        <x:v>源行=sd!60；原模型=seedance-2.0；时长=4-15；比例=不限；视频输入=是；真人脸=否；超分=否；素材库=否；NSFW=否；协议=待确认；原表状态为空，已导入为draft</x:v>
      </x:c>
      <x:c r="AB112" s="23" t="str">
        <x:f t="shared" si="7">IF(A112="","",IF(COUNTIF($A$5:$A$1004,A112)&gt;1,"错误:重复成本规则ID",IF(OR(B112="",C112="",E112="",F112="",K112="",O112&lt;=0,P112&lt;=0,Q112&lt;=0,R112&lt;=0,S112&lt;0,T112&lt;=0,Y112=""),"错误:必填项",IF(D112="","警告:SKU待映射","OK"))))</x:f>
        <x:v>OK</x:v>
      </x:c>
    </x:row>
    <x:row r="113" ht="52.79999923706055" hidden="1" customHeight="1">
      <x:c r="A113" s="2" t="str">
        <x:v>COST-8YES-R60-720-REQ-VID</x:v>
      </x:c>
      <x:c r="B113" s="2" t="str">
        <x:v>CH-8YES</x:v>
      </x:c>
      <x:c r="C113" s="2" t="str">
        <x:v>seedance-2.0</x:v>
      </x:c>
      <x:c r="D113" s="2" t="str">
        <x:v>SKU-SD20-STD-720</x:v>
      </x:c>
      <x:c r="E113" s="2" t="str">
        <x:v>with_video</x:v>
      </x:c>
      <x:c r="F113" s="2" t="str">
        <x:v>per_request</x:v>
      </x:c>
      <x:c r="G113" s="2"/>
      <x:c r="H113" s="2" t="str">
        <x:v>validated_request</x:v>
      </x:c>
      <x:c r="I113" s="2" t="str">
        <x:v>request_count</x:v>
      </x:c>
      <x:c r="J113" s="2" t="str">
        <x:v>task_succeeded</x:v>
      </x:c>
      <x:c r="K113" s="2" t="str">
        <x:v>CNY</x:v>
      </x:c>
      <x:c r="L113" s="27" t="n">
        <x:v>5.005</x:v>
      </x:c>
      <x:c r="M113" s="27"/>
      <x:c r="N113" s="27"/>
      <x:c r="O113" s="26" t="n">
        <x:f t="shared" si="4">IF(F113="per_request",L113,IF(F113="per_duration",M113,IF(F113="per_token",N113,0)))</x:f>
        <x:v>5.005</x:v>
      </x:c>
      <x:c r="P113" s="27" t="n">
        <x:v>1</x:v>
      </x:c>
      <x:c r="Q113" s="27" t="n">
        <x:v>1</x:v>
      </x:c>
      <x:c r="R113" s="27" t="n">
        <x:v>1</x:v>
      </x:c>
      <x:c r="S113" s="27" t="n">
        <x:v>0.01</x:v>
      </x:c>
      <x:c r="T113" s="26" t="n">
        <x:f>IF(K113="USD",1,'参数'!$B$6)</x:f>
        <x:v>0.136986301369863</x:v>
      </x:c>
      <x:c r="U113" s="26" t="n">
        <x:f t="shared" si="5">O113*P113*Q113/R113*(1+S113)*T113</x:f>
        <x:v>0.6924726027397259</x:v>
      </x:c>
      <x:c r="V113" s="23" t="str">
        <x:f t="shared" si="6">IF(F113="per_request","USD/次",IF(F113="per_duration","USD/秒",IF(F113="per_token","USD/1M Token","")))</x:f>
        <x:v>USD/次</x:v>
      </x:c>
      <x:c r="W113" s="20" t="n">
        <x:v>46229.393565162034</x:v>
      </x:c>
      <x:c r="X113" s="20"/>
      <x:c r="Y113" s="2" t="str">
        <x:v>draft</x:v>
      </x:c>
      <x:c r="Z113" s="2" t="str">
        <x:v>SRC-CH-04</x:v>
      </x:c>
      <x:c r="AA113" s="7" t="str">
        <x:v>源行=sd!60；原模型=seedance-2.0；时长=4-15；比例=不限；视频输入=是；真人脸=否；超分=否；素材库=否；NSFW=否；协议=待确认；原表状态为空，已导入为draft</x:v>
      </x:c>
      <x:c r="AB113" s="23" t="str">
        <x:f t="shared" si="7">IF(A113="","",IF(COUNTIF($A$5:$A$1004,A113)&gt;1,"错误:重复成本规则ID",IF(OR(B113="",C113="",E113="",F113="",K113="",O113&lt;=0,P113&lt;=0,Q113&lt;=0,R113&lt;=0,S113&lt;0,T113&lt;=0,Y113=""),"错误:必填项",IF(D113="","警告:SKU待映射","OK"))))</x:f>
        <x:v>OK</x:v>
      </x:c>
    </x:row>
    <x:row r="114" ht="52.79999923706055" hidden="1" customHeight="1">
      <x:c r="A114" s="2" t="str">
        <x:v>COST-8YES-R61-1080-SEC-NOV</x:v>
      </x:c>
      <x:c r="B114" s="2" t="str">
        <x:v>CH-8YES</x:v>
      </x:c>
      <x:c r="C114" s="2" t="str">
        <x:v>seedance-2.0-1080p</x:v>
      </x:c>
      <x:c r="D114" s="2" t="str">
        <x:v>SKU-SD20-STD-1080</x:v>
      </x:c>
      <x:c r="E114" s="2" t="str">
        <x:v>no_video</x:v>
      </x:c>
      <x:c r="F114" s="2" t="str">
        <x:v>per_duration</x:v>
      </x:c>
      <x:c r="G114" s="2"/>
      <x:c r="H114" s="2" t="str">
        <x:v>validated_request</x:v>
      </x:c>
      <x:c r="I114" s="2" t="str">
        <x:v>billable_duration_seconds</x:v>
      </x:c>
      <x:c r="J114" s="2" t="str">
        <x:v>task_succeeded</x:v>
      </x:c>
      <x:c r="K114" s="2" t="str">
        <x:v>CNY</x:v>
      </x:c>
      <x:c r="L114" s="27"/>
      <x:c r="M114" s="27" t="n">
        <x:v>1.95</x:v>
      </x:c>
      <x:c r="N114" s="27"/>
      <x:c r="O114" s="26" t="n">
        <x:f t="shared" si="4">IF(F114="per_request",L114,IF(F114="per_duration",M114,IF(F114="per_token",N114,0)))</x:f>
        <x:v>1.95</x:v>
      </x:c>
      <x:c r="P114" s="27" t="n">
        <x:v>1</x:v>
      </x:c>
      <x:c r="Q114" s="27" t="n">
        <x:v>1</x:v>
      </x:c>
      <x:c r="R114" s="27" t="n">
        <x:v>1</x:v>
      </x:c>
      <x:c r="S114" s="27" t="n">
        <x:v>0.01</x:v>
      </x:c>
      <x:c r="T114" s="26" t="n">
        <x:f>IF(K114="USD",1,'参数'!$B$6)</x:f>
        <x:v>0.136986301369863</x:v>
      </x:c>
      <x:c r="U114" s="26" t="n">
        <x:f t="shared" si="5">O114*P114*Q114/R114*(1+S114)*T114</x:f>
        <x:v>0.26979452054794517</x:v>
      </x:c>
      <x:c r="V114" s="23" t="str">
        <x:f t="shared" si="6">IF(F114="per_request","USD/次",IF(F114="per_duration","USD/秒",IF(F114="per_token","USD/1M Token","")))</x:f>
        <x:v>USD/秒</x:v>
      </x:c>
      <x:c r="W114" s="20" t="n">
        <x:v>46229.393565162034</x:v>
      </x:c>
      <x:c r="X114" s="20"/>
      <x:c r="Y114" s="2" t="str">
        <x:v>draft</x:v>
      </x:c>
      <x:c r="Z114" s="2" t="str">
        <x:v>SRC-CH-04</x:v>
      </x:c>
      <x:c r="AA114" s="7" t="str">
        <x:v>源行=sd!61；原模型=seedance-2.0-1080p；时长=4-15；比例=不限；视频输入=是；真人脸=否；超分=否；素材库=否；NSFW=否；协议=待确认；原表折扣 秒 无V=0.787（成本/官价参考比，不参与成本二次计算）；原表状态为空，已导入为draft</x:v>
      </x:c>
      <x:c r="AB114" s="23" t="str">
        <x:f t="shared" si="7">IF(A114="","",IF(COUNTIF($A$5:$A$1004,A114)&gt;1,"错误:重复成本规则ID",IF(OR(B114="",C114="",E114="",F114="",K114="",O114&lt;=0,P114&lt;=0,Q114&lt;=0,R114&lt;=0,S114&lt;0,T114&lt;=0,Y114=""),"错误:必填项",IF(D114="","警告:SKU待映射","OK"))))</x:f>
        <x:v>OK</x:v>
      </x:c>
    </x:row>
    <x:row r="115" ht="52.79999923706055" hidden="1" customHeight="1">
      <x:c r="A115" s="2" t="str">
        <x:v>COST-8YES-R61-1080-SEC-VID</x:v>
      </x:c>
      <x:c r="B115" s="2" t="str">
        <x:v>CH-8YES</x:v>
      </x:c>
      <x:c r="C115" s="2" t="str">
        <x:v>seedance-2.0-1080p</x:v>
      </x:c>
      <x:c r="D115" s="2" t="str">
        <x:v>SKU-SD20-STD-1080</x:v>
      </x:c>
      <x:c r="E115" s="2" t="str">
        <x:v>with_video</x:v>
      </x:c>
      <x:c r="F115" s="2" t="str">
        <x:v>per_duration</x:v>
      </x:c>
      <x:c r="G115" s="2"/>
      <x:c r="H115" s="2" t="str">
        <x:v>validated_request</x:v>
      </x:c>
      <x:c r="I115" s="2" t="str">
        <x:v>billable_duration_seconds</x:v>
      </x:c>
      <x:c r="J115" s="2" t="str">
        <x:v>task_succeeded</x:v>
      </x:c>
      <x:c r="K115" s="2" t="str">
        <x:v>CNY</x:v>
      </x:c>
      <x:c r="L115" s="27"/>
      <x:c r="M115" s="27" t="n">
        <x:v>1.95</x:v>
      </x:c>
      <x:c r="N115" s="27"/>
      <x:c r="O115" s="26" t="n">
        <x:f t="shared" si="4">IF(F115="per_request",L115,IF(F115="per_duration",M115,IF(F115="per_token",N115,0)))</x:f>
        <x:v>1.95</x:v>
      </x:c>
      <x:c r="P115" s="27" t="n">
        <x:v>1</x:v>
      </x:c>
      <x:c r="Q115" s="27" t="n">
        <x:v>1</x:v>
      </x:c>
      <x:c r="R115" s="27" t="n">
        <x:v>1</x:v>
      </x:c>
      <x:c r="S115" s="27" t="n">
        <x:v>0.01</x:v>
      </x:c>
      <x:c r="T115" s="26" t="n">
        <x:f>IF(K115="USD",1,'参数'!$B$6)</x:f>
        <x:v>0.136986301369863</x:v>
      </x:c>
      <x:c r="U115" s="26" t="n">
        <x:f t="shared" si="5">O115*P115*Q115/R115*(1+S115)*T115</x:f>
        <x:v>0.26979452054794517</x:v>
      </x:c>
      <x:c r="V115" s="23" t="str">
        <x:f t="shared" si="6">IF(F115="per_request","USD/次",IF(F115="per_duration","USD/秒",IF(F115="per_token","USD/1M Token","")))</x:f>
        <x:v>USD/秒</x:v>
      </x:c>
      <x:c r="W115" s="20" t="n">
        <x:v>46229.393565162034</x:v>
      </x:c>
      <x:c r="X115" s="20"/>
      <x:c r="Y115" s="2" t="str">
        <x:v>draft</x:v>
      </x:c>
      <x:c r="Z115" s="2" t="str">
        <x:v>SRC-CH-04</x:v>
      </x:c>
      <x:c r="AA115" s="7" t="str">
        <x:v>源行=sd!61；原模型=seedance-2.0-1080p；时长=4-15；比例=不限；视频输入=是；真人脸=否；超分=否；素材库=否；NSFW=否；协议=待确认；原表折扣 秒 含V=1.294（成本/官价参考比，不参与成本二次计算）；原表状态为空，已导入为draft</x:v>
      </x:c>
      <x:c r="AB115" s="23" t="str">
        <x:f t="shared" si="7">IF(A115="","",IF(COUNTIF($A$5:$A$1004,A115)&gt;1,"错误:重复成本规则ID",IF(OR(B115="",C115="",E115="",F115="",K115="",O115&lt;=0,P115&lt;=0,Q115&lt;=0,R115&lt;=0,S115&lt;0,T115&lt;=0,Y115=""),"错误:必填项",IF(D115="","警告:SKU待映射","OK"))))</x:f>
        <x:v>OK</x:v>
      </x:c>
    </x:row>
    <x:row r="116" ht="52.79999923706055" hidden="1" customHeight="1">
      <x:c r="A116" s="2" t="str">
        <x:v>COST-8YES-R62-480-SEC-NOV</x:v>
      </x:c>
      <x:c r="B116" s="2" t="str">
        <x:v>CH-8YES</x:v>
      </x:c>
      <x:c r="C116" s="2" t="str">
        <x:v>seedance-2.0-480p</x:v>
      </x:c>
      <x:c r="D116" s="2" t="str">
        <x:v>SKU-SD20-STD-480</x:v>
      </x:c>
      <x:c r="E116" s="2" t="str">
        <x:v>no_video</x:v>
      </x:c>
      <x:c r="F116" s="2" t="str">
        <x:v>per_duration</x:v>
      </x:c>
      <x:c r="G116" s="2"/>
      <x:c r="H116" s="2" t="str">
        <x:v>validated_request</x:v>
      </x:c>
      <x:c r="I116" s="2" t="str">
        <x:v>billable_duration_seconds</x:v>
      </x:c>
      <x:c r="J116" s="2" t="str">
        <x:v>task_succeeded</x:v>
      </x:c>
      <x:c r="K116" s="2" t="str">
        <x:v>CNY</x:v>
      </x:c>
      <x:c r="L116" s="27"/>
      <x:c r="M116" s="27" t="n">
        <x:v>0.585</x:v>
      </x:c>
      <x:c r="N116" s="27"/>
      <x:c r="O116" s="26" t="n">
        <x:f t="shared" si="4">IF(F116="per_request",L116,IF(F116="per_duration",M116,IF(F116="per_token",N116,0)))</x:f>
        <x:v>0.585</x:v>
      </x:c>
      <x:c r="P116" s="27" t="n">
        <x:v>1</x:v>
      </x:c>
      <x:c r="Q116" s="27" t="n">
        <x:v>1</x:v>
      </x:c>
      <x:c r="R116" s="27" t="n">
        <x:v>1</x:v>
      </x:c>
      <x:c r="S116" s="27" t="n">
        <x:v>0.01</x:v>
      </x:c>
      <x:c r="T116" s="26" t="n">
        <x:f>IF(K116="USD",1,'参数'!$B$6)</x:f>
        <x:v>0.136986301369863</x:v>
      </x:c>
      <x:c r="U116" s="26" t="n">
        <x:f t="shared" si="5">O116*P116*Q116/R116*(1+S116)*T116</x:f>
        <x:v>0.08093835616438355</x:v>
      </x:c>
      <x:c r="V116" s="23" t="str">
        <x:f t="shared" si="6">IF(F116="per_request","USD/次",IF(F116="per_duration","USD/秒",IF(F116="per_token","USD/1M Token","")))</x:f>
        <x:v>USD/秒</x:v>
      </x:c>
      <x:c r="W116" s="20" t="n">
        <x:v>46229.393565162034</x:v>
      </x:c>
      <x:c r="X116" s="20"/>
      <x:c r="Y116" s="2" t="str">
        <x:v>draft</x:v>
      </x:c>
      <x:c r="Z116" s="2" t="str">
        <x:v>SRC-CH-04</x:v>
      </x:c>
      <x:c r="AA116" s="7" t="str">
        <x:v>源行=sd!62；原模型=seedance-2.0-480p；时长=4-15；比例=不限；视频输入=是；真人脸=否；超分=否；素材库=否；NSFW=否；协议=待确认；原表折扣 秒 无V=1.266（成本/官价参考比，不参与成本二次计算）；原表状态为空，已导入为draft</x:v>
      </x:c>
      <x:c r="AB116" s="23" t="str">
        <x:f t="shared" si="7">IF(A116="","",IF(COUNTIF($A$5:$A$1004,A116)&gt;1,"错误:重复成本规则ID",IF(OR(B116="",C116="",E116="",F116="",K116="",O116&lt;=0,P116&lt;=0,Q116&lt;=0,R116&lt;=0,S116&lt;0,T116&lt;=0,Y116=""),"错误:必填项",IF(D116="","警告:SKU待映射","OK"))))</x:f>
        <x:v>OK</x:v>
      </x:c>
    </x:row>
    <x:row r="117" ht="52.79999923706055" hidden="1" customHeight="1">
      <x:c r="A117" s="2" t="str">
        <x:v>COST-8YES-R62-480-SEC-VID</x:v>
      </x:c>
      <x:c r="B117" s="2" t="str">
        <x:v>CH-8YES</x:v>
      </x:c>
      <x:c r="C117" s="2" t="str">
        <x:v>seedance-2.0-480p</x:v>
      </x:c>
      <x:c r="D117" s="2" t="str">
        <x:v>SKU-SD20-STD-480</x:v>
      </x:c>
      <x:c r="E117" s="2" t="str">
        <x:v>with_video</x:v>
      </x:c>
      <x:c r="F117" s="2" t="str">
        <x:v>per_duration</x:v>
      </x:c>
      <x:c r="G117" s="2"/>
      <x:c r="H117" s="2" t="str">
        <x:v>validated_request</x:v>
      </x:c>
      <x:c r="I117" s="2" t="str">
        <x:v>billable_duration_seconds</x:v>
      </x:c>
      <x:c r="J117" s="2" t="str">
        <x:v>task_succeeded</x:v>
      </x:c>
      <x:c r="K117" s="2" t="str">
        <x:v>CNY</x:v>
      </x:c>
      <x:c r="L117" s="27"/>
      <x:c r="M117" s="27" t="n">
        <x:v>0.585</x:v>
      </x:c>
      <x:c r="N117" s="27"/>
      <x:c r="O117" s="26" t="n">
        <x:f t="shared" si="4">IF(F117="per_request",L117,IF(F117="per_duration",M117,IF(F117="per_token",N117,0)))</x:f>
        <x:v>0.585</x:v>
      </x:c>
      <x:c r="P117" s="27" t="n">
        <x:v>1</x:v>
      </x:c>
      <x:c r="Q117" s="27" t="n">
        <x:v>1</x:v>
      </x:c>
      <x:c r="R117" s="27" t="n">
        <x:v>1</x:v>
      </x:c>
      <x:c r="S117" s="27" t="n">
        <x:v>0.01</x:v>
      </x:c>
      <x:c r="T117" s="26" t="n">
        <x:f>IF(K117="USD",1,'参数'!$B$6)</x:f>
        <x:v>0.136986301369863</x:v>
      </x:c>
      <x:c r="U117" s="26" t="n">
        <x:f t="shared" si="5">O117*P117*Q117/R117*(1+S117)*T117</x:f>
        <x:v>0.08093835616438355</x:v>
      </x:c>
      <x:c r="V117" s="23" t="str">
        <x:f t="shared" si="6">IF(F117="per_request","USD/次",IF(F117="per_duration","USD/秒",IF(F117="per_token","USD/1M Token","")))</x:f>
        <x:v>USD/秒</x:v>
      </x:c>
      <x:c r="W117" s="20" t="n">
        <x:v>46229.393565162034</x:v>
      </x:c>
      <x:c r="X117" s="20"/>
      <x:c r="Y117" s="2" t="str">
        <x:v>draft</x:v>
      </x:c>
      <x:c r="Z117" s="2" t="str">
        <x:v>SRC-CH-04</x:v>
      </x:c>
      <x:c r="AA117" s="7" t="str">
        <x:v>源行=sd!62；原模型=seedance-2.0-480p；时长=4-15；比例=不限；视频输入=是；真人脸=否；超分=否；素材库=否；NSFW=否；协议=待确认；原表折扣 秒 含V=2.082（成本/官价参考比，不参与成本二次计算）；原表状态为空，已导入为draft</x:v>
      </x:c>
      <x:c r="AB117" s="23" t="str">
        <x:f t="shared" si="7">IF(A117="","",IF(COUNTIF($A$5:$A$1004,A117)&gt;1,"错误:重复成本规则ID",IF(OR(B117="",C117="",E117="",F117="",K117="",O117&lt;=0,P117&lt;=0,Q117&lt;=0,R117&lt;=0,S117&lt;0,T117&lt;=0,Y117=""),"错误:必填项",IF(D117="","警告:SKU待映射","OK"))))</x:f>
        <x:v>OK</x:v>
      </x:c>
    </x:row>
    <x:row r="118" ht="52.79999923706055" hidden="1" customHeight="1">
      <x:c r="A118" s="2" t="str">
        <x:v>COST-8YES-R63-4K-SEC-NOV</x:v>
      </x:c>
      <x:c r="B118" s="2" t="str">
        <x:v>CH-8YES</x:v>
      </x:c>
      <x:c r="C118" s="2" t="str">
        <x:v>seedance-2.0-4k</x:v>
      </x:c>
      <x:c r="D118" s="2" t="str">
        <x:v>SKU-SD20-STD-4K</x:v>
      </x:c>
      <x:c r="E118" s="2" t="str">
        <x:v>no_video</x:v>
      </x:c>
      <x:c r="F118" s="2" t="str">
        <x:v>per_duration</x:v>
      </x:c>
      <x:c r="G118" s="2"/>
      <x:c r="H118" s="2" t="str">
        <x:v>validated_request</x:v>
      </x:c>
      <x:c r="I118" s="2" t="str">
        <x:v>billable_duration_seconds</x:v>
      </x:c>
      <x:c r="J118" s="2" t="str">
        <x:v>task_succeeded</x:v>
      </x:c>
      <x:c r="K118" s="2" t="str">
        <x:v>CNY</x:v>
      </x:c>
      <x:c r="L118" s="27"/>
      <x:c r="M118" s="27" t="n">
        <x:v>3.9</x:v>
      </x:c>
      <x:c r="N118" s="27"/>
      <x:c r="O118" s="26" t="n">
        <x:f t="shared" si="4">IF(F118="per_request",L118,IF(F118="per_duration",M118,IF(F118="per_token",N118,0)))</x:f>
        <x:v>3.9</x:v>
      </x:c>
      <x:c r="P118" s="27" t="n">
        <x:v>1</x:v>
      </x:c>
      <x:c r="Q118" s="27" t="n">
        <x:v>1</x:v>
      </x:c>
      <x:c r="R118" s="27" t="n">
        <x:v>1</x:v>
      </x:c>
      <x:c r="S118" s="27" t="n">
        <x:v>0.01</x:v>
      </x:c>
      <x:c r="T118" s="26" t="n">
        <x:f>IF(K118="USD",1,'参数'!$B$6)</x:f>
        <x:v>0.136986301369863</x:v>
      </x:c>
      <x:c r="U118" s="26" t="n">
        <x:f t="shared" si="5">O118*P118*Q118/R118*(1+S118)*T118</x:f>
        <x:v>0.5395890410958903</x:v>
      </x:c>
      <x:c r="V118" s="23" t="str">
        <x:f t="shared" si="6">IF(F118="per_request","USD/次",IF(F118="per_duration","USD/秒",IF(F118="per_token","USD/1M Token","")))</x:f>
        <x:v>USD/秒</x:v>
      </x:c>
      <x:c r="W118" s="20" t="n">
        <x:v>46229.393565162034</x:v>
      </x:c>
      <x:c r="X118" s="20"/>
      <x:c r="Y118" s="2" t="str">
        <x:v>draft</x:v>
      </x:c>
      <x:c r="Z118" s="2" t="str">
        <x:v>SRC-CH-04</x:v>
      </x:c>
      <x:c r="AA118" s="7" t="str">
        <x:v>源行=sd!63；原模型=seedance-2.0-4k；时长=4-15；比例=不限；视频输入=是；真人脸=否；超分=否；素材库=否；NSFW=否；协议=待确认；原表折扣 秒 无V=0.772（成本/官价参考比，不参与成本二次计算）；原表状态为空，已导入为draft</x:v>
      </x:c>
      <x:c r="AB118" s="23" t="str">
        <x:f t="shared" si="7">IF(A118="","",IF(COUNTIF($A$5:$A$1004,A118)&gt;1,"错误:重复成本规则ID",IF(OR(B118="",C118="",E118="",F118="",K118="",O118&lt;=0,P118&lt;=0,Q118&lt;=0,R118&lt;=0,S118&lt;0,T118&lt;=0,Y118=""),"错误:必填项",IF(D118="","警告:SKU待映射","OK"))))</x:f>
        <x:v>OK</x:v>
      </x:c>
    </x:row>
    <x:row r="119" ht="52.79999923706055" hidden="1" customHeight="1">
      <x:c r="A119" s="2" t="str">
        <x:v>COST-8YES-R63-4K-SEC-VID</x:v>
      </x:c>
      <x:c r="B119" s="2" t="str">
        <x:v>CH-8YES</x:v>
      </x:c>
      <x:c r="C119" s="2" t="str">
        <x:v>seedance-2.0-4k</x:v>
      </x:c>
      <x:c r="D119" s="2" t="str">
        <x:v>SKU-SD20-STD-4K</x:v>
      </x:c>
      <x:c r="E119" s="2" t="str">
        <x:v>with_video</x:v>
      </x:c>
      <x:c r="F119" s="2" t="str">
        <x:v>per_duration</x:v>
      </x:c>
      <x:c r="G119" s="2"/>
      <x:c r="H119" s="2" t="str">
        <x:v>validated_request</x:v>
      </x:c>
      <x:c r="I119" s="2" t="str">
        <x:v>billable_duration_seconds</x:v>
      </x:c>
      <x:c r="J119" s="2" t="str">
        <x:v>task_succeeded</x:v>
      </x:c>
      <x:c r="K119" s="2" t="str">
        <x:v>CNY</x:v>
      </x:c>
      <x:c r="L119" s="27"/>
      <x:c r="M119" s="27" t="n">
        <x:v>3.9</x:v>
      </x:c>
      <x:c r="N119" s="27"/>
      <x:c r="O119" s="26" t="n">
        <x:f t="shared" si="4">IF(F119="per_request",L119,IF(F119="per_duration",M119,IF(F119="per_token",N119,0)))</x:f>
        <x:v>3.9</x:v>
      </x:c>
      <x:c r="P119" s="27" t="n">
        <x:v>1</x:v>
      </x:c>
      <x:c r="Q119" s="27" t="n">
        <x:v>1</x:v>
      </x:c>
      <x:c r="R119" s="27" t="n">
        <x:v>1</x:v>
      </x:c>
      <x:c r="S119" s="27" t="n">
        <x:v>0.01</x:v>
      </x:c>
      <x:c r="T119" s="26" t="n">
        <x:f>IF(K119="USD",1,'参数'!$B$6)</x:f>
        <x:v>0.136986301369863</x:v>
      </x:c>
      <x:c r="U119" s="26" t="n">
        <x:f t="shared" si="5">O119*P119*Q119/R119*(1+S119)*T119</x:f>
        <x:v>0.5395890410958903</x:v>
      </x:c>
      <x:c r="V119" s="23" t="str">
        <x:f t="shared" si="6">IF(F119="per_request","USD/次",IF(F119="per_duration","USD/秒",IF(F119="per_token","USD/1M Token","")))</x:f>
        <x:v>USD/秒</x:v>
      </x:c>
      <x:c r="W119" s="20" t="n">
        <x:v>46229.393565162034</x:v>
      </x:c>
      <x:c r="X119" s="20"/>
      <x:c r="Y119" s="2" t="str">
        <x:v>draft</x:v>
      </x:c>
      <x:c r="Z119" s="2" t="str">
        <x:v>SRC-CH-04</x:v>
      </x:c>
      <x:c r="AA119" s="7" t="str">
        <x:v>源行=sd!63；原模型=seedance-2.0-4k；时长=4-15；比例=不限；视频输入=是；真人脸=否；超分=否；素材库=否；NSFW=否；协议=待确认；原表折扣 秒 含V=1.254（成本/官价参考比，不参与成本二次计算）；原表状态为空，已导入为draft</x:v>
      </x:c>
      <x:c r="AB119" s="23" t="str">
        <x:f t="shared" si="7">IF(A119="","",IF(COUNTIF($A$5:$A$1004,A119)&gt;1,"错误:重复成本规则ID",IF(OR(B119="",C119="",E119="",F119="",K119="",O119&lt;=0,P119&lt;=0,Q119&lt;=0,R119&lt;=0,S119&lt;0,T119&lt;=0,Y119=""),"错误:必填项",IF(D119="","警告:SKU待映射","OK"))))</x:f>
        <x:v>OK</x:v>
      </x:c>
    </x:row>
    <x:row r="120" ht="66" hidden="1" customHeight="1">
      <x:c r="A120" s="2" t="str">
        <x:v>COST-8YES-R64-720-SEC-NOV</x:v>
      </x:c>
      <x:c r="B120" s="2" t="str">
        <x:v>CH-8YES</x:v>
      </x:c>
      <x:c r="C120" s="2" t="str">
        <x:v>seedance-2.0-720p</x:v>
      </x:c>
      <x:c r="D120" s="2" t="str">
        <x:v>SKU-SD20-STD-720</x:v>
      </x:c>
      <x:c r="E120" s="2" t="str">
        <x:v>no_video</x:v>
      </x:c>
      <x:c r="F120" s="2" t="str">
        <x:v>per_duration</x:v>
      </x:c>
      <x:c r="G120" s="2"/>
      <x:c r="H120" s="2" t="str">
        <x:v>validated_request</x:v>
      </x:c>
      <x:c r="I120" s="2" t="str">
        <x:v>billable_duration_seconds</x:v>
      </x:c>
      <x:c r="J120" s="2" t="str">
        <x:v>task_succeeded</x:v>
      </x:c>
      <x:c r="K120" s="2" t="str">
        <x:v>CNY</x:v>
      </x:c>
      <x:c r="L120" s="27"/>
      <x:c r="M120" s="27" t="n">
        <x:v>0.845</x:v>
      </x:c>
      <x:c r="N120" s="27"/>
      <x:c r="O120" s="26" t="n">
        <x:f t="shared" si="4">IF(F120="per_request",L120,IF(F120="per_duration",M120,IF(F120="per_token",N120,0)))</x:f>
        <x:v>0.845</x:v>
      </x:c>
      <x:c r="P120" s="27" t="n">
        <x:v>1</x:v>
      </x:c>
      <x:c r="Q120" s="27" t="n">
        <x:v>1</x:v>
      </x:c>
      <x:c r="R120" s="27" t="n">
        <x:v>1</x:v>
      </x:c>
      <x:c r="S120" s="27" t="n">
        <x:v>0.01</x:v>
      </x:c>
      <x:c r="T120" s="26" t="n">
        <x:f>IF(K120="USD",1,'参数'!$B$6)</x:f>
        <x:v>0.136986301369863</x:v>
      </x:c>
      <x:c r="U120" s="26" t="n">
        <x:f t="shared" si="5">O120*P120*Q120/R120*(1+S120)*T120</x:f>
        <x:v>0.11691095890410957</x:v>
      </x:c>
      <x:c r="V120" s="23" t="str">
        <x:f t="shared" si="6">IF(F120="per_request","USD/次",IF(F120="per_duration","USD/秒",IF(F120="per_token","USD/1M Token","")))</x:f>
        <x:v>USD/秒</x:v>
      </x:c>
      <x:c r="W120" s="20" t="n">
        <x:v>46229.393565162034</x:v>
      </x:c>
      <x:c r="X120" s="20"/>
      <x:c r="Y120" s="2" t="str">
        <x:v>draft</x:v>
      </x:c>
      <x:c r="Z120" s="2" t="str">
        <x:v>SRC-CH-04</x:v>
      </x:c>
      <x:c r="AA120" s="7" t="str">
        <x:v>源行=sd!64；原模型=seedance-2.0-720p；时长=4-15；比例=不限；视频输入=是；真人脸=否；超分=否；素材库=否；NSFW=否；协议=待确认；原表折扣 秒 无V=0.85（成本/官价参考比，不参与成本二次计算）；原表状态为空，已导入为draft</x:v>
      </x:c>
      <x:c r="AB120" s="23" t="str">
        <x:f t="shared" si="7">IF(A120="","",IF(COUNTIF($A$5:$A$1004,A120)&gt;1,"错误:重复成本规则ID",IF(OR(B120="",C120="",E120="",F120="",K120="",O120&lt;=0,P120&lt;=0,Q120&lt;=0,R120&lt;=0,S120&lt;0,T120&lt;=0,Y120=""),"错误:必填项",IF(D120="","警告:SKU待映射","OK"))))</x:f>
        <x:v>OK</x:v>
      </x:c>
    </x:row>
    <x:row r="121" ht="39.599998474121094" hidden="1" customHeight="1">
      <x:c r="A121" s="2" t="str">
        <x:v>COST-8YES-R64-720-SEC-VID</x:v>
      </x:c>
      <x:c r="B121" s="2" t="str">
        <x:v>CH-8YES</x:v>
      </x:c>
      <x:c r="C121" s="2" t="str">
        <x:v>seedance-2.0-720p</x:v>
      </x:c>
      <x:c r="D121" s="2" t="str">
        <x:v>SKU-SD20-STD-720</x:v>
      </x:c>
      <x:c r="E121" s="2" t="str">
        <x:v>with_video</x:v>
      </x:c>
      <x:c r="F121" s="2" t="str">
        <x:v>per_duration</x:v>
      </x:c>
      <x:c r="G121" s="2"/>
      <x:c r="H121" s="2" t="str">
        <x:v>validated_request</x:v>
      </x:c>
      <x:c r="I121" s="2" t="str">
        <x:v>billable_duration_seconds</x:v>
      </x:c>
      <x:c r="J121" s="2" t="str">
        <x:v>task_succeeded</x:v>
      </x:c>
      <x:c r="K121" s="2" t="str">
        <x:v>CNY</x:v>
      </x:c>
      <x:c r="L121" s="27"/>
      <x:c r="M121" s="27" t="n">
        <x:v>0.845</x:v>
      </x:c>
      <x:c r="N121" s="27"/>
      <x:c r="O121" s="26" t="n">
        <x:f t="shared" si="4">IF(F121="per_request",L121,IF(F121="per_duration",M121,IF(F121="per_token",N121,0)))</x:f>
        <x:v>0.845</x:v>
      </x:c>
      <x:c r="P121" s="27" t="n">
        <x:v>1</x:v>
      </x:c>
      <x:c r="Q121" s="27" t="n">
        <x:v>1</x:v>
      </x:c>
      <x:c r="R121" s="27" t="n">
        <x:v>1</x:v>
      </x:c>
      <x:c r="S121" s="27" t="n">
        <x:v>0.01</x:v>
      </x:c>
      <x:c r="T121" s="26" t="n">
        <x:f>IF(K121="USD",1,'参数'!$B$6)</x:f>
        <x:v>0.136986301369863</x:v>
      </x:c>
      <x:c r="U121" s="26" t="n">
        <x:f t="shared" si="5">O121*P121*Q121/R121*(1+S121)*T121</x:f>
        <x:v>0.11691095890410957</x:v>
      </x:c>
      <x:c r="V121" s="23" t="str">
        <x:f t="shared" si="6">IF(F121="per_request","USD/次",IF(F121="per_duration","USD/秒",IF(F121="per_token","USD/1M Token","")))</x:f>
        <x:v>USD/秒</x:v>
      </x:c>
      <x:c r="W121" s="20" t="n">
        <x:v>46229.393565162034</x:v>
      </x:c>
      <x:c r="X121" s="20"/>
      <x:c r="Y121" s="2" t="str">
        <x:v>draft</x:v>
      </x:c>
      <x:c r="Z121" s="2" t="str">
        <x:v>SRC-CH-04</x:v>
      </x:c>
      <x:c r="AA121" s="7" t="str">
        <x:v>源行=sd!64；原模型=seedance-2.0-720p；时长=4-15；比例=不限；视频输入=是；真人脸=否；超分=否；素材库=否；NSFW=否；协议=待确认；原表折扣 秒 含V=1.397（成本/官价参考比，不参与成本二次计算）；原表状态为空，已导入为draft</x:v>
      </x:c>
      <x:c r="AB121" s="23" t="str">
        <x:f t="shared" si="7">IF(A121="","",IF(COUNTIF($A$5:$A$1004,A121)&gt;1,"错误:重复成本规则ID",IF(OR(B121="",C121="",E121="",F121="",K121="",O121&lt;=0,P121&lt;=0,Q121&lt;=0,R121&lt;=0,S121&lt;0,T121&lt;=0,Y121=""),"错误:必填项",IF(D121="","警告:SKU待映射","OK"))))</x:f>
        <x:v>OK</x:v>
      </x:c>
    </x:row>
    <x:row r="122" ht="39.599998474121094" hidden="1" customHeight="1">
      <x:c r="A122" s="2" t="str">
        <x:v>COST-SECURE-R66-720-SEC-NOV</x:v>
      </x:c>
      <x:c r="B122" s="2" t="str">
        <x:v>CH-SECURE</x:v>
      </x:c>
      <x:c r="C122" s="2" t="str">
        <x:v>video-2.0-pro</x:v>
      </x:c>
      <x:c r="D122" s="2" t="str">
        <x:v>SKU-SD20-STD-720</x:v>
      </x:c>
      <x:c r="E122" s="2" t="str">
        <x:v>no_video</x:v>
      </x:c>
      <x:c r="F122" s="2" t="str">
        <x:v>per_duration</x:v>
      </x:c>
      <x:c r="G122" s="2"/>
      <x:c r="H122" s="2" t="str">
        <x:v>validated_request</x:v>
      </x:c>
      <x:c r="I122" s="2" t="str">
        <x:v>billable_duration_seconds</x:v>
      </x:c>
      <x:c r="J122" s="2" t="str">
        <x:v>task_succeeded</x:v>
      </x:c>
      <x:c r="K122" s="2" t="str">
        <x:v>CNY</x:v>
      </x:c>
      <x:c r="L122" s="27"/>
      <x:c r="M122" s="27" t="n">
        <x:v>0.65</x:v>
      </x:c>
      <x:c r="N122" s="27"/>
      <x:c r="O122" s="26" t="n">
        <x:f t="shared" si="4">IF(F122="per_request",L122,IF(F122="per_duration",M122,IF(F122="per_token",N122,0)))</x:f>
        <x:v>0.65</x:v>
      </x:c>
      <x:c r="P122" s="27" t="n">
        <x:v>1</x:v>
      </x:c>
      <x:c r="Q122" s="27" t="n">
        <x:v>1</x:v>
      </x:c>
      <x:c r="R122" s="27" t="n">
        <x:v>1</x:v>
      </x:c>
      <x:c r="S122" s="27" t="n">
        <x:v>0.03</x:v>
      </x:c>
      <x:c r="T122" s="26" t="n">
        <x:f>IF(K122="USD",1,'参数'!$B$6)</x:f>
        <x:v>0.136986301369863</x:v>
      </x:c>
      <x:c r="U122" s="26" t="n">
        <x:f t="shared" si="5">O122*P122*Q122/R122*(1+S122)*T122</x:f>
        <x:v>0.09171232876712329</x:v>
      </x:c>
      <x:c r="V122" s="23" t="str">
        <x:f t="shared" si="6">IF(F122="per_request","USD/次",IF(F122="per_duration","USD/秒",IF(F122="per_token","USD/1M Token","")))</x:f>
        <x:v>USD/秒</x:v>
      </x:c>
      <x:c r="W122" s="20" t="n">
        <x:v>46229.393565162034</x:v>
      </x:c>
      <x:c r="X122" s="20"/>
      <x:c r="Y122" s="2" t="str">
        <x:v>draft</x:v>
      </x:c>
      <x:c r="Z122" s="2" t="str">
        <x:v>SRC-CH-05</x:v>
      </x:c>
      <x:c r="AA122" s="7" t="str">
        <x:v>源行=sd!66；原模型=video-2.0-pro；时长=4-15；比例=不限；视频输入=否；真人脸=是；超分=否；素材库=否；NSFW=否；协议=待确认；素材限制=903；原表折扣 秒 无V=0.654（成本/官价参考比，不参与成本二次计算）；原表状态为空，已导入为draft；火山URL，500并发</x:v>
      </x:c>
      <x:c r="AB122" s="23" t="str">
        <x:f t="shared" si="7">IF(A122="","",IF(COUNTIF($A$5:$A$1004,A122)&gt;1,"错误:重复成本规则ID",IF(OR(B122="",C122="",E122="",F122="",K122="",O122&lt;=0,P122&lt;=0,Q122&lt;=0,R122&lt;=0,S122&lt;0,T122&lt;=0,Y122=""),"错误:必填项",IF(D122="","警告:SKU待映射","OK"))))</x:f>
        <x:v>OK</x:v>
      </x:c>
    </x:row>
    <x:row r="123" ht="39.599998474121094" hidden="1" customHeight="1">
      <x:c r="A123" s="2" t="str">
        <x:v>COST-SECURE-R67-720-REQ-NOV</x:v>
      </x:c>
      <x:c r="B123" s="2" t="str">
        <x:v>CH-SECURE</x:v>
      </x:c>
      <x:c r="C123" s="2" t="str">
        <x:v>video-2.0-pro</x:v>
      </x:c>
      <x:c r="D123" s="2" t="str">
        <x:v>SKU-SD20-STD-720</x:v>
      </x:c>
      <x:c r="E123" s="2" t="str">
        <x:v>no_video</x:v>
      </x:c>
      <x:c r="F123" s="2" t="str">
        <x:v>per_request</x:v>
      </x:c>
      <x:c r="G123" s="2"/>
      <x:c r="H123" s="2" t="str">
        <x:v>validated_request</x:v>
      </x:c>
      <x:c r="I123" s="2" t="str">
        <x:v>request_count</x:v>
      </x:c>
      <x:c r="J123" s="2" t="str">
        <x:v>task_succeeded</x:v>
      </x:c>
      <x:c r="K123" s="2" t="str">
        <x:v>CNY</x:v>
      </x:c>
      <x:c r="L123" s="27" t="n">
        <x:v>6.8</x:v>
      </x:c>
      <x:c r="M123" s="27"/>
      <x:c r="N123" s="27"/>
      <x:c r="O123" s="26" t="n">
        <x:f t="shared" si="4">IF(F123="per_request",L123,IF(F123="per_duration",M123,IF(F123="per_token",N123,0)))</x:f>
        <x:v>6.8</x:v>
      </x:c>
      <x:c r="P123" s="27" t="n">
        <x:v>1</x:v>
      </x:c>
      <x:c r="Q123" s="27" t="n">
        <x:v>1</x:v>
      </x:c>
      <x:c r="R123" s="27" t="n">
        <x:v>1</x:v>
      </x:c>
      <x:c r="S123" s="27" t="n">
        <x:v>0.03</x:v>
      </x:c>
      <x:c r="T123" s="26" t="n">
        <x:f>IF(K123="USD",1,'参数'!$B$6)</x:f>
        <x:v>0.136986301369863</x:v>
      </x:c>
      <x:c r="U123" s="26" t="n">
        <x:f t="shared" si="5">O123*P123*Q123/R123*(1+S123)*T123</x:f>
        <x:v>0.9594520547945204</x:v>
      </x:c>
      <x:c r="V123" s="23" t="str">
        <x:f t="shared" si="6">IF(F123="per_request","USD/次",IF(F123="per_duration","USD/秒",IF(F123="per_token","USD/1M Token","")))</x:f>
        <x:v>USD/次</x:v>
      </x:c>
      <x:c r="W123" s="20" t="n">
        <x:v>46229.393565162034</x:v>
      </x:c>
      <x:c r="X123" s="20"/>
      <x:c r="Y123" s="2" t="str">
        <x:v>draft</x:v>
      </x:c>
      <x:c r="Z123" s="2" t="str">
        <x:v>SRC-CH-05</x:v>
      </x:c>
      <x:c r="AA123" s="7" t="str">
        <x:v>源行=sd!67；原模型=video-2.0-pro；时长=4-15；比例=不限；视频输入=否；真人脸=是；超分=否；素材库=否；NSFW=否；协议=待确认；素材限制=933；原表状态为空，已导入为draft</x:v>
      </x:c>
      <x:c r="AB123" s="23" t="str">
        <x:f t="shared" si="7">IF(A123="","",IF(COUNTIF($A$5:$A$1004,A123)&gt;1,"错误:重复成本规则ID",IF(OR(B123="",C123="",E123="",F123="",K123="",O123&lt;=0,P123&lt;=0,Q123&lt;=0,R123&lt;=0,S123&lt;0,T123&lt;=0,Y123=""),"错误:必填项",IF(D123="","警告:SKU待映射","OK"))))</x:f>
        <x:v>OK</x:v>
      </x:c>
    </x:row>
    <x:row r="124" ht="39.599998474121094" hidden="1" customHeight="1">
      <x:c r="A124" s="2" t="str">
        <x:v>COST-SECURE-R68-1080-REQ-NOV</x:v>
      </x:c>
      <x:c r="B124" s="2" t="str">
        <x:v>CH-SECURE</x:v>
      </x:c>
      <x:c r="C124" s="2" t="str">
        <x:v>video-2.0-pro</x:v>
      </x:c>
      <x:c r="D124" s="2" t="str">
        <x:v>SKU-SD20-STD-1080</x:v>
      </x:c>
      <x:c r="E124" s="2" t="str">
        <x:v>no_video</x:v>
      </x:c>
      <x:c r="F124" s="2" t="str">
        <x:v>per_request</x:v>
      </x:c>
      <x:c r="G124" s="2"/>
      <x:c r="H124" s="2" t="str">
        <x:v>validated_request</x:v>
      </x:c>
      <x:c r="I124" s="2" t="str">
        <x:v>request_count</x:v>
      </x:c>
      <x:c r="J124" s="2" t="str">
        <x:v>task_succeeded</x:v>
      </x:c>
      <x:c r="K124" s="2" t="str">
        <x:v>CNY</x:v>
      </x:c>
      <x:c r="L124" s="27" t="n">
        <x:v>13.6</x:v>
      </x:c>
      <x:c r="M124" s="27"/>
      <x:c r="N124" s="27"/>
      <x:c r="O124" s="26" t="n">
        <x:f t="shared" si="4">IF(F124="per_request",L124,IF(F124="per_duration",M124,IF(F124="per_token",N124,0)))</x:f>
        <x:v>13.6</x:v>
      </x:c>
      <x:c r="P124" s="27" t="n">
        <x:v>1</x:v>
      </x:c>
      <x:c r="Q124" s="27" t="n">
        <x:v>1</x:v>
      </x:c>
      <x:c r="R124" s="27" t="n">
        <x:v>1</x:v>
      </x:c>
      <x:c r="S124" s="27" t="n">
        <x:v>0.03</x:v>
      </x:c>
      <x:c r="T124" s="26" t="n">
        <x:f>IF(K124="USD",1,'参数'!$B$6)</x:f>
        <x:v>0.136986301369863</x:v>
      </x:c>
      <x:c r="U124" s="26" t="n">
        <x:f t="shared" si="5">O124*P124*Q124/R124*(1+S124)*T124</x:f>
        <x:v>1.918904109589041</x:v>
      </x:c>
      <x:c r="V124" s="23" t="str">
        <x:f t="shared" si="6">IF(F124="per_request","USD/次",IF(F124="per_duration","USD/秒",IF(F124="per_token","USD/1M Token","")))</x:f>
        <x:v>USD/次</x:v>
      </x:c>
      <x:c r="W124" s="20" t="n">
        <x:v>46229.393565162034</x:v>
      </x:c>
      <x:c r="X124" s="20"/>
      <x:c r="Y124" s="2" t="str">
        <x:v>draft</x:v>
      </x:c>
      <x:c r="Z124" s="2" t="str">
        <x:v>SRC-CH-05</x:v>
      </x:c>
      <x:c r="AA124" s="7" t="str">
        <x:v>源行=sd!68；原模型=video-2.0-pro；时长=4-15；比例=不限；视频输入=否；真人脸=否；超分=否；素材库=否；NSFW=否；协议=待确认；素材限制=933；原表状态为空，已导入为draft</x:v>
      </x:c>
      <x:c r="AB124" s="23" t="str">
        <x:f t="shared" si="7">IF(A124="","",IF(COUNTIF($A$5:$A$1004,A124)&gt;1,"错误:重复成本规则ID",IF(OR(B124="",C124="",E124="",F124="",K124="",O124&lt;=0,P124&lt;=0,Q124&lt;=0,R124&lt;=0,S124&lt;0,T124&lt;=0,Y124=""),"错误:必填项",IF(D124="","警告:SKU待映射","OK"))))</x:f>
        <x:v>OK</x:v>
      </x:c>
    </x:row>
    <x:row r="125" ht="39.599998474121094" hidden="1" customHeight="1">
      <x:c r="A125" s="2" t="str">
        <x:v>COST-SECURE-R69-4K-REQ-NOV</x:v>
      </x:c>
      <x:c r="B125" s="2" t="str">
        <x:v>CH-SECURE</x:v>
      </x:c>
      <x:c r="C125" s="2" t="str">
        <x:v>video-2.0-pro</x:v>
      </x:c>
      <x:c r="D125" s="2" t="str">
        <x:v>SKU-SD20-STD-4K</x:v>
      </x:c>
      <x:c r="E125" s="2" t="str">
        <x:v>no_video</x:v>
      </x:c>
      <x:c r="F125" s="2" t="str">
        <x:v>per_request</x:v>
      </x:c>
      <x:c r="G125" s="2"/>
      <x:c r="H125" s="2" t="str">
        <x:v>validated_request</x:v>
      </x:c>
      <x:c r="I125" s="2" t="str">
        <x:v>request_count</x:v>
      </x:c>
      <x:c r="J125" s="2" t="str">
        <x:v>task_succeeded</x:v>
      </x:c>
      <x:c r="K125" s="2" t="str">
        <x:v>CNY</x:v>
      </x:c>
      <x:c r="L125" s="27" t="n">
        <x:v>27.2</x:v>
      </x:c>
      <x:c r="M125" s="27"/>
      <x:c r="N125" s="27"/>
      <x:c r="O125" s="26" t="n">
        <x:f t="shared" si="4">IF(F125="per_request",L125,IF(F125="per_duration",M125,IF(F125="per_token",N125,0)))</x:f>
        <x:v>27.2</x:v>
      </x:c>
      <x:c r="P125" s="27" t="n">
        <x:v>1</x:v>
      </x:c>
      <x:c r="Q125" s="27" t="n">
        <x:v>1</x:v>
      </x:c>
      <x:c r="R125" s="27" t="n">
        <x:v>1</x:v>
      </x:c>
      <x:c r="S125" s="27" t="n">
        <x:v>0.03</x:v>
      </x:c>
      <x:c r="T125" s="26" t="n">
        <x:f>IF(K125="USD",1,'参数'!$B$6)</x:f>
        <x:v>0.136986301369863</x:v>
      </x:c>
      <x:c r="U125" s="26" t="n">
        <x:f t="shared" si="5">O125*P125*Q125/R125*(1+S125)*T125</x:f>
        <x:v>3.837808219178082</x:v>
      </x:c>
      <x:c r="V125" s="23" t="str">
        <x:f t="shared" si="6">IF(F125="per_request","USD/次",IF(F125="per_duration","USD/秒",IF(F125="per_token","USD/1M Token","")))</x:f>
        <x:v>USD/次</x:v>
      </x:c>
      <x:c r="W125" s="20" t="n">
        <x:v>46229.393565162034</x:v>
      </x:c>
      <x:c r="X125" s="20"/>
      <x:c r="Y125" s="2" t="str">
        <x:v>draft</x:v>
      </x:c>
      <x:c r="Z125" s="2" t="str">
        <x:v>SRC-CH-05</x:v>
      </x:c>
      <x:c r="AA125" s="7" t="str">
        <x:v>源行=sd!69；原模型=video-2.0-pro；时长=4-15；比例=不限；视频输入=否；真人脸=否；超分=否；素材库=否；NSFW=否；协议=待确认；素材限制=933；原表状态为空，已导入为draft</x:v>
      </x:c>
      <x:c r="AB125" s="23" t="str">
        <x:f t="shared" si="7">IF(A125="","",IF(COUNTIF($A$5:$A$1004,A125)&gt;1,"错误:重复成本规则ID",IF(OR(B125="",C125="",E125="",F125="",K125="",O125&lt;=0,P125&lt;=0,Q125&lt;=0,R125&lt;=0,S125&lt;0,T125&lt;=0,Y125=""),"错误:必填项",IF(D125="","警告:SKU待映射","OK"))))</x:f>
        <x:v>OK</x:v>
      </x:c>
    </x:row>
    <x:row r="126" ht="39.599998474121094" hidden="1" customHeight="1">
      <x:c r="A126" s="2" t="str">
        <x:v>COST-SECURE-R70-720-REQ-NOV</x:v>
      </x:c>
      <x:c r="B126" s="2" t="str">
        <x:v>CH-SECURE</x:v>
      </x:c>
      <x:c r="C126" s="2" t="str">
        <x:v>video-2.0-fast</x:v>
      </x:c>
      <x:c r="D126" s="2" t="str">
        <x:v>SKU-SD20-FAST-720</x:v>
      </x:c>
      <x:c r="E126" s="2" t="str">
        <x:v>no_video</x:v>
      </x:c>
      <x:c r="F126" s="2" t="str">
        <x:v>per_request</x:v>
      </x:c>
      <x:c r="G126" s="2"/>
      <x:c r="H126" s="2" t="str">
        <x:v>validated_request</x:v>
      </x:c>
      <x:c r="I126" s="2" t="str">
        <x:v>request_count</x:v>
      </x:c>
      <x:c r="J126" s="2" t="str">
        <x:v>task_succeeded</x:v>
      </x:c>
      <x:c r="K126" s="2" t="str">
        <x:v>CNY</x:v>
      </x:c>
      <x:c r="L126" s="27" t="n">
        <x:v>5.8</x:v>
      </x:c>
      <x:c r="M126" s="27"/>
      <x:c r="N126" s="27"/>
      <x:c r="O126" s="26" t="n">
        <x:f t="shared" si="4">IF(F126="per_request",L126,IF(F126="per_duration",M126,IF(F126="per_token",N126,0)))</x:f>
        <x:v>5.8</x:v>
      </x:c>
      <x:c r="P126" s="27" t="n">
        <x:v>1</x:v>
      </x:c>
      <x:c r="Q126" s="27" t="n">
        <x:v>1</x:v>
      </x:c>
      <x:c r="R126" s="27" t="n">
        <x:v>1</x:v>
      </x:c>
      <x:c r="S126" s="27" t="n">
        <x:v>0.03</x:v>
      </x:c>
      <x:c r="T126" s="26" t="n">
        <x:f>IF(K126="USD",1,'参数'!$B$6)</x:f>
        <x:v>0.136986301369863</x:v>
      </x:c>
      <x:c r="U126" s="26" t="n">
        <x:f t="shared" si="5">O126*P126*Q126/R126*(1+S126)*T126</x:f>
        <x:v>0.8183561643835616</x:v>
      </x:c>
      <x:c r="V126" s="23" t="str">
        <x:f t="shared" si="6">IF(F126="per_request","USD/次",IF(F126="per_duration","USD/秒",IF(F126="per_token","USD/1M Token","")))</x:f>
        <x:v>USD/次</x:v>
      </x:c>
      <x:c r="W126" s="20" t="n">
        <x:v>46229.393565162034</x:v>
      </x:c>
      <x:c r="X126" s="20"/>
      <x:c r="Y126" s="2" t="str">
        <x:v>draft</x:v>
      </x:c>
      <x:c r="Z126" s="2" t="str">
        <x:v>SRC-CH-05</x:v>
      </x:c>
      <x:c r="AA126" s="7" t="str">
        <x:v>源行=sd!70；原模型=video-2.0-fast；时长=4-15；比例=不限；视频输入=否；真人脸=否；超分=否；素材库=否；NSFW=否；协议=待确认；素材限制=933；原表状态为空，已导入为draft</x:v>
      </x:c>
      <x:c r="AB126" s="23" t="str">
        <x:f t="shared" si="7">IF(A126="","",IF(COUNTIF($A$5:$A$1004,A126)&gt;1,"错误:重复成本规则ID",IF(OR(B126="",C126="",E126="",F126="",K126="",O126&lt;=0,P126&lt;=0,Q126&lt;=0,R126&lt;=0,S126&lt;0,T126&lt;=0,Y126=""),"错误:必填项",IF(D126="","警告:SKU待映射","OK"))))</x:f>
        <x:v>OK</x:v>
      </x:c>
    </x:row>
    <x:row r="127" ht="39.599998474121094" hidden="1" customHeight="1">
      <x:c r="A127" s="2" t="str">
        <x:v>COST-SECURE-R70-480-REQ-NOV</x:v>
      </x:c>
      <x:c r="B127" s="2" t="str">
        <x:v>CH-SECURE</x:v>
      </x:c>
      <x:c r="C127" s="2" t="str">
        <x:v>video-2.0-fast</x:v>
      </x:c>
      <x:c r="D127" s="2" t="str">
        <x:v>SKU-SD20-FAST-480</x:v>
      </x:c>
      <x:c r="E127" s="2" t="str">
        <x:v>no_video</x:v>
      </x:c>
      <x:c r="F127" s="2" t="str">
        <x:v>per_request</x:v>
      </x:c>
      <x:c r="G127" s="2"/>
      <x:c r="H127" s="2" t="str">
        <x:v>validated_request</x:v>
      </x:c>
      <x:c r="I127" s="2" t="str">
        <x:v>request_count</x:v>
      </x:c>
      <x:c r="J127" s="2" t="str">
        <x:v>task_succeeded</x:v>
      </x:c>
      <x:c r="K127" s="2" t="str">
        <x:v>CNY</x:v>
      </x:c>
      <x:c r="L127" s="27" t="n">
        <x:v>5.8</x:v>
      </x:c>
      <x:c r="M127" s="27"/>
      <x:c r="N127" s="27"/>
      <x:c r="O127" s="26" t="n">
        <x:f t="shared" si="4">IF(F127="per_request",L127,IF(F127="per_duration",M127,IF(F127="per_token",N127,0)))</x:f>
        <x:v>5.8</x:v>
      </x:c>
      <x:c r="P127" s="27" t="n">
        <x:v>1</x:v>
      </x:c>
      <x:c r="Q127" s="27" t="n">
        <x:v>1</x:v>
      </x:c>
      <x:c r="R127" s="27" t="n">
        <x:v>1</x:v>
      </x:c>
      <x:c r="S127" s="27" t="n">
        <x:v>0.03</x:v>
      </x:c>
      <x:c r="T127" s="26" t="n">
        <x:f>IF(K127="USD",1,'参数'!$B$6)</x:f>
        <x:v>0.136986301369863</x:v>
      </x:c>
      <x:c r="U127" s="26" t="n">
        <x:f t="shared" si="5">O127*P127*Q127/R127*(1+S127)*T127</x:f>
        <x:v>0.8183561643835616</x:v>
      </x:c>
      <x:c r="V127" s="23" t="str">
        <x:f t="shared" si="6">IF(F127="per_request","USD/次",IF(F127="per_duration","USD/秒",IF(F127="per_token","USD/1M Token","")))</x:f>
        <x:v>USD/次</x:v>
      </x:c>
      <x:c r="W127" s="20" t="n">
        <x:v>46229.393565162034</x:v>
      </x:c>
      <x:c r="X127" s="20"/>
      <x:c r="Y127" s="2" t="str">
        <x:v>draft</x:v>
      </x:c>
      <x:c r="Z127" s="2" t="str">
        <x:v>SRC-CH-05</x:v>
      </x:c>
      <x:c r="AA127" s="7" t="str">
        <x:v>源行=sd!70；原模型=video-2.0-fast；时长=4-15；比例=不限；视频输入=否；真人脸=否；超分=否；素材库=否；NSFW=否；协议=待确认；素材限制=933；原表状态为空，已导入为draft</x:v>
      </x:c>
      <x:c r="AB127" s="23" t="str">
        <x:f t="shared" si="7">IF(A127="","",IF(COUNTIF($A$5:$A$1004,A127)&gt;1,"错误:重复成本规则ID",IF(OR(B127="",C127="",E127="",F127="",K127="",O127&lt;=0,P127&lt;=0,Q127&lt;=0,R127&lt;=0,S127&lt;0,T127&lt;=0,Y127=""),"错误:必填项",IF(D127="","警告:SKU待映射","OK"))))</x:f>
        <x:v>OK</x:v>
      </x:c>
    </x:row>
    <x:row r="128" ht="66" hidden="1" customHeight="1">
      <x:c r="A128" s="2" t="str">
        <x:v>COST-SECURE-R71-720-REQ-NOV</x:v>
      </x:c>
      <x:c r="B128" s="2" t="str">
        <x:v>CH-SECURE</x:v>
      </x:c>
      <x:c r="C128" s="2" t="str">
        <x:v>video-2.0-mini</x:v>
      </x:c>
      <x:c r="D128" s="2" t="str">
        <x:v>SKU-SD20-MINI-720</x:v>
      </x:c>
      <x:c r="E128" s="2" t="str">
        <x:v>no_video</x:v>
      </x:c>
      <x:c r="F128" s="2" t="str">
        <x:v>per_request</x:v>
      </x:c>
      <x:c r="G128" s="2"/>
      <x:c r="H128" s="2" t="str">
        <x:v>validated_request</x:v>
      </x:c>
      <x:c r="I128" s="2" t="str">
        <x:v>request_count</x:v>
      </x:c>
      <x:c r="J128" s="2" t="str">
        <x:v>task_succeeded</x:v>
      </x:c>
      <x:c r="K128" s="2" t="str">
        <x:v>CNY</x:v>
      </x:c>
      <x:c r="L128" s="27" t="n">
        <x:v>4.9</x:v>
      </x:c>
      <x:c r="M128" s="27"/>
      <x:c r="N128" s="27"/>
      <x:c r="O128" s="26" t="n">
        <x:f t="shared" si="4">IF(F128="per_request",L128,IF(F128="per_duration",M128,IF(F128="per_token",N128,0)))</x:f>
        <x:v>4.9</x:v>
      </x:c>
      <x:c r="P128" s="27" t="n">
        <x:v>1</x:v>
      </x:c>
      <x:c r="Q128" s="27" t="n">
        <x:v>1</x:v>
      </x:c>
      <x:c r="R128" s="27" t="n">
        <x:v>1</x:v>
      </x:c>
      <x:c r="S128" s="27" t="n">
        <x:v>0.03</x:v>
      </x:c>
      <x:c r="T128" s="26" t="n">
        <x:f>IF(K128="USD",1,'参数'!$B$6)</x:f>
        <x:v>0.136986301369863</x:v>
      </x:c>
      <x:c r="U128" s="26" t="n">
        <x:f t="shared" si="5">O128*P128*Q128/R128*(1+S128)*T128</x:f>
        <x:v>0.6913698630136986</x:v>
      </x:c>
      <x:c r="V128" s="23" t="str">
        <x:f t="shared" si="6">IF(F128="per_request","USD/次",IF(F128="per_duration","USD/秒",IF(F128="per_token","USD/1M Token","")))</x:f>
        <x:v>USD/次</x:v>
      </x:c>
      <x:c r="W128" s="20" t="n">
        <x:v>46229.393565162034</x:v>
      </x:c>
      <x:c r="X128" s="20"/>
      <x:c r="Y128" s="2" t="str">
        <x:v>draft</x:v>
      </x:c>
      <x:c r="Z128" s="2" t="str">
        <x:v>SRC-CH-05</x:v>
      </x:c>
      <x:c r="AA128" s="7" t="str">
        <x:v>源行=sd!71；原模型=video-2.0-mini；时长=4-15；比例=不限；视频输入=否；真人脸=否；超分=否；素材库=否；NSFW=否；协议=待确认；素材限制=933；原表状态为空，已导入为draft</x:v>
      </x:c>
      <x:c r="AB128" s="23" t="str">
        <x:f t="shared" si="7">IF(A128="","",IF(COUNTIF($A$5:$A$1004,A128)&gt;1,"错误:重复成本规则ID",IF(OR(B128="",C128="",E128="",F128="",K128="",O128&lt;=0,P128&lt;=0,Q128&lt;=0,R128&lt;=0,S128&lt;0,T128&lt;=0,Y128=""),"错误:必填项",IF(D128="","警告:SKU待映射","OK"))))</x:f>
        <x:v>OK</x:v>
      </x:c>
    </x:row>
    <x:row r="129" ht="66" hidden="1" customHeight="1">
      <x:c r="A129" s="2" t="str">
        <x:v>COST-SECURE-R71-480-REQ-NOV</x:v>
      </x:c>
      <x:c r="B129" s="2" t="str">
        <x:v>CH-SECURE</x:v>
      </x:c>
      <x:c r="C129" s="2" t="str">
        <x:v>video-2.0-mini</x:v>
      </x:c>
      <x:c r="D129" s="2" t="str">
        <x:v>SKU-SD20-MINI-480</x:v>
      </x:c>
      <x:c r="E129" s="2" t="str">
        <x:v>no_video</x:v>
      </x:c>
      <x:c r="F129" s="2" t="str">
        <x:v>per_request</x:v>
      </x:c>
      <x:c r="G129" s="2"/>
      <x:c r="H129" s="2" t="str">
        <x:v>validated_request</x:v>
      </x:c>
      <x:c r="I129" s="2" t="str">
        <x:v>request_count</x:v>
      </x:c>
      <x:c r="J129" s="2" t="str">
        <x:v>task_succeeded</x:v>
      </x:c>
      <x:c r="K129" s="2" t="str">
        <x:v>CNY</x:v>
      </x:c>
      <x:c r="L129" s="27" t="n">
        <x:v>4.9</x:v>
      </x:c>
      <x:c r="M129" s="27"/>
      <x:c r="N129" s="27"/>
      <x:c r="O129" s="26" t="n">
        <x:f t="shared" si="4">IF(F129="per_request",L129,IF(F129="per_duration",M129,IF(F129="per_token",N129,0)))</x:f>
        <x:v>4.9</x:v>
      </x:c>
      <x:c r="P129" s="27" t="n">
        <x:v>1</x:v>
      </x:c>
      <x:c r="Q129" s="27" t="n">
        <x:v>1</x:v>
      </x:c>
      <x:c r="R129" s="27" t="n">
        <x:v>1</x:v>
      </x:c>
      <x:c r="S129" s="27" t="n">
        <x:v>0.03</x:v>
      </x:c>
      <x:c r="T129" s="26" t="n">
        <x:f>IF(K129="USD",1,'参数'!$B$6)</x:f>
        <x:v>0.136986301369863</x:v>
      </x:c>
      <x:c r="U129" s="26" t="n">
        <x:f t="shared" si="5">O129*P129*Q129/R129*(1+S129)*T129</x:f>
        <x:v>0.6913698630136986</x:v>
      </x:c>
      <x:c r="V129" s="23" t="str">
        <x:f t="shared" si="6">IF(F129="per_request","USD/次",IF(F129="per_duration","USD/秒",IF(F129="per_token","USD/1M Token","")))</x:f>
        <x:v>USD/次</x:v>
      </x:c>
      <x:c r="W129" s="20" t="n">
        <x:v>46229.393565162034</x:v>
      </x:c>
      <x:c r="X129" s="20"/>
      <x:c r="Y129" s="2" t="str">
        <x:v>draft</x:v>
      </x:c>
      <x:c r="Z129" s="2" t="str">
        <x:v>SRC-CH-05</x:v>
      </x:c>
      <x:c r="AA129" s="7" t="str">
        <x:v>源行=sd!71；原模型=video-2.0-mini；时长=4-15；比例=不限；视频输入=否；真人脸=否；超分=否；素材库=否；NSFW=否；协议=待确认；素材限制=933；原表状态为空，已导入为draft</x:v>
      </x:c>
      <x:c r="AB129" s="23" t="str">
        <x:f t="shared" si="7">IF(A129="","",IF(COUNTIF($A$5:$A$1004,A129)&gt;1,"错误:重复成本规则ID",IF(OR(B129="",C129="",E129="",F129="",K129="",O129&lt;=0,P129&lt;=0,Q129&lt;=0,R129&lt;=0,S129&lt;0,T129&lt;=0,Y129=""),"错误:必填项",IF(D129="","警告:SKU待映射","OK"))))</x:f>
        <x:v>OK</x:v>
      </x:c>
    </x:row>
    <x:row r="130" ht="66" hidden="1" customHeight="1">
      <x:c r="A130" s="2" t="str">
        <x:v>COST-SECURE-R72-720-SEC-NOV</x:v>
      </x:c>
      <x:c r="B130" s="2" t="str">
        <x:v>CH-SECURE</x:v>
      </x:c>
      <x:c r="C130" s="2" t="str">
        <x:v>video-2.0-pro</x:v>
      </x:c>
      <x:c r="D130" s="2" t="str">
        <x:v>SKU-SD20-STD-720</x:v>
      </x:c>
      <x:c r="E130" s="2" t="str">
        <x:v>no_video</x:v>
      </x:c>
      <x:c r="F130" s="2" t="str">
        <x:v>per_duration</x:v>
      </x:c>
      <x:c r="G130" s="2"/>
      <x:c r="H130" s="2" t="str">
        <x:v>validated_request</x:v>
      </x:c>
      <x:c r="I130" s="2" t="str">
        <x:v>billable_duration_seconds</x:v>
      </x:c>
      <x:c r="J130" s="2" t="str">
        <x:v>task_succeeded</x:v>
      </x:c>
      <x:c r="K130" s="2" t="str">
        <x:v>CNY</x:v>
      </x:c>
      <x:c r="L130" s="27"/>
      <x:c r="M130" s="27" t="n">
        <x:v>0.7</x:v>
      </x:c>
      <x:c r="N130" s="27"/>
      <x:c r="O130" s="26" t="n">
        <x:f t="shared" si="4">IF(F130="per_request",L130,IF(F130="per_duration",M130,IF(F130="per_token",N130,0)))</x:f>
        <x:v>0.7</x:v>
      </x:c>
      <x:c r="P130" s="27" t="n">
        <x:v>1</x:v>
      </x:c>
      <x:c r="Q130" s="27" t="n">
        <x:v>1</x:v>
      </x:c>
      <x:c r="R130" s="27" t="n">
        <x:v>1</x:v>
      </x:c>
      <x:c r="S130" s="27" t="n">
        <x:v>0.03</x:v>
      </x:c>
      <x:c r="T130" s="26" t="n">
        <x:f>IF(K130="USD",1,'参数'!$B$6)</x:f>
        <x:v>0.136986301369863</x:v>
      </x:c>
      <x:c r="U130" s="26" t="n">
        <x:f t="shared" si="5">O130*P130*Q130/R130*(1+S130)*T130</x:f>
        <x:v>0.09876712328767122</x:v>
      </x:c>
      <x:c r="V130" s="23" t="str">
        <x:f t="shared" si="6">IF(F130="per_request","USD/次",IF(F130="per_duration","USD/秒",IF(F130="per_token","USD/1M Token","")))</x:f>
        <x:v>USD/秒</x:v>
      </x:c>
      <x:c r="W130" s="20" t="n">
        <x:v>46229.393565162034</x:v>
      </x:c>
      <x:c r="X130" s="20"/>
      <x:c r="Y130" s="2" t="str">
        <x:v>draft</x:v>
      </x:c>
      <x:c r="Z130" s="2" t="str">
        <x:v>SRC-CH-05</x:v>
      </x:c>
      <x:c r="AA130" s="7" t="str">
        <x:v>源行=sd!72；原模型=video-2.0-pro；时长=4-15；比例=不限；视频输入=否；真人脸=是；超分=否；素材库=否；NSFW=否；协议=待确认；素材限制=933；原表折扣 秒 无V=0.704（成本/官价参考比，不参与成本二次计算）；原表状态为空，已导入为draft；海外</x:v>
      </x:c>
      <x:c r="AB130" s="23" t="str">
        <x:f t="shared" si="7">IF(A130="","",IF(COUNTIF($A$5:$A$1004,A130)&gt;1,"错误:重复成本规则ID",IF(OR(B130="",C130="",E130="",F130="",K130="",O130&lt;=0,P130&lt;=0,Q130&lt;=0,R130&lt;=0,S130&lt;0,T130&lt;=0,Y130=""),"错误:必填项",IF(D130="","警告:SKU待映射","OK"))))</x:f>
        <x:v>OK</x:v>
      </x:c>
    </x:row>
    <x:row r="131" ht="66" hidden="1" customHeight="1">
      <x:c r="A131" s="2" t="str">
        <x:v>COST-SECURE-R73-1080-SEC-NOV</x:v>
      </x:c>
      <x:c r="B131" s="2" t="str">
        <x:v>CH-SECURE</x:v>
      </x:c>
      <x:c r="C131" s="2" t="str">
        <x:v>video-2.0-pro</x:v>
      </x:c>
      <x:c r="D131" s="2" t="str">
        <x:v>SKU-SD20-STD-1080</x:v>
      </x:c>
      <x:c r="E131" s="2" t="str">
        <x:v>no_video</x:v>
      </x:c>
      <x:c r="F131" s="2" t="str">
        <x:v>per_duration</x:v>
      </x:c>
      <x:c r="G131" s="2"/>
      <x:c r="H131" s="2" t="str">
        <x:v>validated_request</x:v>
      </x:c>
      <x:c r="I131" s="2" t="str">
        <x:v>billable_duration_seconds</x:v>
      </x:c>
      <x:c r="J131" s="2" t="str">
        <x:v>task_succeeded</x:v>
      </x:c>
      <x:c r="K131" s="2" t="str">
        <x:v>CNY</x:v>
      </x:c>
      <x:c r="L131" s="27"/>
      <x:c r="M131" s="27" t="n">
        <x:v>1.75</x:v>
      </x:c>
      <x:c r="N131" s="27"/>
      <x:c r="O131" s="26" t="n">
        <x:f t="shared" si="4">IF(F131="per_request",L131,IF(F131="per_duration",M131,IF(F131="per_token",N131,0)))</x:f>
        <x:v>1.75</x:v>
      </x:c>
      <x:c r="P131" s="27" t="n">
        <x:v>1</x:v>
      </x:c>
      <x:c r="Q131" s="27" t="n">
        <x:v>1</x:v>
      </x:c>
      <x:c r="R131" s="27" t="n">
        <x:v>1</x:v>
      </x:c>
      <x:c r="S131" s="27" t="n">
        <x:v>0.03</x:v>
      </x:c>
      <x:c r="T131" s="26" t="n">
        <x:f>IF(K131="USD",1,'参数'!$B$6)</x:f>
        <x:v>0.136986301369863</x:v>
      </x:c>
      <x:c r="U131" s="26" t="n">
        <x:f t="shared" si="5">O131*P131*Q131/R131*(1+S131)*T131</x:f>
        <x:v>0.24691780821917808</x:v>
      </x:c>
      <x:c r="V131" s="23" t="str">
        <x:f t="shared" si="6">IF(F131="per_request","USD/次",IF(F131="per_duration","USD/秒",IF(F131="per_token","USD/1M Token","")))</x:f>
        <x:v>USD/秒</x:v>
      </x:c>
      <x:c r="W131" s="20" t="n">
        <x:v>46229.393565162034</x:v>
      </x:c>
      <x:c r="X131" s="20"/>
      <x:c r="Y131" s="2" t="str">
        <x:v>draft</x:v>
      </x:c>
      <x:c r="Z131" s="2" t="str">
        <x:v>SRC-CH-05</x:v>
      </x:c>
      <x:c r="AA131" s="7" t="str">
        <x:v>源行=sd!73；原模型=video-2.0-pro；时长=4-15；比例=不限；视频输入=否；真人脸=是；超分=否；素材库=否；NSFW=否；协议=待确认；素材限制=933；原表折扣 秒 无V=0.706（成本/官价参考比，不参与成本二次计算）；原表状态为空，已导入为draft；海外</x:v>
      </x:c>
      <x:c r="AB131" s="23" t="str">
        <x:f t="shared" si="7">IF(A131="","",IF(COUNTIF($A$5:$A$1004,A131)&gt;1,"错误:重复成本规则ID",IF(OR(B131="",C131="",E131="",F131="",K131="",O131&lt;=0,P131&lt;=0,Q131&lt;=0,R131&lt;=0,S131&lt;0,T131&lt;=0,Y131=""),"错误:必填项",IF(D131="","警告:SKU待映射","OK"))))</x:f>
        <x:v>OK</x:v>
      </x:c>
    </x:row>
    <x:row r="132" ht="66" hidden="1" customHeight="1">
      <x:c r="A132" s="2" t="str">
        <x:v>COST-SECURE-R74-720-SEC-NOV</x:v>
      </x:c>
      <x:c r="B132" s="2" t="str">
        <x:v>CH-SECURE</x:v>
      </x:c>
      <x:c r="C132" s="2" t="str">
        <x:v>video-2.0-fast</x:v>
      </x:c>
      <x:c r="D132" s="2" t="str">
        <x:v>SKU-SD20-FAST-720</x:v>
      </x:c>
      <x:c r="E132" s="2" t="str">
        <x:v>no_video</x:v>
      </x:c>
      <x:c r="F132" s="2" t="str">
        <x:v>per_duration</x:v>
      </x:c>
      <x:c r="G132" s="2"/>
      <x:c r="H132" s="2" t="str">
        <x:v>validated_request</x:v>
      </x:c>
      <x:c r="I132" s="2" t="str">
        <x:v>billable_duration_seconds</x:v>
      </x:c>
      <x:c r="J132" s="2" t="str">
        <x:v>task_succeeded</x:v>
      </x:c>
      <x:c r="K132" s="2" t="str">
        <x:v>CNY</x:v>
      </x:c>
      <x:c r="L132" s="27"/>
      <x:c r="M132" s="27" t="n">
        <x:v>0.56</x:v>
      </x:c>
      <x:c r="N132" s="27"/>
      <x:c r="O132" s="26" t="n">
        <x:f t="shared" si="4">IF(F132="per_request",L132,IF(F132="per_duration",M132,IF(F132="per_token",N132,0)))</x:f>
        <x:v>0.56</x:v>
      </x:c>
      <x:c r="P132" s="27" t="n">
        <x:v>1</x:v>
      </x:c>
      <x:c r="Q132" s="27" t="n">
        <x:v>1</x:v>
      </x:c>
      <x:c r="R132" s="27" t="n">
        <x:v>1</x:v>
      </x:c>
      <x:c r="S132" s="27" t="n">
        <x:v>0.03</x:v>
      </x:c>
      <x:c r="T132" s="26" t="n">
        <x:f>IF(K132="USD",1,'参数'!$B$6)</x:f>
        <x:v>0.136986301369863</x:v>
      </x:c>
      <x:c r="U132" s="26" t="n">
        <x:f t="shared" si="5">O132*P132*Q132/R132*(1+S132)*T132</x:f>
        <x:v>0.07901369863013699</x:v>
      </x:c>
      <x:c r="V132" s="23" t="str">
        <x:f t="shared" si="6">IF(F132="per_request","USD/次",IF(F132="per_duration","USD/秒",IF(F132="per_token","USD/1M Token","")))</x:f>
        <x:v>USD/秒</x:v>
      </x:c>
      <x:c r="W132" s="20" t="n">
        <x:v>46229.393565162034</x:v>
      </x:c>
      <x:c r="X132" s="20"/>
      <x:c r="Y132" s="2" t="str">
        <x:v>draft</x:v>
      </x:c>
      <x:c r="Z132" s="2" t="str">
        <x:v>SRC-CH-05</x:v>
      </x:c>
      <x:c r="AA132" s="7" t="str">
        <x:v>源行=sd!74；原模型=video-2.0-fast；时长=4-15；比例=不限；视频输入=否；真人脸=是；超分=否；素材库=否；NSFW=否；协议=待确认；素材限制=933；原表状态为空，已导入为draft；海外</x:v>
      </x:c>
      <x:c r="AB132" s="23" t="str">
        <x:f t="shared" si="7">IF(A132="","",IF(COUNTIF($A$5:$A$1004,A132)&gt;1,"错误:重复成本规则ID",IF(OR(B132="",C132="",E132="",F132="",K132="",O132&lt;=0,P132&lt;=0,Q132&lt;=0,R132&lt;=0,S132&lt;0,T132&lt;=0,Y132=""),"错误:必填项",IF(D132="","警告:SKU待映射","OK"))))</x:f>
        <x:v>OK</x:v>
      </x:c>
    </x:row>
    <x:row r="133" ht="66" hidden="1" customHeight="1">
      <x:c r="A133" s="2" t="str">
        <x:v>COST-SECURE-R74-480-SEC-NOV</x:v>
      </x:c>
      <x:c r="B133" s="2" t="str">
        <x:v>CH-SECURE</x:v>
      </x:c>
      <x:c r="C133" s="2" t="str">
        <x:v>video-2.0-fast</x:v>
      </x:c>
      <x:c r="D133" s="2" t="str">
        <x:v>SKU-SD20-FAST-480</x:v>
      </x:c>
      <x:c r="E133" s="2" t="str">
        <x:v>no_video</x:v>
      </x:c>
      <x:c r="F133" s="2" t="str">
        <x:v>per_duration</x:v>
      </x:c>
      <x:c r="G133" s="2"/>
      <x:c r="H133" s="2" t="str">
        <x:v>validated_request</x:v>
      </x:c>
      <x:c r="I133" s="2" t="str">
        <x:v>billable_duration_seconds</x:v>
      </x:c>
      <x:c r="J133" s="2" t="str">
        <x:v>task_succeeded</x:v>
      </x:c>
      <x:c r="K133" s="2" t="str">
        <x:v>CNY</x:v>
      </x:c>
      <x:c r="L133" s="27"/>
      <x:c r="M133" s="27" t="n">
        <x:v>0.56</x:v>
      </x:c>
      <x:c r="N133" s="27"/>
      <x:c r="O133" s="26" t="n">
        <x:f t="shared" ref="O133:O196" si="8">IF(F133="per_request",L133,IF(F133="per_duration",M133,IF(F133="per_token",N133,0)))</x:f>
        <x:v>0.56</x:v>
      </x:c>
      <x:c r="P133" s="27" t="n">
        <x:v>1</x:v>
      </x:c>
      <x:c r="Q133" s="27" t="n">
        <x:v>1</x:v>
      </x:c>
      <x:c r="R133" s="27" t="n">
        <x:v>1</x:v>
      </x:c>
      <x:c r="S133" s="27" t="n">
        <x:v>0.03</x:v>
      </x:c>
      <x:c r="T133" s="26" t="n">
        <x:f>IF(K133="USD",1,'参数'!$B$6)</x:f>
        <x:v>0.136986301369863</x:v>
      </x:c>
      <x:c r="U133" s="26" t="n">
        <x:f t="shared" ref="U133:U196" si="9">O133*P133*Q133/R133*(1+S133)*T133</x:f>
        <x:v>0.07901369863013699</x:v>
      </x:c>
      <x:c r="V133" s="23" t="str">
        <x:f t="shared" ref="V133:V196" si="10">IF(F133="per_request","USD/次",IF(F133="per_duration","USD/秒",IF(F133="per_token","USD/1M Token","")))</x:f>
        <x:v>USD/秒</x:v>
      </x:c>
      <x:c r="W133" s="20" t="n">
        <x:v>46229.393565162034</x:v>
      </x:c>
      <x:c r="X133" s="20"/>
      <x:c r="Y133" s="2" t="str">
        <x:v>draft</x:v>
      </x:c>
      <x:c r="Z133" s="2" t="str">
        <x:v>SRC-CH-05</x:v>
      </x:c>
      <x:c r="AA133" s="7" t="str">
        <x:v>源行=sd!74；原模型=video-2.0-fast；时长=4-15；比例=不限；视频输入=否；真人脸=是；超分=否；素材库=否；NSFW=否；协议=待确认；素材限制=933；原表状态为空，已导入为draft；海外</x:v>
      </x:c>
      <x:c r="AB133" s="23" t="str">
        <x:f t="shared" ref="AB133:AB196" si="11">IF(A133="","",IF(COUNTIF($A$5:$A$1004,A133)&gt;1,"错误:重复成本规则ID",IF(OR(B133="",C133="",E133="",F133="",K133="",O133&lt;=0,P133&lt;=0,Q133&lt;=0,R133&lt;=0,S133&lt;0,T133&lt;=0,Y133=""),"错误:必填项",IF(D133="","警告:SKU待映射","OK"))))</x:f>
        <x:v>OK</x:v>
      </x:c>
    </x:row>
    <x:row r="134" ht="39.599998474121094" hidden="1" customHeight="1">
      <x:c r="A134" s="2" t="str">
        <x:v>COST-SECURE-R75-720-SEC-NOV</x:v>
      </x:c>
      <x:c r="B134" s="2" t="str">
        <x:v>CH-SECURE</x:v>
      </x:c>
      <x:c r="C134" s="2" t="str">
        <x:v>video-2.0-mini</x:v>
      </x:c>
      <x:c r="D134" s="2" t="str">
        <x:v>SKU-SD20-MINI-720</x:v>
      </x:c>
      <x:c r="E134" s="2" t="str">
        <x:v>no_video</x:v>
      </x:c>
      <x:c r="F134" s="2" t="str">
        <x:v>per_duration</x:v>
      </x:c>
      <x:c r="G134" s="2"/>
      <x:c r="H134" s="2" t="str">
        <x:v>validated_request</x:v>
      </x:c>
      <x:c r="I134" s="2" t="str">
        <x:v>billable_duration_seconds</x:v>
      </x:c>
      <x:c r="J134" s="2" t="str">
        <x:v>task_succeeded</x:v>
      </x:c>
      <x:c r="K134" s="2" t="str">
        <x:v>CNY</x:v>
      </x:c>
      <x:c r="L134" s="27"/>
      <x:c r="M134" s="27" t="n">
        <x:v>0.48</x:v>
      </x:c>
      <x:c r="N134" s="27"/>
      <x:c r="O134" s="26" t="n">
        <x:f t="shared" si="8">IF(F134="per_request",L134,IF(F134="per_duration",M134,IF(F134="per_token",N134,0)))</x:f>
        <x:v>0.48</x:v>
      </x:c>
      <x:c r="P134" s="27" t="n">
        <x:v>1</x:v>
      </x:c>
      <x:c r="Q134" s="27" t="n">
        <x:v>1</x:v>
      </x:c>
      <x:c r="R134" s="27" t="n">
        <x:v>1</x:v>
      </x:c>
      <x:c r="S134" s="27" t="n">
        <x:v>0.03</x:v>
      </x:c>
      <x:c r="T134" s="26" t="n">
        <x:f>IF(K134="USD",1,'参数'!$B$6)</x:f>
        <x:v>0.136986301369863</x:v>
      </x:c>
      <x:c r="U134" s="26" t="n">
        <x:f t="shared" si="9">O134*P134*Q134/R134*(1+S134)*T134</x:f>
        <x:v>0.06772602739726027</x:v>
      </x:c>
      <x:c r="V134" s="23" t="str">
        <x:f t="shared" si="10">IF(F134="per_request","USD/次",IF(F134="per_duration","USD/秒",IF(F134="per_token","USD/1M Token","")))</x:f>
        <x:v>USD/秒</x:v>
      </x:c>
      <x:c r="W134" s="20" t="n">
        <x:v>46229.393565162034</x:v>
      </x:c>
      <x:c r="X134" s="20"/>
      <x:c r="Y134" s="2" t="str">
        <x:v>draft</x:v>
      </x:c>
      <x:c r="Z134" s="2" t="str">
        <x:v>SRC-CH-05</x:v>
      </x:c>
      <x:c r="AA134" s="7" t="str">
        <x:v>源行=sd!75；原模型=video-2.0-mini；时长=4-15；比例=不限；视频输入=否；真人脸=是；超分=否；素材库=否；NSFW=否；协议=待确认；素材限制=933；原表状态为空，已导入为draft；海外</x:v>
      </x:c>
      <x:c r="AB134" s="23" t="str">
        <x:f t="shared" si="11">IF(A134="","",IF(COUNTIF($A$5:$A$1004,A134)&gt;1,"错误:重复成本规则ID",IF(OR(B134="",C134="",E134="",F134="",K134="",O134&lt;=0,P134&lt;=0,Q134&lt;=0,R134&lt;=0,S134&lt;0,T134&lt;=0,Y134=""),"错误:必填项",IF(D134="","警告:SKU待映射","OK"))))</x:f>
        <x:v>OK</x:v>
      </x:c>
    </x:row>
    <x:row r="135" ht="39.599998474121094" hidden="1" customHeight="1">
      <x:c r="A135" s="2" t="str">
        <x:v>COST-SECURE-R75-480-SEC-NOV</x:v>
      </x:c>
      <x:c r="B135" s="2" t="str">
        <x:v>CH-SECURE</x:v>
      </x:c>
      <x:c r="C135" s="2" t="str">
        <x:v>video-2.0-mini</x:v>
      </x:c>
      <x:c r="D135" s="2" t="str">
        <x:v>SKU-SD20-MINI-480</x:v>
      </x:c>
      <x:c r="E135" s="2" t="str">
        <x:v>no_video</x:v>
      </x:c>
      <x:c r="F135" s="2" t="str">
        <x:v>per_duration</x:v>
      </x:c>
      <x:c r="G135" s="2"/>
      <x:c r="H135" s="2" t="str">
        <x:v>validated_request</x:v>
      </x:c>
      <x:c r="I135" s="2" t="str">
        <x:v>billable_duration_seconds</x:v>
      </x:c>
      <x:c r="J135" s="2" t="str">
        <x:v>task_succeeded</x:v>
      </x:c>
      <x:c r="K135" s="2" t="str">
        <x:v>CNY</x:v>
      </x:c>
      <x:c r="L135" s="27"/>
      <x:c r="M135" s="27" t="n">
        <x:v>0.48</x:v>
      </x:c>
      <x:c r="N135" s="27"/>
      <x:c r="O135" s="26" t="n">
        <x:f t="shared" si="8">IF(F135="per_request",L135,IF(F135="per_duration",M135,IF(F135="per_token",N135,0)))</x:f>
        <x:v>0.48</x:v>
      </x:c>
      <x:c r="P135" s="27" t="n">
        <x:v>1</x:v>
      </x:c>
      <x:c r="Q135" s="27" t="n">
        <x:v>1</x:v>
      </x:c>
      <x:c r="R135" s="27" t="n">
        <x:v>1</x:v>
      </x:c>
      <x:c r="S135" s="27" t="n">
        <x:v>0.03</x:v>
      </x:c>
      <x:c r="T135" s="26" t="n">
        <x:f>IF(K135="USD",1,'参数'!$B$6)</x:f>
        <x:v>0.136986301369863</x:v>
      </x:c>
      <x:c r="U135" s="26" t="n">
        <x:f t="shared" si="9">O135*P135*Q135/R135*(1+S135)*T135</x:f>
        <x:v>0.06772602739726027</x:v>
      </x:c>
      <x:c r="V135" s="23" t="str">
        <x:f t="shared" si="10">IF(F135="per_request","USD/次",IF(F135="per_duration","USD/秒",IF(F135="per_token","USD/1M Token","")))</x:f>
        <x:v>USD/秒</x:v>
      </x:c>
      <x:c r="W135" s="20" t="n">
        <x:v>46229.393565162034</x:v>
      </x:c>
      <x:c r="X135" s="20"/>
      <x:c r="Y135" s="2" t="str">
        <x:v>draft</x:v>
      </x:c>
      <x:c r="Z135" s="2" t="str">
        <x:v>SRC-CH-05</x:v>
      </x:c>
      <x:c r="AA135" s="7" t="str">
        <x:v>源行=sd!75；原模型=video-2.0-mini；时长=4-15；比例=不限；视频输入=否；真人脸=是；超分=否；素材库=否；NSFW=否；协议=待确认；素材限制=933；原表状态为空，已导入为draft；海外</x:v>
      </x:c>
      <x:c r="AB135" s="23" t="str">
        <x:f t="shared" si="11">IF(A135="","",IF(COUNTIF($A$5:$A$1004,A135)&gt;1,"错误:重复成本规则ID",IF(OR(B135="",C135="",E135="",F135="",K135="",O135&lt;=0,P135&lt;=0,Q135&lt;=0,R135&lt;=0,S135&lt;0,T135&lt;=0,Y135=""),"错误:必填项",IF(D135="","警告:SKU待映射","OK"))))</x:f>
        <x:v>OK</x:v>
      </x:c>
    </x:row>
    <x:row r="136" ht="39.599998474121094" hidden="1" customHeight="1">
      <x:c r="A136" s="2" t="str">
        <x:v>COST-CANGYUANSUANLI-R77-480-REQ-NOV</x:v>
      </x:c>
      <x:c r="B136" s="2" t="str">
        <x:v>CH-CANGYUANSUANLI</x:v>
      </x:c>
      <x:c r="C136" s="2" t="str">
        <x:v>sd5-seedance-2.0</x:v>
      </x:c>
      <x:c r="D136" s="2" t="str">
        <x:v>SKU-SD20-STD-480</x:v>
      </x:c>
      <x:c r="E136" s="2" t="str">
        <x:v>no_video</x:v>
      </x:c>
      <x:c r="F136" s="2" t="str">
        <x:v>per_request</x:v>
      </x:c>
      <x:c r="G136" s="2"/>
      <x:c r="H136" s="2" t="str">
        <x:v>validated_request</x:v>
      </x:c>
      <x:c r="I136" s="2" t="str">
        <x:v>request_count</x:v>
      </x:c>
      <x:c r="J136" s="2" t="str">
        <x:v>task_succeeded</x:v>
      </x:c>
      <x:c r="K136" s="2" t="str">
        <x:v>CNY</x:v>
      </x:c>
      <x:c r="L136" s="27" t="n">
        <x:v>3.85</x:v>
      </x:c>
      <x:c r="M136" s="27"/>
      <x:c r="N136" s="27"/>
      <x:c r="O136" s="26" t="n">
        <x:f t="shared" si="8">IF(F136="per_request",L136,IF(F136="per_duration",M136,IF(F136="per_token",N136,0)))</x:f>
        <x:v>3.85</x:v>
      </x:c>
      <x:c r="P136" s="27" t="n">
        <x:v>1</x:v>
      </x:c>
      <x:c r="Q136" s="27" t="n">
        <x:v>1</x:v>
      </x:c>
      <x:c r="R136" s="27" t="n">
        <x:v>1</x:v>
      </x:c>
      <x:c r="S136" s="27" t="n">
        <x:v>0</x:v>
      </x:c>
      <x:c r="T136" s="26" t="n">
        <x:f>IF(K136="USD",1,'参数'!$B$6)</x:f>
        <x:v>0.136986301369863</x:v>
      </x:c>
      <x:c r="U136" s="26" t="n">
        <x:f t="shared" si="9">O136*P136*Q136/R136*(1+S136)*T136</x:f>
        <x:v>0.5273972602739726</x:v>
      </x:c>
      <x:c r="V136" s="23" t="str">
        <x:f t="shared" si="10">IF(F136="per_request","USD/次",IF(F136="per_duration","USD/秒",IF(F136="per_token","USD/1M Token","")))</x:f>
        <x:v>USD/次</x:v>
      </x:c>
      <x:c r="W136" s="20" t="n">
        <x:v>46229.393565162034</x:v>
      </x:c>
      <x:c r="X136" s="20"/>
      <x:c r="Y136" s="2" t="str">
        <x:v>draft</x:v>
      </x:c>
      <x:c r="Z136" s="2" t="str">
        <x:v>SRC-CH-06</x:v>
      </x:c>
      <x:c r="AA136" s="7" t="str">
        <x:v>源行=sd!77；原模型=sd5-seedance-2.0；时长=4-15；比例=9:16, 16:9；视频输入=是；真人脸=否；超分=否；素材库=否；NSFW=否；协议=待确认；素材限制=933；原表状态为空，已导入为draft</x:v>
      </x:c>
      <x:c r="AB136" s="23" t="str">
        <x:f t="shared" si="11">IF(A136="","",IF(COUNTIF($A$5:$A$1004,A136)&gt;1,"错误:重复成本规则ID",IF(OR(B136="",C136="",E136="",F136="",K136="",O136&lt;=0,P136&lt;=0,Q136&lt;=0,R136&lt;=0,S136&lt;0,T136&lt;=0,Y136=""),"错误:必填项",IF(D136="","警告:SKU待映射","OK"))))</x:f>
        <x:v>OK</x:v>
      </x:c>
    </x:row>
    <x:row r="137" ht="39.599998474121094" hidden="1" customHeight="1">
      <x:c r="A137" s="2" t="str">
        <x:v>COST-CANGYUANSUANLI-R77-480-REQ-VID</x:v>
      </x:c>
      <x:c r="B137" s="2" t="str">
        <x:v>CH-CANGYUANSUANLI</x:v>
      </x:c>
      <x:c r="C137" s="2" t="str">
        <x:v>sd5-seedance-2.0</x:v>
      </x:c>
      <x:c r="D137" s="2" t="str">
        <x:v>SKU-SD20-STD-480</x:v>
      </x:c>
      <x:c r="E137" s="2" t="str">
        <x:v>with_video</x:v>
      </x:c>
      <x:c r="F137" s="2" t="str">
        <x:v>per_request</x:v>
      </x:c>
      <x:c r="G137" s="2"/>
      <x:c r="H137" s="2" t="str">
        <x:v>validated_request</x:v>
      </x:c>
      <x:c r="I137" s="2" t="str">
        <x:v>request_count</x:v>
      </x:c>
      <x:c r="J137" s="2" t="str">
        <x:v>task_succeeded</x:v>
      </x:c>
      <x:c r="K137" s="2" t="str">
        <x:v>CNY</x:v>
      </x:c>
      <x:c r="L137" s="27" t="n">
        <x:v>3.85</x:v>
      </x:c>
      <x:c r="M137" s="27"/>
      <x:c r="N137" s="27"/>
      <x:c r="O137" s="26" t="n">
        <x:f t="shared" si="8">IF(F137="per_request",L137,IF(F137="per_duration",M137,IF(F137="per_token",N137,0)))</x:f>
        <x:v>3.85</x:v>
      </x:c>
      <x:c r="P137" s="27" t="n">
        <x:v>1</x:v>
      </x:c>
      <x:c r="Q137" s="27" t="n">
        <x:v>1</x:v>
      </x:c>
      <x:c r="R137" s="27" t="n">
        <x:v>1</x:v>
      </x:c>
      <x:c r="S137" s="27" t="n">
        <x:v>0</x:v>
      </x:c>
      <x:c r="T137" s="26" t="n">
        <x:f>IF(K137="USD",1,'参数'!$B$6)</x:f>
        <x:v>0.136986301369863</x:v>
      </x:c>
      <x:c r="U137" s="26" t="n">
        <x:f t="shared" si="9">O137*P137*Q137/R137*(1+S137)*T137</x:f>
        <x:v>0.5273972602739726</x:v>
      </x:c>
      <x:c r="V137" s="23" t="str">
        <x:f t="shared" si="10">IF(F137="per_request","USD/次",IF(F137="per_duration","USD/秒",IF(F137="per_token","USD/1M Token","")))</x:f>
        <x:v>USD/次</x:v>
      </x:c>
      <x:c r="W137" s="20" t="n">
        <x:v>46229.393565162034</x:v>
      </x:c>
      <x:c r="X137" s="20"/>
      <x:c r="Y137" s="2" t="str">
        <x:v>draft</x:v>
      </x:c>
      <x:c r="Z137" s="2" t="str">
        <x:v>SRC-CH-06</x:v>
      </x:c>
      <x:c r="AA137" s="7" t="str">
        <x:v>源行=sd!77；原模型=sd5-seedance-2.0；时长=4-15；比例=9:16, 16:9；视频输入=是；真人脸=否；超分=否；素材库=否；NSFW=否；协议=待确认；素材限制=933；原表状态为空，已导入为draft</x:v>
      </x:c>
      <x:c r="AB137" s="23" t="str">
        <x:f t="shared" si="11">IF(A137="","",IF(COUNTIF($A$5:$A$1004,A137)&gt;1,"错误:重复成本规则ID",IF(OR(B137="",C137="",E137="",F137="",K137="",O137&lt;=0,P137&lt;=0,Q137&lt;=0,R137&lt;=0,S137&lt;0,T137&lt;=0,Y137=""),"错误:必填项",IF(D137="","警告:SKU待映射","OK"))))</x:f>
        <x:v>OK</x:v>
      </x:c>
    </x:row>
    <x:row r="138" ht="39.599998474121094" hidden="1" customHeight="1">
      <x:c r="A138" s="2" t="str">
        <x:v>COST-CANGYUANSUANLI-R77-720-REQ-NOV</x:v>
      </x:c>
      <x:c r="B138" s="2" t="str">
        <x:v>CH-CANGYUANSUANLI</x:v>
      </x:c>
      <x:c r="C138" s="2" t="str">
        <x:v>sd5-seedance-2.0</x:v>
      </x:c>
      <x:c r="D138" s="2" t="str">
        <x:v>SKU-SD20-STD-720</x:v>
      </x:c>
      <x:c r="E138" s="2" t="str">
        <x:v>no_video</x:v>
      </x:c>
      <x:c r="F138" s="2" t="str">
        <x:v>per_request</x:v>
      </x:c>
      <x:c r="G138" s="2"/>
      <x:c r="H138" s="2" t="str">
        <x:v>validated_request</x:v>
      </x:c>
      <x:c r="I138" s="2" t="str">
        <x:v>request_count</x:v>
      </x:c>
      <x:c r="J138" s="2" t="str">
        <x:v>task_succeeded</x:v>
      </x:c>
      <x:c r="K138" s="2" t="str">
        <x:v>CNY</x:v>
      </x:c>
      <x:c r="L138" s="27" t="n">
        <x:v>3.85</x:v>
      </x:c>
      <x:c r="M138" s="27"/>
      <x:c r="N138" s="27"/>
      <x:c r="O138" s="26" t="n">
        <x:f t="shared" si="8">IF(F138="per_request",L138,IF(F138="per_duration",M138,IF(F138="per_token",N138,0)))</x:f>
        <x:v>3.85</x:v>
      </x:c>
      <x:c r="P138" s="27" t="n">
        <x:v>1</x:v>
      </x:c>
      <x:c r="Q138" s="27" t="n">
        <x:v>1</x:v>
      </x:c>
      <x:c r="R138" s="27" t="n">
        <x:v>1</x:v>
      </x:c>
      <x:c r="S138" s="27" t="n">
        <x:v>0</x:v>
      </x:c>
      <x:c r="T138" s="26" t="n">
        <x:f>IF(K138="USD",1,'参数'!$B$6)</x:f>
        <x:v>0.136986301369863</x:v>
      </x:c>
      <x:c r="U138" s="26" t="n">
        <x:f t="shared" si="9">O138*P138*Q138/R138*(1+S138)*T138</x:f>
        <x:v>0.5273972602739726</x:v>
      </x:c>
      <x:c r="V138" s="23" t="str">
        <x:f t="shared" si="10">IF(F138="per_request","USD/次",IF(F138="per_duration","USD/秒",IF(F138="per_token","USD/1M Token","")))</x:f>
        <x:v>USD/次</x:v>
      </x:c>
      <x:c r="W138" s="20" t="n">
        <x:v>46229.393565162034</x:v>
      </x:c>
      <x:c r="X138" s="20"/>
      <x:c r="Y138" s="2" t="str">
        <x:v>draft</x:v>
      </x:c>
      <x:c r="Z138" s="2" t="str">
        <x:v>SRC-CH-06</x:v>
      </x:c>
      <x:c r="AA138" s="7" t="str">
        <x:v>源行=sd!77；原模型=sd5-seedance-2.0；时长=4-15；比例=9:16, 16:9；视频输入=是；真人脸=否；超分=否；素材库=否；NSFW=否；协议=待确认；素材限制=933；原表状态为空，已导入为draft</x:v>
      </x:c>
      <x:c r="AB138" s="23" t="str">
        <x:f t="shared" si="11">IF(A138="","",IF(COUNTIF($A$5:$A$1004,A138)&gt;1,"错误:重复成本规则ID",IF(OR(B138="",C138="",E138="",F138="",K138="",O138&lt;=0,P138&lt;=0,Q138&lt;=0,R138&lt;=0,S138&lt;0,T138&lt;=0,Y138=""),"错误:必填项",IF(D138="","警告:SKU待映射","OK"))))</x:f>
        <x:v>OK</x:v>
      </x:c>
    </x:row>
    <x:row r="139" ht="39.599998474121094" hidden="1" customHeight="1">
      <x:c r="A139" s="2" t="str">
        <x:v>COST-CANGYUANSUANLI-R77-720-REQ-VID</x:v>
      </x:c>
      <x:c r="B139" s="2" t="str">
        <x:v>CH-CANGYUANSUANLI</x:v>
      </x:c>
      <x:c r="C139" s="2" t="str">
        <x:v>sd5-seedance-2.0</x:v>
      </x:c>
      <x:c r="D139" s="2" t="str">
        <x:v>SKU-SD20-STD-720</x:v>
      </x:c>
      <x:c r="E139" s="2" t="str">
        <x:v>with_video</x:v>
      </x:c>
      <x:c r="F139" s="2" t="str">
        <x:v>per_request</x:v>
      </x:c>
      <x:c r="G139" s="2"/>
      <x:c r="H139" s="2" t="str">
        <x:v>validated_request</x:v>
      </x:c>
      <x:c r="I139" s="2" t="str">
        <x:v>request_count</x:v>
      </x:c>
      <x:c r="J139" s="2" t="str">
        <x:v>task_succeeded</x:v>
      </x:c>
      <x:c r="K139" s="2" t="str">
        <x:v>CNY</x:v>
      </x:c>
      <x:c r="L139" s="27" t="n">
        <x:v>3.85</x:v>
      </x:c>
      <x:c r="M139" s="27"/>
      <x:c r="N139" s="27"/>
      <x:c r="O139" s="26" t="n">
        <x:f t="shared" si="8">IF(F139="per_request",L139,IF(F139="per_duration",M139,IF(F139="per_token",N139,0)))</x:f>
        <x:v>3.85</x:v>
      </x:c>
      <x:c r="P139" s="27" t="n">
        <x:v>1</x:v>
      </x:c>
      <x:c r="Q139" s="27" t="n">
        <x:v>1</x:v>
      </x:c>
      <x:c r="R139" s="27" t="n">
        <x:v>1</x:v>
      </x:c>
      <x:c r="S139" s="27" t="n">
        <x:v>0</x:v>
      </x:c>
      <x:c r="T139" s="26" t="n">
        <x:f>IF(K139="USD",1,'参数'!$B$6)</x:f>
        <x:v>0.136986301369863</x:v>
      </x:c>
      <x:c r="U139" s="26" t="n">
        <x:f t="shared" si="9">O139*P139*Q139/R139*(1+S139)*T139</x:f>
        <x:v>0.5273972602739726</x:v>
      </x:c>
      <x:c r="V139" s="23" t="str">
        <x:f t="shared" si="10">IF(F139="per_request","USD/次",IF(F139="per_duration","USD/秒",IF(F139="per_token","USD/1M Token","")))</x:f>
        <x:v>USD/次</x:v>
      </x:c>
      <x:c r="W139" s="20" t="n">
        <x:v>46229.393565162034</x:v>
      </x:c>
      <x:c r="X139" s="20"/>
      <x:c r="Y139" s="2" t="str">
        <x:v>draft</x:v>
      </x:c>
      <x:c r="Z139" s="2" t="str">
        <x:v>SRC-CH-06</x:v>
      </x:c>
      <x:c r="AA139" s="7" t="str">
        <x:v>源行=sd!77；原模型=sd5-seedance-2.0；时长=4-15；比例=9:16, 16:9；视频输入=是；真人脸=否；超分=否；素材库=否；NSFW=否；协议=待确认；素材限制=933；原表状态为空，已导入为draft</x:v>
      </x:c>
      <x:c r="AB139" s="23" t="str">
        <x:f t="shared" si="11">IF(A139="","",IF(COUNTIF($A$5:$A$1004,A139)&gt;1,"错误:重复成本规则ID",IF(OR(B139="",C139="",E139="",F139="",K139="",O139&lt;=0,P139&lt;=0,Q139&lt;=0,R139&lt;=0,S139&lt;0,T139&lt;=0,Y139=""),"错误:必填项",IF(D139="","警告:SKU待映射","OK"))))</x:f>
        <x:v>OK</x:v>
      </x:c>
    </x:row>
    <x:row r="140" ht="39.599998474121094" hidden="1" customHeight="1">
      <x:c r="A140" s="2" t="str">
        <x:v>COST-CANGYUANSUANLI-R78-480-REQ-NOV</x:v>
      </x:c>
      <x:c r="B140" s="2" t="str">
        <x:v>CH-CANGYUANSUANLI</x:v>
      </x:c>
      <x:c r="C140" s="2" t="str">
        <x:v>sd5-seedance-2.0-fast</x:v>
      </x:c>
      <x:c r="D140" s="2" t="str">
        <x:v>SKU-SD20-FAST-480</x:v>
      </x:c>
      <x:c r="E140" s="2" t="str">
        <x:v>no_video</x:v>
      </x:c>
      <x:c r="F140" s="2" t="str">
        <x:v>per_request</x:v>
      </x:c>
      <x:c r="G140" s="2"/>
      <x:c r="H140" s="2" t="str">
        <x:v>validated_request</x:v>
      </x:c>
      <x:c r="I140" s="2" t="str">
        <x:v>request_count</x:v>
      </x:c>
      <x:c r="J140" s="2" t="str">
        <x:v>task_succeeded</x:v>
      </x:c>
      <x:c r="K140" s="2" t="str">
        <x:v>CNY</x:v>
      </x:c>
      <x:c r="L140" s="27" t="n">
        <x:v>2.6</x:v>
      </x:c>
      <x:c r="M140" s="27"/>
      <x:c r="N140" s="27"/>
      <x:c r="O140" s="26" t="n">
        <x:f t="shared" si="8">IF(F140="per_request",L140,IF(F140="per_duration",M140,IF(F140="per_token",N140,0)))</x:f>
        <x:v>2.6</x:v>
      </x:c>
      <x:c r="P140" s="27" t="n">
        <x:v>1</x:v>
      </x:c>
      <x:c r="Q140" s="27" t="n">
        <x:v>1</x:v>
      </x:c>
      <x:c r="R140" s="27" t="n">
        <x:v>1</x:v>
      </x:c>
      <x:c r="S140" s="27" t="n">
        <x:v>0</x:v>
      </x:c>
      <x:c r="T140" s="26" t="n">
        <x:f>IF(K140="USD",1,'参数'!$B$6)</x:f>
        <x:v>0.136986301369863</x:v>
      </x:c>
      <x:c r="U140" s="26" t="n">
        <x:f t="shared" si="9">O140*P140*Q140/R140*(1+S140)*T140</x:f>
        <x:v>0.3561643835616438</x:v>
      </x:c>
      <x:c r="V140" s="23" t="str">
        <x:f t="shared" si="10">IF(F140="per_request","USD/次",IF(F140="per_duration","USD/秒",IF(F140="per_token","USD/1M Token","")))</x:f>
        <x:v>USD/次</x:v>
      </x:c>
      <x:c r="W140" s="20" t="n">
        <x:v>46229.393565162034</x:v>
      </x:c>
      <x:c r="X140" s="20"/>
      <x:c r="Y140" s="2" t="str">
        <x:v>draft</x:v>
      </x:c>
      <x:c r="Z140" s="2" t="str">
        <x:v>SRC-CH-06</x:v>
      </x:c>
      <x:c r="AA140" s="7" t="str">
        <x:v>源行=sd!78；原模型=sd5-seedance-2.0-fast；时长=4-15；比例=9:16, 16:9；视频输入=是；真人脸=否；超分=否；素材库=否；NSFW=否；协议=待确认；素材限制=933；原表状态为空，已导入为draft</x:v>
      </x:c>
      <x:c r="AB140" s="23" t="str">
        <x:f t="shared" si="11">IF(A140="","",IF(COUNTIF($A$5:$A$1004,A140)&gt;1,"错误:重复成本规则ID",IF(OR(B140="",C140="",E140="",F140="",K140="",O140&lt;=0,P140&lt;=0,Q140&lt;=0,R140&lt;=0,S140&lt;0,T140&lt;=0,Y140=""),"错误:必填项",IF(D140="","警告:SKU待映射","OK"))))</x:f>
        <x:v>OK</x:v>
      </x:c>
    </x:row>
    <x:row r="141" ht="39.599998474121094" hidden="1" customHeight="1">
      <x:c r="A141" s="2" t="str">
        <x:v>COST-CANGYUANSUANLI-R78-480-REQ-VID</x:v>
      </x:c>
      <x:c r="B141" s="2" t="str">
        <x:v>CH-CANGYUANSUANLI</x:v>
      </x:c>
      <x:c r="C141" s="2" t="str">
        <x:v>sd5-seedance-2.0-fast</x:v>
      </x:c>
      <x:c r="D141" s="2" t="str">
        <x:v>SKU-SD20-FAST-480</x:v>
      </x:c>
      <x:c r="E141" s="2" t="str">
        <x:v>with_video</x:v>
      </x:c>
      <x:c r="F141" s="2" t="str">
        <x:v>per_request</x:v>
      </x:c>
      <x:c r="G141" s="2"/>
      <x:c r="H141" s="2" t="str">
        <x:v>validated_request</x:v>
      </x:c>
      <x:c r="I141" s="2" t="str">
        <x:v>request_count</x:v>
      </x:c>
      <x:c r="J141" s="2" t="str">
        <x:v>task_succeeded</x:v>
      </x:c>
      <x:c r="K141" s="2" t="str">
        <x:v>CNY</x:v>
      </x:c>
      <x:c r="L141" s="27" t="n">
        <x:v>2.6</x:v>
      </x:c>
      <x:c r="M141" s="27"/>
      <x:c r="N141" s="27"/>
      <x:c r="O141" s="26" t="n">
        <x:f t="shared" si="8">IF(F141="per_request",L141,IF(F141="per_duration",M141,IF(F141="per_token",N141,0)))</x:f>
        <x:v>2.6</x:v>
      </x:c>
      <x:c r="P141" s="27" t="n">
        <x:v>1</x:v>
      </x:c>
      <x:c r="Q141" s="27" t="n">
        <x:v>1</x:v>
      </x:c>
      <x:c r="R141" s="27" t="n">
        <x:v>1</x:v>
      </x:c>
      <x:c r="S141" s="27" t="n">
        <x:v>0</x:v>
      </x:c>
      <x:c r="T141" s="26" t="n">
        <x:f>IF(K141="USD",1,'参数'!$B$6)</x:f>
        <x:v>0.136986301369863</x:v>
      </x:c>
      <x:c r="U141" s="26" t="n">
        <x:f t="shared" si="9">O141*P141*Q141/R141*(1+S141)*T141</x:f>
        <x:v>0.3561643835616438</x:v>
      </x:c>
      <x:c r="V141" s="23" t="str">
        <x:f t="shared" si="10">IF(F141="per_request","USD/次",IF(F141="per_duration","USD/秒",IF(F141="per_token","USD/1M Token","")))</x:f>
        <x:v>USD/次</x:v>
      </x:c>
      <x:c r="W141" s="20" t="n">
        <x:v>46229.393565162034</x:v>
      </x:c>
      <x:c r="X141" s="20"/>
      <x:c r="Y141" s="2" t="str">
        <x:v>draft</x:v>
      </x:c>
      <x:c r="Z141" s="2" t="str">
        <x:v>SRC-CH-06</x:v>
      </x:c>
      <x:c r="AA141" s="7" t="str">
        <x:v>源行=sd!78；原模型=sd5-seedance-2.0-fast；时长=4-15；比例=9:16, 16:9；视频输入=是；真人脸=否；超分=否；素材库=否；NSFW=否；协议=待确认；素材限制=933；原表状态为空，已导入为draft</x:v>
      </x:c>
      <x:c r="AB141" s="23" t="str">
        <x:f t="shared" si="11">IF(A141="","",IF(COUNTIF($A$5:$A$1004,A141)&gt;1,"错误:重复成本规则ID",IF(OR(B141="",C141="",E141="",F141="",K141="",O141&lt;=0,P141&lt;=0,Q141&lt;=0,R141&lt;=0,S141&lt;0,T141&lt;=0,Y141=""),"错误:必填项",IF(D141="","警告:SKU待映射","OK"))))</x:f>
        <x:v>OK</x:v>
      </x:c>
    </x:row>
    <x:row r="142" ht="39.599998474121094" hidden="1" customHeight="1">
      <x:c r="A142" s="2" t="str">
        <x:v>COST-CANGYUANSUANLI-R78-720-REQ-NOV</x:v>
      </x:c>
      <x:c r="B142" s="2" t="str">
        <x:v>CH-CANGYUANSUANLI</x:v>
      </x:c>
      <x:c r="C142" s="2" t="str">
        <x:v>sd5-seedance-2.0-fast</x:v>
      </x:c>
      <x:c r="D142" s="2" t="str">
        <x:v>SKU-SD20-FAST-720</x:v>
      </x:c>
      <x:c r="E142" s="2" t="str">
        <x:v>no_video</x:v>
      </x:c>
      <x:c r="F142" s="2" t="str">
        <x:v>per_request</x:v>
      </x:c>
      <x:c r="G142" s="2"/>
      <x:c r="H142" s="2" t="str">
        <x:v>validated_request</x:v>
      </x:c>
      <x:c r="I142" s="2" t="str">
        <x:v>request_count</x:v>
      </x:c>
      <x:c r="J142" s="2" t="str">
        <x:v>task_succeeded</x:v>
      </x:c>
      <x:c r="K142" s="2" t="str">
        <x:v>CNY</x:v>
      </x:c>
      <x:c r="L142" s="27" t="n">
        <x:v>2.6</x:v>
      </x:c>
      <x:c r="M142" s="27"/>
      <x:c r="N142" s="27"/>
      <x:c r="O142" s="26" t="n">
        <x:f t="shared" si="8">IF(F142="per_request",L142,IF(F142="per_duration",M142,IF(F142="per_token",N142,0)))</x:f>
        <x:v>2.6</x:v>
      </x:c>
      <x:c r="P142" s="27" t="n">
        <x:v>1</x:v>
      </x:c>
      <x:c r="Q142" s="27" t="n">
        <x:v>1</x:v>
      </x:c>
      <x:c r="R142" s="27" t="n">
        <x:v>1</x:v>
      </x:c>
      <x:c r="S142" s="27" t="n">
        <x:v>0</x:v>
      </x:c>
      <x:c r="T142" s="26" t="n">
        <x:f>IF(K142="USD",1,'参数'!$B$6)</x:f>
        <x:v>0.136986301369863</x:v>
      </x:c>
      <x:c r="U142" s="26" t="n">
        <x:f t="shared" si="9">O142*P142*Q142/R142*(1+S142)*T142</x:f>
        <x:v>0.3561643835616438</x:v>
      </x:c>
      <x:c r="V142" s="23" t="str">
        <x:f t="shared" si="10">IF(F142="per_request","USD/次",IF(F142="per_duration","USD/秒",IF(F142="per_token","USD/1M Token","")))</x:f>
        <x:v>USD/次</x:v>
      </x:c>
      <x:c r="W142" s="20" t="n">
        <x:v>46229.393565162034</x:v>
      </x:c>
      <x:c r="X142" s="20"/>
      <x:c r="Y142" s="2" t="str">
        <x:v>draft</x:v>
      </x:c>
      <x:c r="Z142" s="2" t="str">
        <x:v>SRC-CH-06</x:v>
      </x:c>
      <x:c r="AA142" s="7" t="str">
        <x:v>源行=sd!78；原模型=sd5-seedance-2.0-fast；时长=4-15；比例=9:16, 16:9；视频输入=是；真人脸=否；超分=否；素材库=否；NSFW=否；协议=待确认；素材限制=933；原表状态为空，已导入为draft</x:v>
      </x:c>
      <x:c r="AB142" s="23" t="str">
        <x:f t="shared" si="11">IF(A142="","",IF(COUNTIF($A$5:$A$1004,A142)&gt;1,"错误:重复成本规则ID",IF(OR(B142="",C142="",E142="",F142="",K142="",O142&lt;=0,P142&lt;=0,Q142&lt;=0,R142&lt;=0,S142&lt;0,T142&lt;=0,Y142=""),"错误:必填项",IF(D142="","警告:SKU待映射","OK"))))</x:f>
        <x:v>OK</x:v>
      </x:c>
    </x:row>
    <x:row r="143" ht="39.599998474121094" hidden="1" customHeight="1">
      <x:c r="A143" s="2" t="str">
        <x:v>COST-CANGYUANSUANLI-R78-720-REQ-VID</x:v>
      </x:c>
      <x:c r="B143" s="2" t="str">
        <x:v>CH-CANGYUANSUANLI</x:v>
      </x:c>
      <x:c r="C143" s="2" t="str">
        <x:v>sd5-seedance-2.0-fast</x:v>
      </x:c>
      <x:c r="D143" s="2" t="str">
        <x:v>SKU-SD20-FAST-720</x:v>
      </x:c>
      <x:c r="E143" s="2" t="str">
        <x:v>with_video</x:v>
      </x:c>
      <x:c r="F143" s="2" t="str">
        <x:v>per_request</x:v>
      </x:c>
      <x:c r="G143" s="2"/>
      <x:c r="H143" s="2" t="str">
        <x:v>validated_request</x:v>
      </x:c>
      <x:c r="I143" s="2" t="str">
        <x:v>request_count</x:v>
      </x:c>
      <x:c r="J143" s="2" t="str">
        <x:v>task_succeeded</x:v>
      </x:c>
      <x:c r="K143" s="2" t="str">
        <x:v>CNY</x:v>
      </x:c>
      <x:c r="L143" s="27" t="n">
        <x:v>2.6</x:v>
      </x:c>
      <x:c r="M143" s="27"/>
      <x:c r="N143" s="27"/>
      <x:c r="O143" s="26" t="n">
        <x:f t="shared" si="8">IF(F143="per_request",L143,IF(F143="per_duration",M143,IF(F143="per_token",N143,0)))</x:f>
        <x:v>2.6</x:v>
      </x:c>
      <x:c r="P143" s="27" t="n">
        <x:v>1</x:v>
      </x:c>
      <x:c r="Q143" s="27" t="n">
        <x:v>1</x:v>
      </x:c>
      <x:c r="R143" s="27" t="n">
        <x:v>1</x:v>
      </x:c>
      <x:c r="S143" s="27" t="n">
        <x:v>0</x:v>
      </x:c>
      <x:c r="T143" s="26" t="n">
        <x:f>IF(K143="USD",1,'参数'!$B$6)</x:f>
        <x:v>0.136986301369863</x:v>
      </x:c>
      <x:c r="U143" s="26" t="n">
        <x:f t="shared" si="9">O143*P143*Q143/R143*(1+S143)*T143</x:f>
        <x:v>0.3561643835616438</x:v>
      </x:c>
      <x:c r="V143" s="23" t="str">
        <x:f t="shared" si="10">IF(F143="per_request","USD/次",IF(F143="per_duration","USD/秒",IF(F143="per_token","USD/1M Token","")))</x:f>
        <x:v>USD/次</x:v>
      </x:c>
      <x:c r="W143" s="20" t="n">
        <x:v>46229.393565162034</x:v>
      </x:c>
      <x:c r="X143" s="20"/>
      <x:c r="Y143" s="2" t="str">
        <x:v>draft</x:v>
      </x:c>
      <x:c r="Z143" s="2" t="str">
        <x:v>SRC-CH-06</x:v>
      </x:c>
      <x:c r="AA143" s="7" t="str">
        <x:v>源行=sd!78；原模型=sd5-seedance-2.0-fast；时长=4-15；比例=9:16, 16:9；视频输入=是；真人脸=否；超分=否；素材库=否；NSFW=否；协议=待确认；素材限制=933；原表状态为空，已导入为draft</x:v>
      </x:c>
      <x:c r="AB143" s="23" t="str">
        <x:f t="shared" si="11">IF(A143="","",IF(COUNTIF($A$5:$A$1004,A143)&gt;1,"错误:重复成本规则ID",IF(OR(B143="",C143="",E143="",F143="",K143="",O143&lt;=0,P143&lt;=0,Q143&lt;=0,R143&lt;=0,S143&lt;0,T143&lt;=0,Y143=""),"错误:必填项",IF(D143="","警告:SKU待映射","OK"))))</x:f>
        <x:v>OK</x:v>
      </x:c>
    </x:row>
    <x:row r="144" ht="39.599998474121094" hidden="1" customHeight="1">
      <x:c r="A144" s="2" t="str">
        <x:v>COST-CANGYUANSUANLI-R79-480-REQ-NOV</x:v>
      </x:c>
      <x:c r="B144" s="2" t="str">
        <x:v>CH-CANGYUANSUANLI</x:v>
      </x:c>
      <x:c r="C144" s="2" t="str">
        <x:v>seedance-2.0</x:v>
      </x:c>
      <x:c r="D144" s="2" t="str">
        <x:v>SKU-SD20-STD-480</x:v>
      </x:c>
      <x:c r="E144" s="2" t="str">
        <x:v>no_video</x:v>
      </x:c>
      <x:c r="F144" s="2" t="str">
        <x:v>per_request</x:v>
      </x:c>
      <x:c r="G144" s="2"/>
      <x:c r="H144" s="2" t="str">
        <x:v>validated_request</x:v>
      </x:c>
      <x:c r="I144" s="2" t="str">
        <x:v>request_count</x:v>
      </x:c>
      <x:c r="J144" s="2" t="str">
        <x:v>task_succeeded</x:v>
      </x:c>
      <x:c r="K144" s="2" t="str">
        <x:v>CNY</x:v>
      </x:c>
      <x:c r="L144" s="27" t="n">
        <x:v>4.85</x:v>
      </x:c>
      <x:c r="M144" s="27"/>
      <x:c r="N144" s="27"/>
      <x:c r="O144" s="26" t="n">
        <x:f t="shared" si="8">IF(F144="per_request",L144,IF(F144="per_duration",M144,IF(F144="per_token",N144,0)))</x:f>
        <x:v>4.85</x:v>
      </x:c>
      <x:c r="P144" s="27" t="n">
        <x:v>1</x:v>
      </x:c>
      <x:c r="Q144" s="27" t="n">
        <x:v>1</x:v>
      </x:c>
      <x:c r="R144" s="27" t="n">
        <x:v>1</x:v>
      </x:c>
      <x:c r="S144" s="27" t="n">
        <x:v>0</x:v>
      </x:c>
      <x:c r="T144" s="26" t="n">
        <x:f>IF(K144="USD",1,'参数'!$B$6)</x:f>
        <x:v>0.136986301369863</x:v>
      </x:c>
      <x:c r="U144" s="26" t="n">
        <x:f t="shared" si="9">O144*P144*Q144/R144*(1+S144)*T144</x:f>
        <x:v>0.6643835616438355</x:v>
      </x:c>
      <x:c r="V144" s="23" t="str">
        <x:f t="shared" si="10">IF(F144="per_request","USD/次",IF(F144="per_duration","USD/秒",IF(F144="per_token","USD/1M Token","")))</x:f>
        <x:v>USD/次</x:v>
      </x:c>
      <x:c r="W144" s="20" t="n">
        <x:v>46229.393565162034</x:v>
      </x:c>
      <x:c r="X144" s="20"/>
      <x:c r="Y144" s="2" t="str">
        <x:v>draft</x:v>
      </x:c>
      <x:c r="Z144" s="2" t="str">
        <x:v>SRC-CH-06</x:v>
      </x:c>
      <x:c r="AA144" s="7" t="str">
        <x:v>源行=sd!79；原模型=seedance-2.0；时长=4-15；比例=不限；视频输入=是；真人脸=否；超分=否；素材库=否；NSFW=否；协议=待确认；素材限制=933；原表状态为空，已导入为draft</x:v>
      </x:c>
      <x:c r="AB144" s="23" t="str">
        <x:f t="shared" si="11">IF(A144="","",IF(COUNTIF($A$5:$A$1004,A144)&gt;1,"错误:重复成本规则ID",IF(OR(B144="",C144="",E144="",F144="",K144="",O144&lt;=0,P144&lt;=0,Q144&lt;=0,R144&lt;=0,S144&lt;0,T144&lt;=0,Y144=""),"错误:必填项",IF(D144="","警告:SKU待映射","OK"))))</x:f>
        <x:v>OK</x:v>
      </x:c>
    </x:row>
    <x:row r="145" ht="39.599998474121094" hidden="1" customHeight="1">
      <x:c r="A145" s="2" t="str">
        <x:v>COST-CANGYUANSUANLI-R79-480-REQ-VID</x:v>
      </x:c>
      <x:c r="B145" s="2" t="str">
        <x:v>CH-CANGYUANSUANLI</x:v>
      </x:c>
      <x:c r="C145" s="2" t="str">
        <x:v>seedance-2.0</x:v>
      </x:c>
      <x:c r="D145" s="2" t="str">
        <x:v>SKU-SD20-STD-480</x:v>
      </x:c>
      <x:c r="E145" s="2" t="str">
        <x:v>with_video</x:v>
      </x:c>
      <x:c r="F145" s="2" t="str">
        <x:v>per_request</x:v>
      </x:c>
      <x:c r="G145" s="2"/>
      <x:c r="H145" s="2" t="str">
        <x:v>validated_request</x:v>
      </x:c>
      <x:c r="I145" s="2" t="str">
        <x:v>request_count</x:v>
      </x:c>
      <x:c r="J145" s="2" t="str">
        <x:v>task_succeeded</x:v>
      </x:c>
      <x:c r="K145" s="2" t="str">
        <x:v>CNY</x:v>
      </x:c>
      <x:c r="L145" s="27" t="n">
        <x:v>4.85</x:v>
      </x:c>
      <x:c r="M145" s="27"/>
      <x:c r="N145" s="27"/>
      <x:c r="O145" s="26" t="n">
        <x:f t="shared" si="8">IF(F145="per_request",L145,IF(F145="per_duration",M145,IF(F145="per_token",N145,0)))</x:f>
        <x:v>4.85</x:v>
      </x:c>
      <x:c r="P145" s="27" t="n">
        <x:v>1</x:v>
      </x:c>
      <x:c r="Q145" s="27" t="n">
        <x:v>1</x:v>
      </x:c>
      <x:c r="R145" s="27" t="n">
        <x:v>1</x:v>
      </x:c>
      <x:c r="S145" s="27" t="n">
        <x:v>0</x:v>
      </x:c>
      <x:c r="T145" s="26" t="n">
        <x:f>IF(K145="USD",1,'参数'!$B$6)</x:f>
        <x:v>0.136986301369863</x:v>
      </x:c>
      <x:c r="U145" s="26" t="n">
        <x:f t="shared" si="9">O145*P145*Q145/R145*(1+S145)*T145</x:f>
        <x:v>0.6643835616438355</x:v>
      </x:c>
      <x:c r="V145" s="23" t="str">
        <x:f t="shared" si="10">IF(F145="per_request","USD/次",IF(F145="per_duration","USD/秒",IF(F145="per_token","USD/1M Token","")))</x:f>
        <x:v>USD/次</x:v>
      </x:c>
      <x:c r="W145" s="20" t="n">
        <x:v>46229.393565162034</x:v>
      </x:c>
      <x:c r="X145" s="20"/>
      <x:c r="Y145" s="2" t="str">
        <x:v>draft</x:v>
      </x:c>
      <x:c r="Z145" s="2" t="str">
        <x:v>SRC-CH-06</x:v>
      </x:c>
      <x:c r="AA145" s="7" t="str">
        <x:v>源行=sd!79；原模型=seedance-2.0；时长=4-15；比例=不限；视频输入=是；真人脸=否；超分=否；素材库=否；NSFW=否；协议=待确认；素材限制=933；原表状态为空，已导入为draft</x:v>
      </x:c>
      <x:c r="AB145" s="23" t="str">
        <x:f t="shared" si="11">IF(A145="","",IF(COUNTIF($A$5:$A$1004,A145)&gt;1,"错误:重复成本规则ID",IF(OR(B145="",C145="",E145="",F145="",K145="",O145&lt;=0,P145&lt;=0,Q145&lt;=0,R145&lt;=0,S145&lt;0,T145&lt;=0,Y145=""),"错误:必填项",IF(D145="","警告:SKU待映射","OK"))))</x:f>
        <x:v>OK</x:v>
      </x:c>
    </x:row>
    <x:row r="146" ht="39.599998474121094" hidden="1" customHeight="1">
      <x:c r="A146" s="2" t="str">
        <x:v>COST-CANGYUANSUANLI-R79-720-REQ-NOV</x:v>
      </x:c>
      <x:c r="B146" s="2" t="str">
        <x:v>CH-CANGYUANSUANLI</x:v>
      </x:c>
      <x:c r="C146" s="2" t="str">
        <x:v>seedance-2.0</x:v>
      </x:c>
      <x:c r="D146" s="2" t="str">
        <x:v>SKU-SD20-STD-720</x:v>
      </x:c>
      <x:c r="E146" s="2" t="str">
        <x:v>no_video</x:v>
      </x:c>
      <x:c r="F146" s="2" t="str">
        <x:v>per_request</x:v>
      </x:c>
      <x:c r="G146" s="2"/>
      <x:c r="H146" s="2" t="str">
        <x:v>validated_request</x:v>
      </x:c>
      <x:c r="I146" s="2" t="str">
        <x:v>request_count</x:v>
      </x:c>
      <x:c r="J146" s="2" t="str">
        <x:v>task_succeeded</x:v>
      </x:c>
      <x:c r="K146" s="2" t="str">
        <x:v>CNY</x:v>
      </x:c>
      <x:c r="L146" s="27" t="n">
        <x:v>4.85</x:v>
      </x:c>
      <x:c r="M146" s="27"/>
      <x:c r="N146" s="27"/>
      <x:c r="O146" s="26" t="n">
        <x:f t="shared" si="8">IF(F146="per_request",L146,IF(F146="per_duration",M146,IF(F146="per_token",N146,0)))</x:f>
        <x:v>4.85</x:v>
      </x:c>
      <x:c r="P146" s="27" t="n">
        <x:v>1</x:v>
      </x:c>
      <x:c r="Q146" s="27" t="n">
        <x:v>1</x:v>
      </x:c>
      <x:c r="R146" s="27" t="n">
        <x:v>1</x:v>
      </x:c>
      <x:c r="S146" s="27" t="n">
        <x:v>0</x:v>
      </x:c>
      <x:c r="T146" s="26" t="n">
        <x:f>IF(K146="USD",1,'参数'!$B$6)</x:f>
        <x:v>0.136986301369863</x:v>
      </x:c>
      <x:c r="U146" s="26" t="n">
        <x:f t="shared" si="9">O146*P146*Q146/R146*(1+S146)*T146</x:f>
        <x:v>0.6643835616438355</x:v>
      </x:c>
      <x:c r="V146" s="23" t="str">
        <x:f t="shared" si="10">IF(F146="per_request","USD/次",IF(F146="per_duration","USD/秒",IF(F146="per_token","USD/1M Token","")))</x:f>
        <x:v>USD/次</x:v>
      </x:c>
      <x:c r="W146" s="20" t="n">
        <x:v>46229.393565162034</x:v>
      </x:c>
      <x:c r="X146" s="20"/>
      <x:c r="Y146" s="2" t="str">
        <x:v>draft</x:v>
      </x:c>
      <x:c r="Z146" s="2" t="str">
        <x:v>SRC-CH-06</x:v>
      </x:c>
      <x:c r="AA146" s="7" t="str">
        <x:v>源行=sd!79；原模型=seedance-2.0；时长=4-15；比例=不限；视频输入=是；真人脸=否；超分=否；素材库=否；NSFW=否；协议=待确认；素材限制=933；原表状态为空，已导入为draft</x:v>
      </x:c>
      <x:c r="AB146" s="23" t="str">
        <x:f t="shared" si="11">IF(A146="","",IF(COUNTIF($A$5:$A$1004,A146)&gt;1,"错误:重复成本规则ID",IF(OR(B146="",C146="",E146="",F146="",K146="",O146&lt;=0,P146&lt;=0,Q146&lt;=0,R146&lt;=0,S146&lt;0,T146&lt;=0,Y146=""),"错误:必填项",IF(D146="","警告:SKU待映射","OK"))))</x:f>
        <x:v>OK</x:v>
      </x:c>
    </x:row>
    <x:row r="147" ht="39.599998474121094" hidden="1" customHeight="1">
      <x:c r="A147" s="2" t="str">
        <x:v>COST-CANGYUANSUANLI-R79-720-REQ-VID</x:v>
      </x:c>
      <x:c r="B147" s="2" t="str">
        <x:v>CH-CANGYUANSUANLI</x:v>
      </x:c>
      <x:c r="C147" s="2" t="str">
        <x:v>seedance-2.0</x:v>
      </x:c>
      <x:c r="D147" s="2" t="str">
        <x:v>SKU-SD20-STD-720</x:v>
      </x:c>
      <x:c r="E147" s="2" t="str">
        <x:v>with_video</x:v>
      </x:c>
      <x:c r="F147" s="2" t="str">
        <x:v>per_request</x:v>
      </x:c>
      <x:c r="G147" s="2"/>
      <x:c r="H147" s="2" t="str">
        <x:v>validated_request</x:v>
      </x:c>
      <x:c r="I147" s="2" t="str">
        <x:v>request_count</x:v>
      </x:c>
      <x:c r="J147" s="2" t="str">
        <x:v>task_succeeded</x:v>
      </x:c>
      <x:c r="K147" s="2" t="str">
        <x:v>CNY</x:v>
      </x:c>
      <x:c r="L147" s="27" t="n">
        <x:v>4.85</x:v>
      </x:c>
      <x:c r="M147" s="27"/>
      <x:c r="N147" s="27"/>
      <x:c r="O147" s="26" t="n">
        <x:f t="shared" si="8">IF(F147="per_request",L147,IF(F147="per_duration",M147,IF(F147="per_token",N147,0)))</x:f>
        <x:v>4.85</x:v>
      </x:c>
      <x:c r="P147" s="27" t="n">
        <x:v>1</x:v>
      </x:c>
      <x:c r="Q147" s="27" t="n">
        <x:v>1</x:v>
      </x:c>
      <x:c r="R147" s="27" t="n">
        <x:v>1</x:v>
      </x:c>
      <x:c r="S147" s="27" t="n">
        <x:v>0</x:v>
      </x:c>
      <x:c r="T147" s="26" t="n">
        <x:f>IF(K147="USD",1,'参数'!$B$6)</x:f>
        <x:v>0.136986301369863</x:v>
      </x:c>
      <x:c r="U147" s="26" t="n">
        <x:f t="shared" si="9">O147*P147*Q147/R147*(1+S147)*T147</x:f>
        <x:v>0.6643835616438355</x:v>
      </x:c>
      <x:c r="V147" s="23" t="str">
        <x:f t="shared" si="10">IF(F147="per_request","USD/次",IF(F147="per_duration","USD/秒",IF(F147="per_token","USD/1M Token","")))</x:f>
        <x:v>USD/次</x:v>
      </x:c>
      <x:c r="W147" s="20" t="n">
        <x:v>46229.393565162034</x:v>
      </x:c>
      <x:c r="X147" s="20"/>
      <x:c r="Y147" s="2" t="str">
        <x:v>draft</x:v>
      </x:c>
      <x:c r="Z147" s="2" t="str">
        <x:v>SRC-CH-06</x:v>
      </x:c>
      <x:c r="AA147" s="7" t="str">
        <x:v>源行=sd!79；原模型=seedance-2.0；时长=4-15；比例=不限；视频输入=是；真人脸=否；超分=否；素材库=否；NSFW=否；协议=待确认；素材限制=933；原表状态为空，已导入为draft</x:v>
      </x:c>
      <x:c r="AB147" s="23" t="str">
        <x:f t="shared" si="11">IF(A147="","",IF(COUNTIF($A$5:$A$1004,A147)&gt;1,"错误:重复成本规则ID",IF(OR(B147="",C147="",E147="",F147="",K147="",O147&lt;=0,P147&lt;=0,Q147&lt;=0,R147&lt;=0,S147&lt;0,T147&lt;=0,Y147=""),"错误:必填项",IF(D147="","警告:SKU待映射","OK"))))</x:f>
        <x:v>OK</x:v>
      </x:c>
    </x:row>
    <x:row r="148" ht="39.599998474121094" hidden="1" customHeight="1">
      <x:c r="A148" s="2" t="str">
        <x:v>COST-CANGYUANSUANLI-R80-480-REQ-NOV</x:v>
      </x:c>
      <x:c r="B148" s="2" t="str">
        <x:v>CH-CANGYUANSUANLI</x:v>
      </x:c>
      <x:c r="C148" s="2" t="str">
        <x:v>seedance-2.0-fast</x:v>
      </x:c>
      <x:c r="D148" s="2" t="str">
        <x:v>SKU-SD20-FAST-480</x:v>
      </x:c>
      <x:c r="E148" s="2" t="str">
        <x:v>no_video</x:v>
      </x:c>
      <x:c r="F148" s="2" t="str">
        <x:v>per_request</x:v>
      </x:c>
      <x:c r="G148" s="2"/>
      <x:c r="H148" s="2" t="str">
        <x:v>validated_request</x:v>
      </x:c>
      <x:c r="I148" s="2" t="str">
        <x:v>request_count</x:v>
      </x:c>
      <x:c r="J148" s="2" t="str">
        <x:v>task_succeeded</x:v>
      </x:c>
      <x:c r="K148" s="2" t="str">
        <x:v>CNY</x:v>
      </x:c>
      <x:c r="L148" s="27" t="n">
        <x:v>3.6</x:v>
      </x:c>
      <x:c r="M148" s="27"/>
      <x:c r="N148" s="27"/>
      <x:c r="O148" s="26" t="n">
        <x:f t="shared" si="8">IF(F148="per_request",L148,IF(F148="per_duration",M148,IF(F148="per_token",N148,0)))</x:f>
        <x:v>3.6</x:v>
      </x:c>
      <x:c r="P148" s="27" t="n">
        <x:v>1</x:v>
      </x:c>
      <x:c r="Q148" s="27" t="n">
        <x:v>1</x:v>
      </x:c>
      <x:c r="R148" s="27" t="n">
        <x:v>1</x:v>
      </x:c>
      <x:c r="S148" s="27" t="n">
        <x:v>0</x:v>
      </x:c>
      <x:c r="T148" s="26" t="n">
        <x:f>IF(K148="USD",1,'参数'!$B$6)</x:f>
        <x:v>0.136986301369863</x:v>
      </x:c>
      <x:c r="U148" s="26" t="n">
        <x:f t="shared" si="9">O148*P148*Q148/R148*(1+S148)*T148</x:f>
        <x:v>0.4931506849315068</x:v>
      </x:c>
      <x:c r="V148" s="23" t="str">
        <x:f t="shared" si="10">IF(F148="per_request","USD/次",IF(F148="per_duration","USD/秒",IF(F148="per_token","USD/1M Token","")))</x:f>
        <x:v>USD/次</x:v>
      </x:c>
      <x:c r="W148" s="20" t="n">
        <x:v>46229.393565162034</x:v>
      </x:c>
      <x:c r="X148" s="20"/>
      <x:c r="Y148" s="2" t="str">
        <x:v>draft</x:v>
      </x:c>
      <x:c r="Z148" s="2" t="str">
        <x:v>SRC-CH-06</x:v>
      </x:c>
      <x:c r="AA148" s="7" t="str">
        <x:v>源行=sd!80；原模型=seedance-2.0-fast；时长=4-15；比例=不限；视频输入=是；真人脸=否；超分=否；素材库=否；NSFW=否；协议=待确认；素材限制=933；原表状态为空，已导入为draft</x:v>
      </x:c>
      <x:c r="AB148" s="23" t="str">
        <x:f t="shared" si="11">IF(A148="","",IF(COUNTIF($A$5:$A$1004,A148)&gt;1,"错误:重复成本规则ID",IF(OR(B148="",C148="",E148="",F148="",K148="",O148&lt;=0,P148&lt;=0,Q148&lt;=0,R148&lt;=0,S148&lt;0,T148&lt;=0,Y148=""),"错误:必填项",IF(D148="","警告:SKU待映射","OK"))))</x:f>
        <x:v>OK</x:v>
      </x:c>
    </x:row>
    <x:row r="149" ht="39.599998474121094" hidden="1" customHeight="1">
      <x:c r="A149" s="2" t="str">
        <x:v>COST-CANGYUANSUANLI-R80-480-REQ-VID</x:v>
      </x:c>
      <x:c r="B149" s="2" t="str">
        <x:v>CH-CANGYUANSUANLI</x:v>
      </x:c>
      <x:c r="C149" s="2" t="str">
        <x:v>seedance-2.0-fast</x:v>
      </x:c>
      <x:c r="D149" s="2" t="str">
        <x:v>SKU-SD20-FAST-480</x:v>
      </x:c>
      <x:c r="E149" s="2" t="str">
        <x:v>with_video</x:v>
      </x:c>
      <x:c r="F149" s="2" t="str">
        <x:v>per_request</x:v>
      </x:c>
      <x:c r="G149" s="2"/>
      <x:c r="H149" s="2" t="str">
        <x:v>validated_request</x:v>
      </x:c>
      <x:c r="I149" s="2" t="str">
        <x:v>request_count</x:v>
      </x:c>
      <x:c r="J149" s="2" t="str">
        <x:v>task_succeeded</x:v>
      </x:c>
      <x:c r="K149" s="2" t="str">
        <x:v>CNY</x:v>
      </x:c>
      <x:c r="L149" s="27" t="n">
        <x:v>3.6</x:v>
      </x:c>
      <x:c r="M149" s="27"/>
      <x:c r="N149" s="27"/>
      <x:c r="O149" s="26" t="n">
        <x:f t="shared" si="8">IF(F149="per_request",L149,IF(F149="per_duration",M149,IF(F149="per_token",N149,0)))</x:f>
        <x:v>3.6</x:v>
      </x:c>
      <x:c r="P149" s="27" t="n">
        <x:v>1</x:v>
      </x:c>
      <x:c r="Q149" s="27" t="n">
        <x:v>1</x:v>
      </x:c>
      <x:c r="R149" s="27" t="n">
        <x:v>1</x:v>
      </x:c>
      <x:c r="S149" s="27" t="n">
        <x:v>0</x:v>
      </x:c>
      <x:c r="T149" s="26" t="n">
        <x:f>IF(K149="USD",1,'参数'!$B$6)</x:f>
        <x:v>0.136986301369863</x:v>
      </x:c>
      <x:c r="U149" s="26" t="n">
        <x:f t="shared" si="9">O149*P149*Q149/R149*(1+S149)*T149</x:f>
        <x:v>0.4931506849315068</x:v>
      </x:c>
      <x:c r="V149" s="23" t="str">
        <x:f t="shared" si="10">IF(F149="per_request","USD/次",IF(F149="per_duration","USD/秒",IF(F149="per_token","USD/1M Token","")))</x:f>
        <x:v>USD/次</x:v>
      </x:c>
      <x:c r="W149" s="20" t="n">
        <x:v>46229.393565162034</x:v>
      </x:c>
      <x:c r="X149" s="20"/>
      <x:c r="Y149" s="2" t="str">
        <x:v>draft</x:v>
      </x:c>
      <x:c r="Z149" s="2" t="str">
        <x:v>SRC-CH-06</x:v>
      </x:c>
      <x:c r="AA149" s="7" t="str">
        <x:v>源行=sd!80；原模型=seedance-2.0-fast；时长=4-15；比例=不限；视频输入=是；真人脸=否；超分=否；素材库=否；NSFW=否；协议=待确认；素材限制=933；原表状态为空，已导入为draft</x:v>
      </x:c>
      <x:c r="AB149" s="23" t="str">
        <x:f t="shared" si="11">IF(A149="","",IF(COUNTIF($A$5:$A$1004,A149)&gt;1,"错误:重复成本规则ID",IF(OR(B149="",C149="",E149="",F149="",K149="",O149&lt;=0,P149&lt;=0,Q149&lt;=0,R149&lt;=0,S149&lt;0,T149&lt;=0,Y149=""),"错误:必填项",IF(D149="","警告:SKU待映射","OK"))))</x:f>
        <x:v>OK</x:v>
      </x:c>
    </x:row>
    <x:row r="150" ht="39.599998474121094" hidden="1" customHeight="1">
      <x:c r="A150" s="2" t="str">
        <x:v>COST-CANGYUANSUANLI-R80-720-REQ-NOV</x:v>
      </x:c>
      <x:c r="B150" s="2" t="str">
        <x:v>CH-CANGYUANSUANLI</x:v>
      </x:c>
      <x:c r="C150" s="2" t="str">
        <x:v>seedance-2.0-fast</x:v>
      </x:c>
      <x:c r="D150" s="2" t="str">
        <x:v>SKU-SD20-FAST-720</x:v>
      </x:c>
      <x:c r="E150" s="2" t="str">
        <x:v>no_video</x:v>
      </x:c>
      <x:c r="F150" s="2" t="str">
        <x:v>per_request</x:v>
      </x:c>
      <x:c r="G150" s="2"/>
      <x:c r="H150" s="2" t="str">
        <x:v>validated_request</x:v>
      </x:c>
      <x:c r="I150" s="2" t="str">
        <x:v>request_count</x:v>
      </x:c>
      <x:c r="J150" s="2" t="str">
        <x:v>task_succeeded</x:v>
      </x:c>
      <x:c r="K150" s="2" t="str">
        <x:v>CNY</x:v>
      </x:c>
      <x:c r="L150" s="27" t="n">
        <x:v>3.6</x:v>
      </x:c>
      <x:c r="M150" s="27"/>
      <x:c r="N150" s="27"/>
      <x:c r="O150" s="26" t="n">
        <x:f t="shared" si="8">IF(F150="per_request",L150,IF(F150="per_duration",M150,IF(F150="per_token",N150,0)))</x:f>
        <x:v>3.6</x:v>
      </x:c>
      <x:c r="P150" s="27" t="n">
        <x:v>1</x:v>
      </x:c>
      <x:c r="Q150" s="27" t="n">
        <x:v>1</x:v>
      </x:c>
      <x:c r="R150" s="27" t="n">
        <x:v>1</x:v>
      </x:c>
      <x:c r="S150" s="27" t="n">
        <x:v>0</x:v>
      </x:c>
      <x:c r="T150" s="26" t="n">
        <x:f>IF(K150="USD",1,'参数'!$B$6)</x:f>
        <x:v>0.136986301369863</x:v>
      </x:c>
      <x:c r="U150" s="26" t="n">
        <x:f t="shared" si="9">O150*P150*Q150/R150*(1+S150)*T150</x:f>
        <x:v>0.4931506849315068</x:v>
      </x:c>
      <x:c r="V150" s="23" t="str">
        <x:f t="shared" si="10">IF(F150="per_request","USD/次",IF(F150="per_duration","USD/秒",IF(F150="per_token","USD/1M Token","")))</x:f>
        <x:v>USD/次</x:v>
      </x:c>
      <x:c r="W150" s="20" t="n">
        <x:v>46229.393565162034</x:v>
      </x:c>
      <x:c r="X150" s="20"/>
      <x:c r="Y150" s="2" t="str">
        <x:v>draft</x:v>
      </x:c>
      <x:c r="Z150" s="2" t="str">
        <x:v>SRC-CH-06</x:v>
      </x:c>
      <x:c r="AA150" s="7" t="str">
        <x:v>源行=sd!80；原模型=seedance-2.0-fast；时长=4-15；比例=不限；视频输入=是；真人脸=否；超分=否；素材库=否；NSFW=否；协议=待确认；素材限制=933；原表状态为空，已导入为draft</x:v>
      </x:c>
      <x:c r="AB150" s="23" t="str">
        <x:f t="shared" si="11">IF(A150="","",IF(COUNTIF($A$5:$A$1004,A150)&gt;1,"错误:重复成本规则ID",IF(OR(B150="",C150="",E150="",F150="",K150="",O150&lt;=0,P150&lt;=0,Q150&lt;=0,R150&lt;=0,S150&lt;0,T150&lt;=0,Y150=""),"错误:必填项",IF(D150="","警告:SKU待映射","OK"))))</x:f>
        <x:v>OK</x:v>
      </x:c>
    </x:row>
    <x:row r="151" ht="39.599998474121094" hidden="1" customHeight="1">
      <x:c r="A151" s="2" t="str">
        <x:v>COST-CANGYUANSUANLI-R80-720-REQ-VID</x:v>
      </x:c>
      <x:c r="B151" s="2" t="str">
        <x:v>CH-CANGYUANSUANLI</x:v>
      </x:c>
      <x:c r="C151" s="2" t="str">
        <x:v>seedance-2.0-fast</x:v>
      </x:c>
      <x:c r="D151" s="2" t="str">
        <x:v>SKU-SD20-FAST-720</x:v>
      </x:c>
      <x:c r="E151" s="2" t="str">
        <x:v>with_video</x:v>
      </x:c>
      <x:c r="F151" s="2" t="str">
        <x:v>per_request</x:v>
      </x:c>
      <x:c r="G151" s="2"/>
      <x:c r="H151" s="2" t="str">
        <x:v>validated_request</x:v>
      </x:c>
      <x:c r="I151" s="2" t="str">
        <x:v>request_count</x:v>
      </x:c>
      <x:c r="J151" s="2" t="str">
        <x:v>task_succeeded</x:v>
      </x:c>
      <x:c r="K151" s="2" t="str">
        <x:v>CNY</x:v>
      </x:c>
      <x:c r="L151" s="27" t="n">
        <x:v>3.6</x:v>
      </x:c>
      <x:c r="M151" s="27"/>
      <x:c r="N151" s="27"/>
      <x:c r="O151" s="26" t="n">
        <x:f t="shared" si="8">IF(F151="per_request",L151,IF(F151="per_duration",M151,IF(F151="per_token",N151,0)))</x:f>
        <x:v>3.6</x:v>
      </x:c>
      <x:c r="P151" s="27" t="n">
        <x:v>1</x:v>
      </x:c>
      <x:c r="Q151" s="27" t="n">
        <x:v>1</x:v>
      </x:c>
      <x:c r="R151" s="27" t="n">
        <x:v>1</x:v>
      </x:c>
      <x:c r="S151" s="27" t="n">
        <x:v>0</x:v>
      </x:c>
      <x:c r="T151" s="26" t="n">
        <x:f>IF(K151="USD",1,'参数'!$B$6)</x:f>
        <x:v>0.136986301369863</x:v>
      </x:c>
      <x:c r="U151" s="26" t="n">
        <x:f t="shared" si="9">O151*P151*Q151/R151*(1+S151)*T151</x:f>
        <x:v>0.4931506849315068</x:v>
      </x:c>
      <x:c r="V151" s="23" t="str">
        <x:f t="shared" si="10">IF(F151="per_request","USD/次",IF(F151="per_duration","USD/秒",IF(F151="per_token","USD/1M Token","")))</x:f>
        <x:v>USD/次</x:v>
      </x:c>
      <x:c r="W151" s="20" t="n">
        <x:v>46229.393565162034</x:v>
      </x:c>
      <x:c r="X151" s="20"/>
      <x:c r="Y151" s="2" t="str">
        <x:v>draft</x:v>
      </x:c>
      <x:c r="Z151" s="2" t="str">
        <x:v>SRC-CH-06</x:v>
      </x:c>
      <x:c r="AA151" s="7" t="str">
        <x:v>源行=sd!80；原模型=seedance-2.0-fast；时长=4-15；比例=不限；视频输入=是；真人脸=否；超分=否；素材库=否；NSFW=否；协议=待确认；素材限制=933；原表状态为空，已导入为draft</x:v>
      </x:c>
      <x:c r="AB151" s="23" t="str">
        <x:f t="shared" si="11">IF(A151="","",IF(COUNTIF($A$5:$A$1004,A151)&gt;1,"错误:重复成本规则ID",IF(OR(B151="",C151="",E151="",F151="",K151="",O151&lt;=0,P151&lt;=0,Q151&lt;=0,R151&lt;=0,S151&lt;0,T151&lt;=0,Y151=""),"错误:必填项",IF(D151="","警告:SKU待映射","OK"))))</x:f>
        <x:v>OK</x:v>
      </x:c>
    </x:row>
    <x:row r="152" ht="39.599998474121094" hidden="1" customHeight="1">
      <x:c r="A152" s="2" t="str">
        <x:v>COST-CANGYUANSUANLI-R81-480-REQ-NOV</x:v>
      </x:c>
      <x:c r="B152" s="2" t="str">
        <x:v>CH-CANGYUANSUANLI</x:v>
      </x:c>
      <x:c r="C152" s="2" t="str">
        <x:v>seedance-2.0-mini</x:v>
      </x:c>
      <x:c r="D152" s="2" t="str">
        <x:v>SKU-SD20-MINI-480</x:v>
      </x:c>
      <x:c r="E152" s="2" t="str">
        <x:v>no_video</x:v>
      </x:c>
      <x:c r="F152" s="2" t="str">
        <x:v>per_request</x:v>
      </x:c>
      <x:c r="G152" s="2"/>
      <x:c r="H152" s="2" t="str">
        <x:v>validated_request</x:v>
      </x:c>
      <x:c r="I152" s="2" t="str">
        <x:v>request_count</x:v>
      </x:c>
      <x:c r="J152" s="2" t="str">
        <x:v>task_succeeded</x:v>
      </x:c>
      <x:c r="K152" s="2" t="str">
        <x:v>CNY</x:v>
      </x:c>
      <x:c r="L152" s="27" t="n">
        <x:v>2.9</x:v>
      </x:c>
      <x:c r="M152" s="27"/>
      <x:c r="N152" s="27"/>
      <x:c r="O152" s="26" t="n">
        <x:f t="shared" si="8">IF(F152="per_request",L152,IF(F152="per_duration",M152,IF(F152="per_token",N152,0)))</x:f>
        <x:v>2.9</x:v>
      </x:c>
      <x:c r="P152" s="27" t="n">
        <x:v>1</x:v>
      </x:c>
      <x:c r="Q152" s="27" t="n">
        <x:v>1</x:v>
      </x:c>
      <x:c r="R152" s="27" t="n">
        <x:v>1</x:v>
      </x:c>
      <x:c r="S152" s="27" t="n">
        <x:v>0</x:v>
      </x:c>
      <x:c r="T152" s="26" t="n">
        <x:f>IF(K152="USD",1,'参数'!$B$6)</x:f>
        <x:v>0.136986301369863</x:v>
      </x:c>
      <x:c r="U152" s="26" t="n">
        <x:f t="shared" si="9">O152*P152*Q152/R152*(1+S152)*T152</x:f>
        <x:v>0.3972602739726027</x:v>
      </x:c>
      <x:c r="V152" s="23" t="str">
        <x:f t="shared" si="10">IF(F152="per_request","USD/次",IF(F152="per_duration","USD/秒",IF(F152="per_token","USD/1M Token","")))</x:f>
        <x:v>USD/次</x:v>
      </x:c>
      <x:c r="W152" s="20" t="n">
        <x:v>46229.393565162034</x:v>
      </x:c>
      <x:c r="X152" s="20"/>
      <x:c r="Y152" s="2" t="str">
        <x:v>draft</x:v>
      </x:c>
      <x:c r="Z152" s="2" t="str">
        <x:v>SRC-CH-06</x:v>
      </x:c>
      <x:c r="AA152" s="7" t="str">
        <x:v>源行=sd!81；原模型=seedance-2.0-mini；时长=4-15；比例=不限；视频输入=是；真人脸=否；超分=否；素材库=否；NSFW=否；协议=待确认；素材限制=933；原表状态为空，已导入为draft</x:v>
      </x:c>
      <x:c r="AB152" s="23" t="str">
        <x:f t="shared" si="11">IF(A152="","",IF(COUNTIF($A$5:$A$1004,A152)&gt;1,"错误:重复成本规则ID",IF(OR(B152="",C152="",E152="",F152="",K152="",O152&lt;=0,P152&lt;=0,Q152&lt;=0,R152&lt;=0,S152&lt;0,T152&lt;=0,Y152=""),"错误:必填项",IF(D152="","警告:SKU待映射","OK"))))</x:f>
        <x:v>OK</x:v>
      </x:c>
    </x:row>
    <x:row r="153" ht="39.599998474121094" hidden="1" customHeight="1">
      <x:c r="A153" s="2" t="str">
        <x:v>COST-CANGYUANSUANLI-R81-480-REQ-VID</x:v>
      </x:c>
      <x:c r="B153" s="2" t="str">
        <x:v>CH-CANGYUANSUANLI</x:v>
      </x:c>
      <x:c r="C153" s="2" t="str">
        <x:v>seedance-2.0-mini</x:v>
      </x:c>
      <x:c r="D153" s="2" t="str">
        <x:v>SKU-SD20-MINI-480</x:v>
      </x:c>
      <x:c r="E153" s="2" t="str">
        <x:v>with_video</x:v>
      </x:c>
      <x:c r="F153" s="2" t="str">
        <x:v>per_request</x:v>
      </x:c>
      <x:c r="G153" s="2"/>
      <x:c r="H153" s="2" t="str">
        <x:v>validated_request</x:v>
      </x:c>
      <x:c r="I153" s="2" t="str">
        <x:v>request_count</x:v>
      </x:c>
      <x:c r="J153" s="2" t="str">
        <x:v>task_succeeded</x:v>
      </x:c>
      <x:c r="K153" s="2" t="str">
        <x:v>CNY</x:v>
      </x:c>
      <x:c r="L153" s="27" t="n">
        <x:v>2.9</x:v>
      </x:c>
      <x:c r="M153" s="27"/>
      <x:c r="N153" s="27"/>
      <x:c r="O153" s="26" t="n">
        <x:f t="shared" si="8">IF(F153="per_request",L153,IF(F153="per_duration",M153,IF(F153="per_token",N153,0)))</x:f>
        <x:v>2.9</x:v>
      </x:c>
      <x:c r="P153" s="27" t="n">
        <x:v>1</x:v>
      </x:c>
      <x:c r="Q153" s="27" t="n">
        <x:v>1</x:v>
      </x:c>
      <x:c r="R153" s="27" t="n">
        <x:v>1</x:v>
      </x:c>
      <x:c r="S153" s="27" t="n">
        <x:v>0</x:v>
      </x:c>
      <x:c r="T153" s="26" t="n">
        <x:f>IF(K153="USD",1,'参数'!$B$6)</x:f>
        <x:v>0.136986301369863</x:v>
      </x:c>
      <x:c r="U153" s="26" t="n">
        <x:f t="shared" si="9">O153*P153*Q153/R153*(1+S153)*T153</x:f>
        <x:v>0.3972602739726027</x:v>
      </x:c>
      <x:c r="V153" s="23" t="str">
        <x:f t="shared" si="10">IF(F153="per_request","USD/次",IF(F153="per_duration","USD/秒",IF(F153="per_token","USD/1M Token","")))</x:f>
        <x:v>USD/次</x:v>
      </x:c>
      <x:c r="W153" s="20" t="n">
        <x:v>46229.393565162034</x:v>
      </x:c>
      <x:c r="X153" s="20"/>
      <x:c r="Y153" s="2" t="str">
        <x:v>draft</x:v>
      </x:c>
      <x:c r="Z153" s="2" t="str">
        <x:v>SRC-CH-06</x:v>
      </x:c>
      <x:c r="AA153" s="7" t="str">
        <x:v>源行=sd!81；原模型=seedance-2.0-mini；时长=4-15；比例=不限；视频输入=是；真人脸=否；超分=否；素材库=否；NSFW=否；协议=待确认；素材限制=933；原表状态为空，已导入为draft</x:v>
      </x:c>
      <x:c r="AB153" s="23" t="str">
        <x:f t="shared" si="11">IF(A153="","",IF(COUNTIF($A$5:$A$1004,A153)&gt;1,"错误:重复成本规则ID",IF(OR(B153="",C153="",E153="",F153="",K153="",O153&lt;=0,P153&lt;=0,Q153&lt;=0,R153&lt;=0,S153&lt;0,T153&lt;=0,Y153=""),"错误:必填项",IF(D153="","警告:SKU待映射","OK"))))</x:f>
        <x:v>OK</x:v>
      </x:c>
    </x:row>
    <x:row r="154" ht="52.79999923706055" hidden="1" customHeight="1">
      <x:c r="A154" s="2" t="str">
        <x:v>COST-CANGYUANSUANLI-R81-720-REQ-NOV</x:v>
      </x:c>
      <x:c r="B154" s="2" t="str">
        <x:v>CH-CANGYUANSUANLI</x:v>
      </x:c>
      <x:c r="C154" s="2" t="str">
        <x:v>seedance-2.0-mini</x:v>
      </x:c>
      <x:c r="D154" s="2" t="str">
        <x:v>SKU-SD20-MINI-720</x:v>
      </x:c>
      <x:c r="E154" s="2" t="str">
        <x:v>no_video</x:v>
      </x:c>
      <x:c r="F154" s="2" t="str">
        <x:v>per_request</x:v>
      </x:c>
      <x:c r="G154" s="2"/>
      <x:c r="H154" s="2" t="str">
        <x:v>validated_request</x:v>
      </x:c>
      <x:c r="I154" s="2" t="str">
        <x:v>request_count</x:v>
      </x:c>
      <x:c r="J154" s="2" t="str">
        <x:v>task_succeeded</x:v>
      </x:c>
      <x:c r="K154" s="2" t="str">
        <x:v>CNY</x:v>
      </x:c>
      <x:c r="L154" s="27" t="n">
        <x:v>2.9</x:v>
      </x:c>
      <x:c r="M154" s="27"/>
      <x:c r="N154" s="27"/>
      <x:c r="O154" s="26" t="n">
        <x:f t="shared" si="8">IF(F154="per_request",L154,IF(F154="per_duration",M154,IF(F154="per_token",N154,0)))</x:f>
        <x:v>2.9</x:v>
      </x:c>
      <x:c r="P154" s="27" t="n">
        <x:v>1</x:v>
      </x:c>
      <x:c r="Q154" s="27" t="n">
        <x:v>1</x:v>
      </x:c>
      <x:c r="R154" s="27" t="n">
        <x:v>1</x:v>
      </x:c>
      <x:c r="S154" s="27" t="n">
        <x:v>0</x:v>
      </x:c>
      <x:c r="T154" s="26" t="n">
        <x:f>IF(K154="USD",1,'参数'!$B$6)</x:f>
        <x:v>0.136986301369863</x:v>
      </x:c>
      <x:c r="U154" s="26" t="n">
        <x:f t="shared" si="9">O154*P154*Q154/R154*(1+S154)*T154</x:f>
        <x:v>0.3972602739726027</x:v>
      </x:c>
      <x:c r="V154" s="23" t="str">
        <x:f t="shared" si="10">IF(F154="per_request","USD/次",IF(F154="per_duration","USD/秒",IF(F154="per_token","USD/1M Token","")))</x:f>
        <x:v>USD/次</x:v>
      </x:c>
      <x:c r="W154" s="20" t="n">
        <x:v>46229.393565162034</x:v>
      </x:c>
      <x:c r="X154" s="20"/>
      <x:c r="Y154" s="2" t="str">
        <x:v>draft</x:v>
      </x:c>
      <x:c r="Z154" s="2" t="str">
        <x:v>SRC-CH-06</x:v>
      </x:c>
      <x:c r="AA154" s="7" t="str">
        <x:v>源行=sd!81；原模型=seedance-2.0-mini；时长=4-15；比例=不限；视频输入=是；真人脸=否；超分=否；素材库=否；NSFW=否；协议=待确认；素材限制=933；原表状态为空，已导入为draft</x:v>
      </x:c>
      <x:c r="AB154" s="23" t="str">
        <x:f t="shared" si="11">IF(A154="","",IF(COUNTIF($A$5:$A$1004,A154)&gt;1,"错误:重复成本规则ID",IF(OR(B154="",C154="",E154="",F154="",K154="",O154&lt;=0,P154&lt;=0,Q154&lt;=0,R154&lt;=0,S154&lt;0,T154&lt;=0,Y154=""),"错误:必填项",IF(D154="","警告:SKU待映射","OK"))))</x:f>
        <x:v>OK</x:v>
      </x:c>
    </x:row>
    <x:row r="155" ht="52.79999923706055" hidden="1" customHeight="1">
      <x:c r="A155" s="2" t="str">
        <x:v>COST-CANGYUANSUANLI-R81-720-REQ-VID</x:v>
      </x:c>
      <x:c r="B155" s="2" t="str">
        <x:v>CH-CANGYUANSUANLI</x:v>
      </x:c>
      <x:c r="C155" s="2" t="str">
        <x:v>seedance-2.0-mini</x:v>
      </x:c>
      <x:c r="D155" s="2" t="str">
        <x:v>SKU-SD20-MINI-720</x:v>
      </x:c>
      <x:c r="E155" s="2" t="str">
        <x:v>with_video</x:v>
      </x:c>
      <x:c r="F155" s="2" t="str">
        <x:v>per_request</x:v>
      </x:c>
      <x:c r="G155" s="2"/>
      <x:c r="H155" s="2" t="str">
        <x:v>validated_request</x:v>
      </x:c>
      <x:c r="I155" s="2" t="str">
        <x:v>request_count</x:v>
      </x:c>
      <x:c r="J155" s="2" t="str">
        <x:v>task_succeeded</x:v>
      </x:c>
      <x:c r="K155" s="2" t="str">
        <x:v>CNY</x:v>
      </x:c>
      <x:c r="L155" s="27" t="n">
        <x:v>2.9</x:v>
      </x:c>
      <x:c r="M155" s="27"/>
      <x:c r="N155" s="27"/>
      <x:c r="O155" s="26" t="n">
        <x:f t="shared" si="8">IF(F155="per_request",L155,IF(F155="per_duration",M155,IF(F155="per_token",N155,0)))</x:f>
        <x:v>2.9</x:v>
      </x:c>
      <x:c r="P155" s="27" t="n">
        <x:v>1</x:v>
      </x:c>
      <x:c r="Q155" s="27" t="n">
        <x:v>1</x:v>
      </x:c>
      <x:c r="R155" s="27" t="n">
        <x:v>1</x:v>
      </x:c>
      <x:c r="S155" s="27" t="n">
        <x:v>0</x:v>
      </x:c>
      <x:c r="T155" s="26" t="n">
        <x:f>IF(K155="USD",1,'参数'!$B$6)</x:f>
        <x:v>0.136986301369863</x:v>
      </x:c>
      <x:c r="U155" s="26" t="n">
        <x:f t="shared" si="9">O155*P155*Q155/R155*(1+S155)*T155</x:f>
        <x:v>0.3972602739726027</x:v>
      </x:c>
      <x:c r="V155" s="23" t="str">
        <x:f t="shared" si="10">IF(F155="per_request","USD/次",IF(F155="per_duration","USD/秒",IF(F155="per_token","USD/1M Token","")))</x:f>
        <x:v>USD/次</x:v>
      </x:c>
      <x:c r="W155" s="20" t="n">
        <x:v>46229.393565162034</x:v>
      </x:c>
      <x:c r="X155" s="20"/>
      <x:c r="Y155" s="2" t="str">
        <x:v>draft</x:v>
      </x:c>
      <x:c r="Z155" s="2" t="str">
        <x:v>SRC-CH-06</x:v>
      </x:c>
      <x:c r="AA155" s="7" t="str">
        <x:v>源行=sd!81；原模型=seedance-2.0-mini；时长=4-15；比例=不限；视频输入=是；真人脸=否；超分=否；素材库=否；NSFW=否；协议=待确认；素材限制=933；原表状态为空，已导入为draft</x:v>
      </x:c>
      <x:c r="AB155" s="23" t="str">
        <x:f t="shared" si="11">IF(A155="","",IF(COUNTIF($A$5:$A$1004,A155)&gt;1,"错误:重复成本规则ID",IF(OR(B155="",C155="",E155="",F155="",K155="",O155&lt;=0,P155&lt;=0,Q155&lt;=0,R155&lt;=0,S155&lt;0,T155&lt;=0,Y155=""),"错误:必填项",IF(D155="","警告:SKU待映射","OK"))))</x:f>
        <x:v>OK</x:v>
      </x:c>
    </x:row>
    <x:row r="156" ht="52.79999923706055" hidden="1" customHeight="1">
      <x:c r="A156" s="2" t="str">
        <x:v>COST-DIMENSIO-R83-720-SEC-NOV</x:v>
      </x:c>
      <x:c r="B156" s="2" t="str">
        <x:v>CH-DIMENSIO</x:v>
      </x:c>
      <x:c r="C156" s="2" t="str">
        <x:v>jimeng-video-seedance-2.0-mini</x:v>
      </x:c>
      <x:c r="D156" s="2" t="str">
        <x:v>SKU-SD20-MINI-720</x:v>
      </x:c>
      <x:c r="E156" s="2" t="str">
        <x:v>no_video</x:v>
      </x:c>
      <x:c r="F156" s="2" t="str">
        <x:v>per_duration</x:v>
      </x:c>
      <x:c r="G156" s="2"/>
      <x:c r="H156" s="2" t="str">
        <x:v>validated_request</x:v>
      </x:c>
      <x:c r="I156" s="2" t="str">
        <x:v>billable_duration_seconds</x:v>
      </x:c>
      <x:c r="J156" s="2" t="str">
        <x:v>task_succeeded</x:v>
      </x:c>
      <x:c r="K156" s="2" t="str">
        <x:v>CNY</x:v>
      </x:c>
      <x:c r="L156" s="27"/>
      <x:c r="M156" s="27" t="n">
        <x:v>0.39</x:v>
      </x:c>
      <x:c r="N156" s="27"/>
      <x:c r="O156" s="26" t="n">
        <x:f t="shared" si="8">IF(F156="per_request",L156,IF(F156="per_duration",M156,IF(F156="per_token",N156,0)))</x:f>
        <x:v>0.39</x:v>
      </x:c>
      <x:c r="P156" s="27" t="n">
        <x:v>1</x:v>
      </x:c>
      <x:c r="Q156" s="27" t="n">
        <x:v>1</x:v>
      </x:c>
      <x:c r="R156" s="27" t="n">
        <x:v>1</x:v>
      </x:c>
      <x:c r="S156" s="27" t="n">
        <x:v>0</x:v>
      </x:c>
      <x:c r="T156" s="26" t="n">
        <x:f>IF(K156="USD",1,'参数'!$B$6)</x:f>
        <x:v>0.136986301369863</x:v>
      </x:c>
      <x:c r="U156" s="26" t="n">
        <x:f t="shared" si="9">O156*P156*Q156/R156*(1+S156)*T156</x:f>
        <x:v>0.05342465753424657</x:v>
      </x:c>
      <x:c r="V156" s="23" t="str">
        <x:f t="shared" si="10">IF(F156="per_request","USD/次",IF(F156="per_duration","USD/秒",IF(F156="per_token","USD/1M Token","")))</x:f>
        <x:v>USD/秒</x:v>
      </x:c>
      <x:c r="W156" s="20" t="n">
        <x:v>46229.393565162034</x:v>
      </x:c>
      <x:c r="X156" s="20"/>
      <x:c r="Y156" s="2" t="str">
        <x:v>active</x:v>
      </x:c>
      <x:c r="Z156" s="2" t="str">
        <x:v>SRC-CH-07</x:v>
      </x:c>
      <x:c r="AA156" s="7" t="str">
        <x:v>源行=sd!83；原模型=jimeng-video-seedance-2.0-mini；时长=4-15；比例=不限；视频输入=是；真人脸=否；超分=否；素材库=否；NSFW=否；协议=自有；素材限制=933；原表折扣 秒 无V=0.785（成本/官价参考比，不参与成本二次计算）；国际剪映URL</x:v>
      </x:c>
      <x:c r="AB156" s="23" t="str">
        <x:f t="shared" si="11">IF(A156="","",IF(COUNTIF($A$5:$A$1004,A156)&gt;1,"错误:重复成本规则ID",IF(OR(B156="",C156="",E156="",F156="",K156="",O156&lt;=0,P156&lt;=0,Q156&lt;=0,R156&lt;=0,S156&lt;0,T156&lt;=0,Y156=""),"错误:必填项",IF(D156="","警告:SKU待映射","OK"))))</x:f>
        <x:v>OK</x:v>
      </x:c>
    </x:row>
    <x:row r="157" ht="52.79999923706055" hidden="1" customHeight="1">
      <x:c r="A157" s="2" t="str">
        <x:v>COST-DIMENSIO-R83-720-SEC-VID</x:v>
      </x:c>
      <x:c r="B157" s="2" t="str">
        <x:v>CH-DIMENSIO</x:v>
      </x:c>
      <x:c r="C157" s="2" t="str">
        <x:v>jimeng-video-seedance-2.0-mini</x:v>
      </x:c>
      <x:c r="D157" s="2" t="str">
        <x:v>SKU-SD20-MINI-720</x:v>
      </x:c>
      <x:c r="E157" s="2" t="str">
        <x:v>with_video</x:v>
      </x:c>
      <x:c r="F157" s="2" t="str">
        <x:v>per_duration</x:v>
      </x:c>
      <x:c r="G157" s="2"/>
      <x:c r="H157" s="2" t="str">
        <x:v>validated_request</x:v>
      </x:c>
      <x:c r="I157" s="2" t="str">
        <x:v>billable_duration_seconds</x:v>
      </x:c>
      <x:c r="J157" s="2" t="str">
        <x:v>task_succeeded</x:v>
      </x:c>
      <x:c r="K157" s="2" t="str">
        <x:v>CNY</x:v>
      </x:c>
      <x:c r="L157" s="27"/>
      <x:c r="M157" s="27" t="n">
        <x:v>0.39</x:v>
      </x:c>
      <x:c r="N157" s="27"/>
      <x:c r="O157" s="26" t="n">
        <x:f t="shared" si="8">IF(F157="per_request",L157,IF(F157="per_duration",M157,IF(F157="per_token",N157,0)))</x:f>
        <x:v>0.39</x:v>
      </x:c>
      <x:c r="P157" s="27" t="n">
        <x:v>1</x:v>
      </x:c>
      <x:c r="Q157" s="27" t="n">
        <x:v>1</x:v>
      </x:c>
      <x:c r="R157" s="27" t="n">
        <x:v>1</x:v>
      </x:c>
      <x:c r="S157" s="27" t="n">
        <x:v>0</x:v>
      </x:c>
      <x:c r="T157" s="26" t="n">
        <x:f>IF(K157="USD",1,'参数'!$B$6)</x:f>
        <x:v>0.136986301369863</x:v>
      </x:c>
      <x:c r="U157" s="26" t="n">
        <x:f t="shared" si="9">O157*P157*Q157/R157*(1+S157)*T157</x:f>
        <x:v>0.05342465753424657</x:v>
      </x:c>
      <x:c r="V157" s="23" t="str">
        <x:f t="shared" si="10">IF(F157="per_request","USD/次",IF(F157="per_duration","USD/秒",IF(F157="per_token","USD/1M Token","")))</x:f>
        <x:v>USD/秒</x:v>
      </x:c>
      <x:c r="W157" s="20" t="n">
        <x:v>46229.393565162034</x:v>
      </x:c>
      <x:c r="X157" s="20"/>
      <x:c r="Y157" s="2" t="str">
        <x:v>active</x:v>
      </x:c>
      <x:c r="Z157" s="2" t="str">
        <x:v>SRC-CH-07</x:v>
      </x:c>
      <x:c r="AA157" s="7" t="str">
        <x:v>源行=sd!83；原模型=jimeng-video-seedance-2.0-mini；时长=4-15；比例=不限；视频输入=是；真人脸=否；超分=否；素材库=否；NSFW=否；协议=自有；素材限制=933；原表折扣 秒 含V=1.291（成本/官价参考比，不参与成本二次计算）；国际剪映URL</x:v>
      </x:c>
      <x:c r="AB157" s="23" t="str">
        <x:f t="shared" si="11">IF(A157="","",IF(COUNTIF($A$5:$A$1004,A157)&gt;1,"错误:重复成本规则ID",IF(OR(B157="",C157="",E157="",F157="",K157="",O157&lt;=0,P157&lt;=0,Q157&lt;=0,R157&lt;=0,S157&lt;0,T157&lt;=0,Y157=""),"错误:必填项",IF(D157="","警告:SKU待映射","OK"))))</x:f>
        <x:v>OK</x:v>
      </x:c>
    </x:row>
    <x:row r="158" ht="52.79999923706055" hidden="1" customHeight="1">
      <x:c r="A158" s="2" t="str">
        <x:v>COST-DIMENSIO-R84-720-SEC-NOV</x:v>
      </x:c>
      <x:c r="B158" s="2" t="str">
        <x:v>CH-DIMENSIO</x:v>
      </x:c>
      <x:c r="C158" s="2" t="str">
        <x:v>jimeng-video-seedance-2.0-fast-vip</x:v>
      </x:c>
      <x:c r="D158" s="2" t="str">
        <x:v>SKU-SD20-FAST-720</x:v>
      </x:c>
      <x:c r="E158" s="2" t="str">
        <x:v>no_video</x:v>
      </x:c>
      <x:c r="F158" s="2" t="str">
        <x:v>per_duration</x:v>
      </x:c>
      <x:c r="G158" s="2"/>
      <x:c r="H158" s="2" t="str">
        <x:v>validated_request</x:v>
      </x:c>
      <x:c r="I158" s="2" t="str">
        <x:v>billable_duration_seconds</x:v>
      </x:c>
      <x:c r="J158" s="2" t="str">
        <x:v>task_succeeded</x:v>
      </x:c>
      <x:c r="K158" s="2" t="str">
        <x:v>CNY</x:v>
      </x:c>
      <x:c r="L158" s="27"/>
      <x:c r="M158" s="27" t="n">
        <x:v>0.48</x:v>
      </x:c>
      <x:c r="N158" s="27"/>
      <x:c r="O158" s="26" t="n">
        <x:f t="shared" si="8">IF(F158="per_request",L158,IF(F158="per_duration",M158,IF(F158="per_token",N158,0)))</x:f>
        <x:v>0.48</x:v>
      </x:c>
      <x:c r="P158" s="27" t="n">
        <x:v>1</x:v>
      </x:c>
      <x:c r="Q158" s="27" t="n">
        <x:v>1</x:v>
      </x:c>
      <x:c r="R158" s="27" t="n">
        <x:v>1</x:v>
      </x:c>
      <x:c r="S158" s="27" t="n">
        <x:v>0</x:v>
      </x:c>
      <x:c r="T158" s="26" t="n">
        <x:f>IF(K158="USD",1,'参数'!$B$6)</x:f>
        <x:v>0.136986301369863</x:v>
      </x:c>
      <x:c r="U158" s="26" t="n">
        <x:f t="shared" si="9">O158*P158*Q158/R158*(1+S158)*T158</x:f>
        <x:v>0.06575342465753424</x:v>
      </x:c>
      <x:c r="V158" s="23" t="str">
        <x:f t="shared" si="10">IF(F158="per_request","USD/次",IF(F158="per_duration","USD/秒",IF(F158="per_token","USD/1M Token","")))</x:f>
        <x:v>USD/秒</x:v>
      </x:c>
      <x:c r="W158" s="20" t="n">
        <x:v>46229.393565162034</x:v>
      </x:c>
      <x:c r="X158" s="20"/>
      <x:c r="Y158" s="2" t="str">
        <x:v>active</x:v>
      </x:c>
      <x:c r="Z158" s="2" t="str">
        <x:v>SRC-CH-07</x:v>
      </x:c>
      <x:c r="AA158" s="7" t="str">
        <x:v>源行=sd!84；原模型=jimeng-video-seedance-2.0-fast-vip；时长=4-15；比例=不限；视频输入=是；真人脸=否；超分=否；素材库=否；NSFW=否；协议=自有；素材限制=933；原表折扣 秒 无V=0.601（成本/官价参考比，不参与成本二次计算）；国际剪映URL</x:v>
      </x:c>
      <x:c r="AB158" s="23" t="str">
        <x:f t="shared" si="11">IF(A158="","",IF(COUNTIF($A$5:$A$1004,A158)&gt;1,"错误:重复成本规则ID",IF(OR(B158="",C158="",E158="",F158="",K158="",O158&lt;=0,P158&lt;=0,Q158&lt;=0,R158&lt;=0,S158&lt;0,T158&lt;=0,Y158=""),"错误:必填项",IF(D158="","警告:SKU待映射","OK"))))</x:f>
        <x:v>OK</x:v>
      </x:c>
    </x:row>
    <x:row r="159" ht="52.79999923706055" hidden="1" customHeight="1">
      <x:c r="A159" s="2" t="str">
        <x:v>COST-DIMENSIO-R84-720-SEC-VID</x:v>
      </x:c>
      <x:c r="B159" s="2" t="str">
        <x:v>CH-DIMENSIO</x:v>
      </x:c>
      <x:c r="C159" s="2" t="str">
        <x:v>jimeng-video-seedance-2.0-fast-vip</x:v>
      </x:c>
      <x:c r="D159" s="2" t="str">
        <x:v>SKU-SD20-FAST-720</x:v>
      </x:c>
      <x:c r="E159" s="2" t="str">
        <x:v>with_video</x:v>
      </x:c>
      <x:c r="F159" s="2" t="str">
        <x:v>per_duration</x:v>
      </x:c>
      <x:c r="G159" s="2"/>
      <x:c r="H159" s="2" t="str">
        <x:v>validated_request</x:v>
      </x:c>
      <x:c r="I159" s="2" t="str">
        <x:v>billable_duration_seconds</x:v>
      </x:c>
      <x:c r="J159" s="2" t="str">
        <x:v>task_succeeded</x:v>
      </x:c>
      <x:c r="K159" s="2" t="str">
        <x:v>CNY</x:v>
      </x:c>
      <x:c r="L159" s="27"/>
      <x:c r="M159" s="27" t="n">
        <x:v>0.48</x:v>
      </x:c>
      <x:c r="N159" s="27"/>
      <x:c r="O159" s="26" t="n">
        <x:f t="shared" si="8">IF(F159="per_request",L159,IF(F159="per_duration",M159,IF(F159="per_token",N159,0)))</x:f>
        <x:v>0.48</x:v>
      </x:c>
      <x:c r="P159" s="27" t="n">
        <x:v>1</x:v>
      </x:c>
      <x:c r="Q159" s="27" t="n">
        <x:v>1</x:v>
      </x:c>
      <x:c r="R159" s="27" t="n">
        <x:v>1</x:v>
      </x:c>
      <x:c r="S159" s="27" t="n">
        <x:v>0</x:v>
      </x:c>
      <x:c r="T159" s="26" t="n">
        <x:f>IF(K159="USD",1,'参数'!$B$6)</x:f>
        <x:v>0.136986301369863</x:v>
      </x:c>
      <x:c r="U159" s="26" t="n">
        <x:f t="shared" si="9">O159*P159*Q159/R159*(1+S159)*T159</x:f>
        <x:v>0.06575342465753424</x:v>
      </x:c>
      <x:c r="V159" s="23" t="str">
        <x:f t="shared" si="10">IF(F159="per_request","USD/次",IF(F159="per_duration","USD/秒",IF(F159="per_token","USD/1M Token","")))</x:f>
        <x:v>USD/秒</x:v>
      </x:c>
      <x:c r="W159" s="20" t="n">
        <x:v>46229.393565162034</x:v>
      </x:c>
      <x:c r="X159" s="20"/>
      <x:c r="Y159" s="2" t="str">
        <x:v>active</x:v>
      </x:c>
      <x:c r="Z159" s="2" t="str">
        <x:v>SRC-CH-07</x:v>
      </x:c>
      <x:c r="AA159" s="7" t="str">
        <x:v>源行=sd!84；原模型=jimeng-video-seedance-2.0-fast-vip；时长=4-15；比例=不限；视频输入=是；真人脸=否；超分=否；素材库=否；NSFW=否；协议=自有；素材限制=933；原表折扣 秒 含V=1.011（成本/官价参考比，不参与成本二次计算）；国际剪映URL</x:v>
      </x:c>
      <x:c r="AB159" s="23" t="str">
        <x:f t="shared" si="11">IF(A159="","",IF(COUNTIF($A$5:$A$1004,A159)&gt;1,"错误:重复成本规则ID",IF(OR(B159="",C159="",E159="",F159="",K159="",O159&lt;=0,P159&lt;=0,Q159&lt;=0,R159&lt;=0,S159&lt;0,T159&lt;=0,Y159=""),"错误:必填项",IF(D159="","警告:SKU待映射","OK"))))</x:f>
        <x:v>OK</x:v>
      </x:c>
    </x:row>
    <x:row r="160" ht="52.79999923706055" hidden="1" customHeight="1">
      <x:c r="A160" s="2" t="str">
        <x:v>COST-DIMENSIO-R85-720-SEC-NOV</x:v>
      </x:c>
      <x:c r="B160" s="2" t="str">
        <x:v>CH-DIMENSIO</x:v>
      </x:c>
      <x:c r="C160" s="2" t="str">
        <x:v>jimeng-video-seedance-2.0-vip</x:v>
      </x:c>
      <x:c r="D160" s="2" t="str">
        <x:v>SKU-SD20-STD-720</x:v>
      </x:c>
      <x:c r="E160" s="2" t="str">
        <x:v>no_video</x:v>
      </x:c>
      <x:c r="F160" s="2" t="str">
        <x:v>per_duration</x:v>
      </x:c>
      <x:c r="G160" s="2"/>
      <x:c r="H160" s="2" t="str">
        <x:v>validated_request</x:v>
      </x:c>
      <x:c r="I160" s="2" t="str">
        <x:v>billable_duration_seconds</x:v>
      </x:c>
      <x:c r="J160" s="2" t="str">
        <x:v>task_succeeded</x:v>
      </x:c>
      <x:c r="K160" s="2" t="str">
        <x:v>CNY</x:v>
      </x:c>
      <x:c r="L160" s="27"/>
      <x:c r="M160" s="27" t="n">
        <x:v>0.62</x:v>
      </x:c>
      <x:c r="N160" s="27"/>
      <x:c r="O160" s="26" t="n">
        <x:f t="shared" si="8">IF(F160="per_request",L160,IF(F160="per_duration",M160,IF(F160="per_token",N160,0)))</x:f>
        <x:v>0.62</x:v>
      </x:c>
      <x:c r="P160" s="27" t="n">
        <x:v>1</x:v>
      </x:c>
      <x:c r="Q160" s="27" t="n">
        <x:v>1</x:v>
      </x:c>
      <x:c r="R160" s="27" t="n">
        <x:v>1</x:v>
      </x:c>
      <x:c r="S160" s="27" t="n">
        <x:v>0</x:v>
      </x:c>
      <x:c r="T160" s="26" t="n">
        <x:f>IF(K160="USD",1,'参数'!$B$6)</x:f>
        <x:v>0.136986301369863</x:v>
      </x:c>
      <x:c r="U160" s="26" t="n">
        <x:f t="shared" si="9">O160*P160*Q160/R160*(1+S160)*T160</x:f>
        <x:v>0.08493150684931507</x:v>
      </x:c>
      <x:c r="V160" s="23" t="str">
        <x:f t="shared" si="10">IF(F160="per_request","USD/次",IF(F160="per_duration","USD/秒",IF(F160="per_token","USD/1M Token","")))</x:f>
        <x:v>USD/秒</x:v>
      </x:c>
      <x:c r="W160" s="20" t="n">
        <x:v>46229.393565162034</x:v>
      </x:c>
      <x:c r="X160" s="20"/>
      <x:c r="Y160" s="2" t="str">
        <x:v>active</x:v>
      </x:c>
      <x:c r="Z160" s="2" t="str">
        <x:v>SRC-CH-07</x:v>
      </x:c>
      <x:c r="AA160" s="7" t="str">
        <x:v>源行=sd!85；原模型=jimeng-video-seedance-2.0-vip；时长=4-15；比例=不限；视频输入=是；真人脸=否；超分=否；素材库=否；NSFW=否；协议=自有；素材限制=933；原表折扣 秒 无V=0.624（成本/官价参考比，不参与成本二次计算）；国际剪映URL</x:v>
      </x:c>
      <x:c r="AB160" s="23" t="str">
        <x:f t="shared" si="11">IF(A160="","",IF(COUNTIF($A$5:$A$1004,A160)&gt;1,"错误:重复成本规则ID",IF(OR(B160="",C160="",E160="",F160="",K160="",O160&lt;=0,P160&lt;=0,Q160&lt;=0,R160&lt;=0,S160&lt;0,T160&lt;=0,Y160=""),"错误:必填项",IF(D160="","警告:SKU待映射","OK"))))</x:f>
        <x:v>OK</x:v>
      </x:c>
    </x:row>
    <x:row r="161" ht="52.79999923706055" hidden="1" customHeight="1">
      <x:c r="A161" s="2" t="str">
        <x:v>COST-DIMENSIO-R85-720-SEC-VID</x:v>
      </x:c>
      <x:c r="B161" s="2" t="str">
        <x:v>CH-DIMENSIO</x:v>
      </x:c>
      <x:c r="C161" s="2" t="str">
        <x:v>jimeng-video-seedance-2.0-vip</x:v>
      </x:c>
      <x:c r="D161" s="2" t="str">
        <x:v>SKU-SD20-STD-720</x:v>
      </x:c>
      <x:c r="E161" s="2" t="str">
        <x:v>with_video</x:v>
      </x:c>
      <x:c r="F161" s="2" t="str">
        <x:v>per_duration</x:v>
      </x:c>
      <x:c r="G161" s="2"/>
      <x:c r="H161" s="2" t="str">
        <x:v>validated_request</x:v>
      </x:c>
      <x:c r="I161" s="2" t="str">
        <x:v>billable_duration_seconds</x:v>
      </x:c>
      <x:c r="J161" s="2" t="str">
        <x:v>task_succeeded</x:v>
      </x:c>
      <x:c r="K161" s="2" t="str">
        <x:v>CNY</x:v>
      </x:c>
      <x:c r="L161" s="27"/>
      <x:c r="M161" s="27" t="n">
        <x:v>0.62</x:v>
      </x:c>
      <x:c r="N161" s="27"/>
      <x:c r="O161" s="26" t="n">
        <x:f t="shared" si="8">IF(F161="per_request",L161,IF(F161="per_duration",M161,IF(F161="per_token",N161,0)))</x:f>
        <x:v>0.62</x:v>
      </x:c>
      <x:c r="P161" s="27" t="n">
        <x:v>1</x:v>
      </x:c>
      <x:c r="Q161" s="27" t="n">
        <x:v>1</x:v>
      </x:c>
      <x:c r="R161" s="27" t="n">
        <x:v>1</x:v>
      </x:c>
      <x:c r="S161" s="27" t="n">
        <x:v>0</x:v>
      </x:c>
      <x:c r="T161" s="26" t="n">
        <x:f>IF(K161="USD",1,'参数'!$B$6)</x:f>
        <x:v>0.136986301369863</x:v>
      </x:c>
      <x:c r="U161" s="26" t="n">
        <x:f t="shared" si="9">O161*P161*Q161/R161*(1+S161)*T161</x:f>
        <x:v>0.08493150684931507</x:v>
      </x:c>
      <x:c r="V161" s="23" t="str">
        <x:f t="shared" si="10">IF(F161="per_request","USD/次",IF(F161="per_duration","USD/秒",IF(F161="per_token","USD/1M Token","")))</x:f>
        <x:v>USD/秒</x:v>
      </x:c>
      <x:c r="W161" s="20" t="n">
        <x:v>46229.393565162034</x:v>
      </x:c>
      <x:c r="X161" s="20"/>
      <x:c r="Y161" s="2" t="str">
        <x:v>active</x:v>
      </x:c>
      <x:c r="Z161" s="2" t="str">
        <x:v>SRC-CH-07</x:v>
      </x:c>
      <x:c r="AA161" s="7" t="str">
        <x:v>源行=sd!85；原模型=jimeng-video-seedance-2.0-vip；时长=4-15；比例=不限；视频输入=是；真人脸=否；超分=否；素材库=否；NSFW=否；协议=自有；素材限制=933；原表折扣 秒 含V=1.025（成本/官价参考比，不参与成本二次计算）；国际剪映URL</x:v>
      </x:c>
      <x:c r="AB161" s="23" t="str">
        <x:f t="shared" si="11">IF(A161="","",IF(COUNTIF($A$5:$A$1004,A161)&gt;1,"错误:重复成本规则ID",IF(OR(B161="",C161="",E161="",F161="",K161="",O161&lt;=0,P161&lt;=0,Q161&lt;=0,R161&lt;=0,S161&lt;0,T161&lt;=0,Y161=""),"错误:必填项",IF(D161="","警告:SKU待映射","OK"))))</x:f>
        <x:v>OK</x:v>
      </x:c>
    </x:row>
    <x:row r="162" ht="66" hidden="1" customHeight="1">
      <x:c r="A162" s="2" t="str">
        <x:v>COST-DIMENSIO-R86-1080-SEC-NOV</x:v>
      </x:c>
      <x:c r="B162" s="2" t="str">
        <x:v>CH-DIMENSIO</x:v>
      </x:c>
      <x:c r="C162" s="2" t="str">
        <x:v>jimeng-video-seedance-2.0-vip</x:v>
      </x:c>
      <x:c r="D162" s="2" t="str">
        <x:v>SKU-SD20-STD-1080</x:v>
      </x:c>
      <x:c r="E162" s="2" t="str">
        <x:v>no_video</x:v>
      </x:c>
      <x:c r="F162" s="2" t="str">
        <x:v>per_duration</x:v>
      </x:c>
      <x:c r="G162" s="2"/>
      <x:c r="H162" s="2" t="str">
        <x:v>validated_request</x:v>
      </x:c>
      <x:c r="I162" s="2" t="str">
        <x:v>billable_duration_seconds</x:v>
      </x:c>
      <x:c r="J162" s="2" t="str">
        <x:v>task_succeeded</x:v>
      </x:c>
      <x:c r="K162" s="2" t="str">
        <x:v>CNY</x:v>
      </x:c>
      <x:c r="L162" s="27"/>
      <x:c r="M162" s="27" t="n">
        <x:v>1.55</x:v>
      </x:c>
      <x:c r="N162" s="27"/>
      <x:c r="O162" s="26" t="n">
        <x:f t="shared" si="8">IF(F162="per_request",L162,IF(F162="per_duration",M162,IF(F162="per_token",N162,0)))</x:f>
        <x:v>1.55</x:v>
      </x:c>
      <x:c r="P162" s="27" t="n">
        <x:v>1</x:v>
      </x:c>
      <x:c r="Q162" s="27" t="n">
        <x:v>1</x:v>
      </x:c>
      <x:c r="R162" s="27" t="n">
        <x:v>1</x:v>
      </x:c>
      <x:c r="S162" s="27" t="n">
        <x:v>0</x:v>
      </x:c>
      <x:c r="T162" s="26" t="n">
        <x:f>IF(K162="USD",1,'参数'!$B$6)</x:f>
        <x:v>0.136986301369863</x:v>
      </x:c>
      <x:c r="U162" s="26" t="n">
        <x:f t="shared" si="9">O162*P162*Q162/R162*(1+S162)*T162</x:f>
        <x:v>0.21232876712328766</x:v>
      </x:c>
      <x:c r="V162" s="23" t="str">
        <x:f t="shared" si="10">IF(F162="per_request","USD/次",IF(F162="per_duration","USD/秒",IF(F162="per_token","USD/1M Token","")))</x:f>
        <x:v>USD/秒</x:v>
      </x:c>
      <x:c r="W162" s="20" t="n">
        <x:v>46229.393565162034</x:v>
      </x:c>
      <x:c r="X162" s="20"/>
      <x:c r="Y162" s="2" t="str">
        <x:v>active</x:v>
      </x:c>
      <x:c r="Z162" s="2" t="str">
        <x:v>SRC-CH-07</x:v>
      </x:c>
      <x:c r="AA162" s="7" t="str">
        <x:v>源行=sd!86；原模型=jimeng-video-seedance-2.0-vip；时长=4-15；比例=不限；视频输入=是；真人脸=否；超分=否；素材库=否；NSFW=否；协议=自有；素材限制=933；原表折扣 秒 无V=0.625（成本/官价参考比，不参与成本二次计算）；国际剪映URL</x:v>
      </x:c>
      <x:c r="AB162" s="23" t="str">
        <x:f t="shared" si="11">IF(A162="","",IF(COUNTIF($A$5:$A$1004,A162)&gt;1,"错误:重复成本规则ID",IF(OR(B162="",C162="",E162="",F162="",K162="",O162&lt;=0,P162&lt;=0,Q162&lt;=0,R162&lt;=0,S162&lt;0,T162&lt;=0,Y162=""),"错误:必填项",IF(D162="","警告:SKU待映射","OK"))))</x:f>
        <x:v>OK</x:v>
      </x:c>
    </x:row>
    <x:row r="163" ht="66" hidden="1" customHeight="1">
      <x:c r="A163" s="2" t="str">
        <x:v>COST-DIMENSIO-R86-1080-SEC-VID</x:v>
      </x:c>
      <x:c r="B163" s="2" t="str">
        <x:v>CH-DIMENSIO</x:v>
      </x:c>
      <x:c r="C163" s="2" t="str">
        <x:v>jimeng-video-seedance-2.0-vip</x:v>
      </x:c>
      <x:c r="D163" s="2" t="str">
        <x:v>SKU-SD20-STD-1080</x:v>
      </x:c>
      <x:c r="E163" s="2" t="str">
        <x:v>with_video</x:v>
      </x:c>
      <x:c r="F163" s="2" t="str">
        <x:v>per_duration</x:v>
      </x:c>
      <x:c r="G163" s="2"/>
      <x:c r="H163" s="2" t="str">
        <x:v>validated_request</x:v>
      </x:c>
      <x:c r="I163" s="2" t="str">
        <x:v>billable_duration_seconds</x:v>
      </x:c>
      <x:c r="J163" s="2" t="str">
        <x:v>task_succeeded</x:v>
      </x:c>
      <x:c r="K163" s="2" t="str">
        <x:v>CNY</x:v>
      </x:c>
      <x:c r="L163" s="27"/>
      <x:c r="M163" s="27" t="n">
        <x:v>1.55</x:v>
      </x:c>
      <x:c r="N163" s="27"/>
      <x:c r="O163" s="26" t="n">
        <x:f t="shared" si="8">IF(F163="per_request",L163,IF(F163="per_duration",M163,IF(F163="per_token",N163,0)))</x:f>
        <x:v>1.55</x:v>
      </x:c>
      <x:c r="P163" s="27" t="n">
        <x:v>1</x:v>
      </x:c>
      <x:c r="Q163" s="27" t="n">
        <x:v>1</x:v>
      </x:c>
      <x:c r="R163" s="27" t="n">
        <x:v>1</x:v>
      </x:c>
      <x:c r="S163" s="27" t="n">
        <x:v>0</x:v>
      </x:c>
      <x:c r="T163" s="26" t="n">
        <x:f>IF(K163="USD",1,'参数'!$B$6)</x:f>
        <x:v>0.136986301369863</x:v>
      </x:c>
      <x:c r="U163" s="26" t="n">
        <x:f t="shared" si="9">O163*P163*Q163/R163*(1+S163)*T163</x:f>
        <x:v>0.21232876712328766</x:v>
      </x:c>
      <x:c r="V163" s="23" t="str">
        <x:f t="shared" si="10">IF(F163="per_request","USD/次",IF(F163="per_duration","USD/秒",IF(F163="per_token","USD/1M Token","")))</x:f>
        <x:v>USD/秒</x:v>
      </x:c>
      <x:c r="W163" s="20" t="n">
        <x:v>46229.393565162034</x:v>
      </x:c>
      <x:c r="X163" s="20"/>
      <x:c r="Y163" s="2" t="str">
        <x:v>active</x:v>
      </x:c>
      <x:c r="Z163" s="2" t="str">
        <x:v>SRC-CH-07</x:v>
      </x:c>
      <x:c r="AA163" s="7" t="str">
        <x:v>源行=sd!86；原模型=jimeng-video-seedance-2.0-vip；时长=4-15；比例=不限；视频输入=是；真人脸=否；超分=否；素材库=否；NSFW=否；协议=自有；素材限制=933；原表折扣 秒 含V=1.029（成本/官价参考比，不参与成本二次计算）；国际剪映URL</x:v>
      </x:c>
      <x:c r="AB163" s="23" t="str">
        <x:f t="shared" si="11">IF(A163="","",IF(COUNTIF($A$5:$A$1004,A163)&gt;1,"错误:重复成本规则ID",IF(OR(B163="",C163="",E163="",F163="",K163="",O163&lt;=0,P163&lt;=0,Q163&lt;=0,R163&lt;=0,S163&lt;0,T163&lt;=0,Y163=""),"错误:必填项",IF(D163="","警告:SKU待映射","OK"))))</x:f>
        <x:v>OK</x:v>
      </x:c>
    </x:row>
    <x:row r="164" ht="66" hidden="1" customHeight="1">
      <x:c r="A164" s="2" t="str">
        <x:v>COST-DIMENSIO-R87-480-SEC-NOV</x:v>
      </x:c>
      <x:c r="B164" s="2" t="str">
        <x:v>CH-DIMENSIO</x:v>
      </x:c>
      <x:c r="C164" s="2" t="str">
        <x:v>dimensio-seedance-2.0</x:v>
      </x:c>
      <x:c r="D164" s="2" t="str">
        <x:v>SKU-SD20-STD-480</x:v>
      </x:c>
      <x:c r="E164" s="2" t="str">
        <x:v>no_video</x:v>
      </x:c>
      <x:c r="F164" s="2" t="str">
        <x:v>per_duration</x:v>
      </x:c>
      <x:c r="G164" s="2"/>
      <x:c r="H164" s="2" t="str">
        <x:v>validated_request</x:v>
      </x:c>
      <x:c r="I164" s="2" t="str">
        <x:v>billable_duration_seconds</x:v>
      </x:c>
      <x:c r="J164" s="2" t="str">
        <x:v>task_succeeded</x:v>
      </x:c>
      <x:c r="K164" s="2" t="str">
        <x:v>CNY</x:v>
      </x:c>
      <x:c r="L164" s="27"/>
      <x:c r="M164" s="27" t="n">
        <x:v>0.2</x:v>
      </x:c>
      <x:c r="N164" s="27"/>
      <x:c r="O164" s="26" t="n">
        <x:f t="shared" si="8">IF(F164="per_request",L164,IF(F164="per_duration",M164,IF(F164="per_token",N164,0)))</x:f>
        <x:v>0.2</x:v>
      </x:c>
      <x:c r="P164" s="27" t="n">
        <x:v>1</x:v>
      </x:c>
      <x:c r="Q164" s="27" t="n">
        <x:v>1</x:v>
      </x:c>
      <x:c r="R164" s="27" t="n">
        <x:v>1</x:v>
      </x:c>
      <x:c r="S164" s="27" t="n">
        <x:v>0</x:v>
      </x:c>
      <x:c r="T164" s="26" t="n">
        <x:f>IF(K164="USD",1,'参数'!$B$6)</x:f>
        <x:v>0.136986301369863</x:v>
      </x:c>
      <x:c r="U164" s="26" t="n">
        <x:f t="shared" si="9">O164*P164*Q164/R164*(1+S164)*T164</x:f>
        <x:v>0.0273972602739726</x:v>
      </x:c>
      <x:c r="V164" s="23" t="str">
        <x:f t="shared" si="10">IF(F164="per_request","USD/次",IF(F164="per_duration","USD/秒",IF(F164="per_token","USD/1M Token","")))</x:f>
        <x:v>USD/秒</x:v>
      </x:c>
      <x:c r="W164" s="20" t="n">
        <x:v>46229.393565162034</x:v>
      </x:c>
      <x:c r="X164" s="20"/>
      <x:c r="Y164" s="2" t="str">
        <x:v>draft</x:v>
      </x:c>
      <x:c r="Z164" s="2" t="str">
        <x:v>SRC-CH-07</x:v>
      </x:c>
      <x:c r="AA164" s="7" t="str">
        <x:v>源行=sd!87；原模型=dimensio-seedance-2.0；时长=4-15；比例=不限；视频输入=是；真人脸=否；超分=否；素材库=否；NSFW=否；协议=自有；素材限制=933；原表折扣 秒 无V=0.433（成本/官价参考比，不参与成本二次计算）；原表状态为空，已导入为draft；国际剪映URL</x:v>
      </x:c>
      <x:c r="AB164" s="23" t="str">
        <x:f t="shared" si="11">IF(A164="","",IF(COUNTIF($A$5:$A$1004,A164)&gt;1,"错误:重复成本规则ID",IF(OR(B164="",C164="",E164="",F164="",K164="",O164&lt;=0,P164&lt;=0,Q164&lt;=0,R164&lt;=0,S164&lt;0,T164&lt;=0,Y164=""),"错误:必填项",IF(D164="","警告:SKU待映射","OK"))))</x:f>
        <x:v>OK</x:v>
      </x:c>
    </x:row>
    <x:row r="165" ht="66" hidden="1" customHeight="1">
      <x:c r="A165" s="2" t="str">
        <x:v>COST-DIMENSIO-R87-480-SEC-VID</x:v>
      </x:c>
      <x:c r="B165" s="2" t="str">
        <x:v>CH-DIMENSIO</x:v>
      </x:c>
      <x:c r="C165" s="2" t="str">
        <x:v>dimensio-seedance-2.0</x:v>
      </x:c>
      <x:c r="D165" s="2" t="str">
        <x:v>SKU-SD20-STD-480</x:v>
      </x:c>
      <x:c r="E165" s="2" t="str">
        <x:v>with_video</x:v>
      </x:c>
      <x:c r="F165" s="2" t="str">
        <x:v>per_duration</x:v>
      </x:c>
      <x:c r="G165" s="2"/>
      <x:c r="H165" s="2" t="str">
        <x:v>validated_request</x:v>
      </x:c>
      <x:c r="I165" s="2" t="str">
        <x:v>billable_duration_seconds</x:v>
      </x:c>
      <x:c r="J165" s="2" t="str">
        <x:v>task_succeeded</x:v>
      </x:c>
      <x:c r="K165" s="2" t="str">
        <x:v>CNY</x:v>
      </x:c>
      <x:c r="L165" s="27"/>
      <x:c r="M165" s="27" t="n">
        <x:v>0.2</x:v>
      </x:c>
      <x:c r="N165" s="27"/>
      <x:c r="O165" s="26" t="n">
        <x:f t="shared" si="8">IF(F165="per_request",L165,IF(F165="per_duration",M165,IF(F165="per_token",N165,0)))</x:f>
        <x:v>0.2</x:v>
      </x:c>
      <x:c r="P165" s="27" t="n">
        <x:v>1</x:v>
      </x:c>
      <x:c r="Q165" s="27" t="n">
        <x:v>1</x:v>
      </x:c>
      <x:c r="R165" s="27" t="n">
        <x:v>1</x:v>
      </x:c>
      <x:c r="S165" s="27" t="n">
        <x:v>0</x:v>
      </x:c>
      <x:c r="T165" s="26" t="n">
        <x:f>IF(K165="USD",1,'参数'!$B$6)</x:f>
        <x:v>0.136986301369863</x:v>
      </x:c>
      <x:c r="U165" s="26" t="n">
        <x:f t="shared" si="9">O165*P165*Q165/R165*(1+S165)*T165</x:f>
        <x:v>0.0273972602739726</x:v>
      </x:c>
      <x:c r="V165" s="23" t="str">
        <x:f t="shared" si="10">IF(F165="per_request","USD/次",IF(F165="per_duration","USD/秒",IF(F165="per_token","USD/1M Token","")))</x:f>
        <x:v>USD/秒</x:v>
      </x:c>
      <x:c r="W165" s="20" t="n">
        <x:v>46229.393565162034</x:v>
      </x:c>
      <x:c r="X165" s="20"/>
      <x:c r="Y165" s="2" t="str">
        <x:v>draft</x:v>
      </x:c>
      <x:c r="Z165" s="2" t="str">
        <x:v>SRC-CH-07</x:v>
      </x:c>
      <x:c r="AA165" s="7" t="str">
        <x:v>源行=sd!87；原模型=dimensio-seedance-2.0；时长=4-15；比例=不限；视频输入=是；真人脸=否；超分=否；素材库=否；NSFW=否；协议=自有；素材限制=933；原表折扣 秒 含V=0.712（成本/官价参考比，不参与成本二次计算）；原表状态为空，已导入为draft；国际剪映URL</x:v>
      </x:c>
      <x:c r="AB165" s="23" t="str">
        <x:f t="shared" si="11">IF(A165="","",IF(COUNTIF($A$5:$A$1004,A165)&gt;1,"错误:重复成本规则ID",IF(OR(B165="",C165="",E165="",F165="",K165="",O165&lt;=0,P165&lt;=0,Q165&lt;=0,R165&lt;=0,S165&lt;0,T165&lt;=0,Y165=""),"错误:必填项",IF(D165="","警告:SKU待映射","OK"))))</x:f>
        <x:v>OK</x:v>
      </x:c>
    </x:row>
    <x:row r="166" ht="66" hidden="1" customHeight="1">
      <x:c r="A166" s="2" t="str">
        <x:v>COST-DIMENSIO-R88-720-SEC-NOV</x:v>
      </x:c>
      <x:c r="B166" s="2" t="str">
        <x:v>CH-DIMENSIO</x:v>
      </x:c>
      <x:c r="C166" s="2" t="str">
        <x:v>dimensio-seedance-2.0</x:v>
      </x:c>
      <x:c r="D166" s="2" t="str">
        <x:v>SKU-SD20-STD-720</x:v>
      </x:c>
      <x:c r="E166" s="2" t="str">
        <x:v>no_video</x:v>
      </x:c>
      <x:c r="F166" s="2" t="str">
        <x:v>per_duration</x:v>
      </x:c>
      <x:c r="G166" s="2"/>
      <x:c r="H166" s="2" t="str">
        <x:v>validated_request</x:v>
      </x:c>
      <x:c r="I166" s="2" t="str">
        <x:v>billable_duration_seconds</x:v>
      </x:c>
      <x:c r="J166" s="2" t="str">
        <x:v>task_succeeded</x:v>
      </x:c>
      <x:c r="K166" s="2" t="str">
        <x:v>CNY</x:v>
      </x:c>
      <x:c r="L166" s="27"/>
      <x:c r="M166" s="27" t="n">
        <x:v>0.4</x:v>
      </x:c>
      <x:c r="N166" s="27"/>
      <x:c r="O166" s="26" t="n">
        <x:f t="shared" si="8">IF(F166="per_request",L166,IF(F166="per_duration",M166,IF(F166="per_token",N166,0)))</x:f>
        <x:v>0.4</x:v>
      </x:c>
      <x:c r="P166" s="27" t="n">
        <x:v>1</x:v>
      </x:c>
      <x:c r="Q166" s="27" t="n">
        <x:v>1</x:v>
      </x:c>
      <x:c r="R166" s="27" t="n">
        <x:v>1</x:v>
      </x:c>
      <x:c r="S166" s="27" t="n">
        <x:v>0</x:v>
      </x:c>
      <x:c r="T166" s="26" t="n">
        <x:f>IF(K166="USD",1,'参数'!$B$6)</x:f>
        <x:v>0.136986301369863</x:v>
      </x:c>
      <x:c r="U166" s="26" t="n">
        <x:f t="shared" si="9">O166*P166*Q166/R166*(1+S166)*T166</x:f>
        <x:v>0.0547945205479452</x:v>
      </x:c>
      <x:c r="V166" s="23" t="str">
        <x:f t="shared" si="10">IF(F166="per_request","USD/次",IF(F166="per_duration","USD/秒",IF(F166="per_token","USD/1M Token","")))</x:f>
        <x:v>USD/秒</x:v>
      </x:c>
      <x:c r="W166" s="20" t="n">
        <x:v>46229.393565162034</x:v>
      </x:c>
      <x:c r="X166" s="20"/>
      <x:c r="Y166" s="2" t="str">
        <x:v>draft</x:v>
      </x:c>
      <x:c r="Z166" s="2" t="str">
        <x:v>SRC-CH-07</x:v>
      </x:c>
      <x:c r="AA166" s="7" t="str">
        <x:v>源行=sd!88；原模型=dimensio-seedance-2.0；时长=4-15；比例=不限；视频输入=是；真人脸=否；超分=否；素材库=否；NSFW=否；协议=自有；素材限制=933；原表折扣 秒 无V=0.402（成本/官价参考比，不参与成本二次计算）；原表状态为空，已导入为draft；国际剪映URL</x:v>
      </x:c>
      <x:c r="AB166" s="23" t="str">
        <x:f t="shared" si="11">IF(A166="","",IF(COUNTIF($A$5:$A$1004,A166)&gt;1,"错误:重复成本规则ID",IF(OR(B166="",C166="",E166="",F166="",K166="",O166&lt;=0,P166&lt;=0,Q166&lt;=0,R166&lt;=0,S166&lt;0,T166&lt;=0,Y166=""),"错误:必填项",IF(D166="","警告:SKU待映射","OK"))))</x:f>
        <x:v>OK</x:v>
      </x:c>
    </x:row>
    <x:row r="167" ht="66" hidden="1" customHeight="1">
      <x:c r="A167" s="2" t="str">
        <x:v>COST-DIMENSIO-R88-720-SEC-VID</x:v>
      </x:c>
      <x:c r="B167" s="2" t="str">
        <x:v>CH-DIMENSIO</x:v>
      </x:c>
      <x:c r="C167" s="2" t="str">
        <x:v>dimensio-seedance-2.0</x:v>
      </x:c>
      <x:c r="D167" s="2" t="str">
        <x:v>SKU-SD20-STD-720</x:v>
      </x:c>
      <x:c r="E167" s="2" t="str">
        <x:v>with_video</x:v>
      </x:c>
      <x:c r="F167" s="2" t="str">
        <x:v>per_duration</x:v>
      </x:c>
      <x:c r="G167" s="2"/>
      <x:c r="H167" s="2" t="str">
        <x:v>validated_request</x:v>
      </x:c>
      <x:c r="I167" s="2" t="str">
        <x:v>billable_duration_seconds</x:v>
      </x:c>
      <x:c r="J167" s="2" t="str">
        <x:v>task_succeeded</x:v>
      </x:c>
      <x:c r="K167" s="2" t="str">
        <x:v>CNY</x:v>
      </x:c>
      <x:c r="L167" s="27"/>
      <x:c r="M167" s="27" t="n">
        <x:v>0.4</x:v>
      </x:c>
      <x:c r="N167" s="27"/>
      <x:c r="O167" s="26" t="n">
        <x:f t="shared" si="8">IF(F167="per_request",L167,IF(F167="per_duration",M167,IF(F167="per_token",N167,0)))</x:f>
        <x:v>0.4</x:v>
      </x:c>
      <x:c r="P167" s="27" t="n">
        <x:v>1</x:v>
      </x:c>
      <x:c r="Q167" s="27" t="n">
        <x:v>1</x:v>
      </x:c>
      <x:c r="R167" s="27" t="n">
        <x:v>1</x:v>
      </x:c>
      <x:c r="S167" s="27" t="n">
        <x:v>0</x:v>
      </x:c>
      <x:c r="T167" s="26" t="n">
        <x:f>IF(K167="USD",1,'参数'!$B$6)</x:f>
        <x:v>0.136986301369863</x:v>
      </x:c>
      <x:c r="U167" s="26" t="n">
        <x:f t="shared" si="9">O167*P167*Q167/R167*(1+S167)*T167</x:f>
        <x:v>0.0547945205479452</x:v>
      </x:c>
      <x:c r="V167" s="23" t="str">
        <x:f t="shared" si="10">IF(F167="per_request","USD/次",IF(F167="per_duration","USD/秒",IF(F167="per_token","USD/1M Token","")))</x:f>
        <x:v>USD/秒</x:v>
      </x:c>
      <x:c r="W167" s="20" t="n">
        <x:v>46229.393565162034</x:v>
      </x:c>
      <x:c r="X167" s="20"/>
      <x:c r="Y167" s="2" t="str">
        <x:v>draft</x:v>
      </x:c>
      <x:c r="Z167" s="2" t="str">
        <x:v>SRC-CH-07</x:v>
      </x:c>
      <x:c r="AA167" s="7" t="str">
        <x:v>源行=sd!88；原模型=dimensio-seedance-2.0；时长=4-15；比例=不限；视频输入=是；真人脸=否；超分=否；素材库=否；NSFW=否；协议=自有；素材限制=933；原表折扣 秒 含V=0.661（成本/官价参考比，不参与成本二次计算）；原表状态为空，已导入为draft；国际剪映URL</x:v>
      </x:c>
      <x:c r="AB167" s="23" t="str">
        <x:f t="shared" si="11">IF(A167="","",IF(COUNTIF($A$5:$A$1004,A167)&gt;1,"错误:重复成本规则ID",IF(OR(B167="",C167="",E167="",F167="",K167="",O167&lt;=0,P167&lt;=0,Q167&lt;=0,R167&lt;=0,S167&lt;0,T167&lt;=0,Y167=""),"错误:必填项",IF(D167="","警告:SKU待映射","OK"))))</x:f>
        <x:v>OK</x:v>
      </x:c>
    </x:row>
    <x:row r="168" ht="66" hidden="1" customHeight="1">
      <x:c r="A168" s="2" t="str">
        <x:v>COST-DIMENSIO-R89-1080-SEC-NOV</x:v>
      </x:c>
      <x:c r="B168" s="2" t="str">
        <x:v>CH-DIMENSIO</x:v>
      </x:c>
      <x:c r="C168" s="2" t="str">
        <x:v>dimensio-seedance-2.0</x:v>
      </x:c>
      <x:c r="D168" s="2" t="str">
        <x:v>SKU-SD20-STD-1080</x:v>
      </x:c>
      <x:c r="E168" s="2" t="str">
        <x:v>no_video</x:v>
      </x:c>
      <x:c r="F168" s="2" t="str">
        <x:v>per_duration</x:v>
      </x:c>
      <x:c r="G168" s="2"/>
      <x:c r="H168" s="2" t="str">
        <x:v>validated_request</x:v>
      </x:c>
      <x:c r="I168" s="2" t="str">
        <x:v>billable_duration_seconds</x:v>
      </x:c>
      <x:c r="J168" s="2" t="str">
        <x:v>task_succeeded</x:v>
      </x:c>
      <x:c r="K168" s="2" t="str">
        <x:v>CNY</x:v>
      </x:c>
      <x:c r="L168" s="27"/>
      <x:c r="M168" s="27" t="n">
        <x:v>0.85</x:v>
      </x:c>
      <x:c r="N168" s="27"/>
      <x:c r="O168" s="26" t="n">
        <x:f t="shared" si="8">IF(F168="per_request",L168,IF(F168="per_duration",M168,IF(F168="per_token",N168,0)))</x:f>
        <x:v>0.85</x:v>
      </x:c>
      <x:c r="P168" s="27" t="n">
        <x:v>1</x:v>
      </x:c>
      <x:c r="Q168" s="27" t="n">
        <x:v>1</x:v>
      </x:c>
      <x:c r="R168" s="27" t="n">
        <x:v>1</x:v>
      </x:c>
      <x:c r="S168" s="27" t="n">
        <x:v>0</x:v>
      </x:c>
      <x:c r="T168" s="26" t="n">
        <x:f>IF(K168="USD",1,'参数'!$B$6)</x:f>
        <x:v>0.136986301369863</x:v>
      </x:c>
      <x:c r="U168" s="26" t="n">
        <x:f t="shared" si="9">O168*P168*Q168/R168*(1+S168)*T168</x:f>
        <x:v>0.11643835616438356</x:v>
      </x:c>
      <x:c r="V168" s="23" t="str">
        <x:f t="shared" si="10">IF(F168="per_request","USD/次",IF(F168="per_duration","USD/秒",IF(F168="per_token","USD/1M Token","")))</x:f>
        <x:v>USD/秒</x:v>
      </x:c>
      <x:c r="W168" s="20" t="n">
        <x:v>46229.393565162034</x:v>
      </x:c>
      <x:c r="X168" s="20"/>
      <x:c r="Y168" s="2" t="str">
        <x:v>draft</x:v>
      </x:c>
      <x:c r="Z168" s="2" t="str">
        <x:v>SRC-CH-07</x:v>
      </x:c>
      <x:c r="AA168" s="7" t="str">
        <x:v>源行=sd!89；原模型=dimensio-seedance-2.0；时长=4-15；比例=不限；视频输入=是；真人脸=否；超分=否；素材库=否；NSFW=否；协议=自有；素材限制=933；原表折扣 秒 无V=0.343（成本/官价参考比，不参与成本二次计算）；原表状态为空，已导入为draft；国际剪映URL</x:v>
      </x:c>
      <x:c r="AB168" s="23" t="str">
        <x:f t="shared" si="11">IF(A168="","",IF(COUNTIF($A$5:$A$1004,A168)&gt;1,"错误:重复成本规则ID",IF(OR(B168="",C168="",E168="",F168="",K168="",O168&lt;=0,P168&lt;=0,Q168&lt;=0,R168&lt;=0,S168&lt;0,T168&lt;=0,Y168=""),"错误:必填项",IF(D168="","警告:SKU待映射","OK"))))</x:f>
        <x:v>OK</x:v>
      </x:c>
    </x:row>
    <x:row r="169" ht="66" hidden="1" customHeight="1">
      <x:c r="A169" s="2" t="str">
        <x:v>COST-DIMENSIO-R89-1080-SEC-VID</x:v>
      </x:c>
      <x:c r="B169" s="2" t="str">
        <x:v>CH-DIMENSIO</x:v>
      </x:c>
      <x:c r="C169" s="2" t="str">
        <x:v>dimensio-seedance-2.0</x:v>
      </x:c>
      <x:c r="D169" s="2" t="str">
        <x:v>SKU-SD20-STD-1080</x:v>
      </x:c>
      <x:c r="E169" s="2" t="str">
        <x:v>with_video</x:v>
      </x:c>
      <x:c r="F169" s="2" t="str">
        <x:v>per_duration</x:v>
      </x:c>
      <x:c r="G169" s="2"/>
      <x:c r="H169" s="2" t="str">
        <x:v>validated_request</x:v>
      </x:c>
      <x:c r="I169" s="2" t="str">
        <x:v>billable_duration_seconds</x:v>
      </x:c>
      <x:c r="J169" s="2" t="str">
        <x:v>task_succeeded</x:v>
      </x:c>
      <x:c r="K169" s="2" t="str">
        <x:v>CNY</x:v>
      </x:c>
      <x:c r="L169" s="27"/>
      <x:c r="M169" s="27" t="n">
        <x:v>0.85</x:v>
      </x:c>
      <x:c r="N169" s="27"/>
      <x:c r="O169" s="26" t="n">
        <x:f t="shared" si="8">IF(F169="per_request",L169,IF(F169="per_duration",M169,IF(F169="per_token",N169,0)))</x:f>
        <x:v>0.85</x:v>
      </x:c>
      <x:c r="P169" s="27" t="n">
        <x:v>1</x:v>
      </x:c>
      <x:c r="Q169" s="27" t="n">
        <x:v>1</x:v>
      </x:c>
      <x:c r="R169" s="27" t="n">
        <x:v>1</x:v>
      </x:c>
      <x:c r="S169" s="27" t="n">
        <x:v>0</x:v>
      </x:c>
      <x:c r="T169" s="26" t="n">
        <x:f>IF(K169="USD",1,'参数'!$B$6)</x:f>
        <x:v>0.136986301369863</x:v>
      </x:c>
      <x:c r="U169" s="26" t="n">
        <x:f t="shared" si="9">O169*P169*Q169/R169*(1+S169)*T169</x:f>
        <x:v>0.11643835616438356</x:v>
      </x:c>
      <x:c r="V169" s="23" t="str">
        <x:f t="shared" si="10">IF(F169="per_request","USD/次",IF(F169="per_duration","USD/秒",IF(F169="per_token","USD/1M Token","")))</x:f>
        <x:v>USD/秒</x:v>
      </x:c>
      <x:c r="W169" s="20" t="n">
        <x:v>46229.393565162034</x:v>
      </x:c>
      <x:c r="X169" s="20"/>
      <x:c r="Y169" s="2" t="str">
        <x:v>draft</x:v>
      </x:c>
      <x:c r="Z169" s="2" t="str">
        <x:v>SRC-CH-07</x:v>
      </x:c>
      <x:c r="AA169" s="7" t="str">
        <x:v>源行=sd!89；原模型=dimensio-seedance-2.0；时长=4-15；比例=不限；视频输入=是；真人脸=否；超分=否；素材库=否；NSFW=否；协议=自有；素材限制=933；原表折扣 秒 含V=0.564（成本/官价参考比，不参与成本二次计算）；原表状态为空，已导入为draft；国际剪映URL</x:v>
      </x:c>
      <x:c r="AB169" s="23" t="str">
        <x:f t="shared" si="11">IF(A169="","",IF(COUNTIF($A$5:$A$1004,A169)&gt;1,"错误:重复成本规则ID",IF(OR(B169="",C169="",E169="",F169="",K169="",O169&lt;=0,P169&lt;=0,Q169&lt;=0,R169&lt;=0,S169&lt;0,T169&lt;=0,Y169=""),"错误:必填项",IF(D169="","警告:SKU待映射","OK"))))</x:f>
        <x:v>OK</x:v>
      </x:c>
    </x:row>
    <x:row r="170" ht="66" hidden="1" customHeight="1">
      <x:c r="A170" s="2" t="str">
        <x:v>COST-DIMENSIO-R90-4K-SEC-NOV</x:v>
      </x:c>
      <x:c r="B170" s="2" t="str">
        <x:v>CH-DIMENSIO</x:v>
      </x:c>
      <x:c r="C170" s="2" t="str">
        <x:v>dimensio-seedance-2.0</x:v>
      </x:c>
      <x:c r="D170" s="2" t="str">
        <x:v>SKU-SD20-STD-4K</x:v>
      </x:c>
      <x:c r="E170" s="2" t="str">
        <x:v>no_video</x:v>
      </x:c>
      <x:c r="F170" s="2" t="str">
        <x:v>per_duration</x:v>
      </x:c>
      <x:c r="G170" s="2"/>
      <x:c r="H170" s="2" t="str">
        <x:v>validated_request</x:v>
      </x:c>
      <x:c r="I170" s="2" t="str">
        <x:v>billable_duration_seconds</x:v>
      </x:c>
      <x:c r="J170" s="2" t="str">
        <x:v>task_succeeded</x:v>
      </x:c>
      <x:c r="K170" s="2" t="str">
        <x:v>CNY</x:v>
      </x:c>
      <x:c r="L170" s="27"/>
      <x:c r="M170" s="27" t="n">
        <x:v>2</x:v>
      </x:c>
      <x:c r="N170" s="27"/>
      <x:c r="O170" s="26" t="n">
        <x:f t="shared" si="8">IF(F170="per_request",L170,IF(F170="per_duration",M170,IF(F170="per_token",N170,0)))</x:f>
        <x:v>2</x:v>
      </x:c>
      <x:c r="P170" s="27" t="n">
        <x:v>1</x:v>
      </x:c>
      <x:c r="Q170" s="27" t="n">
        <x:v>1</x:v>
      </x:c>
      <x:c r="R170" s="27" t="n">
        <x:v>1</x:v>
      </x:c>
      <x:c r="S170" s="27" t="n">
        <x:v>0</x:v>
      </x:c>
      <x:c r="T170" s="26" t="n">
        <x:f>IF(K170="USD",1,'参数'!$B$6)</x:f>
        <x:v>0.136986301369863</x:v>
      </x:c>
      <x:c r="U170" s="26" t="n">
        <x:f t="shared" si="9">O170*P170*Q170/R170*(1+S170)*T170</x:f>
        <x:v>0.273972602739726</x:v>
      </x:c>
      <x:c r="V170" s="23" t="str">
        <x:f t="shared" si="10">IF(F170="per_request","USD/次",IF(F170="per_duration","USD/秒",IF(F170="per_token","USD/1M Token","")))</x:f>
        <x:v>USD/秒</x:v>
      </x:c>
      <x:c r="W170" s="20" t="n">
        <x:v>46229.393565162034</x:v>
      </x:c>
      <x:c r="X170" s="20"/>
      <x:c r="Y170" s="2" t="str">
        <x:v>draft</x:v>
      </x:c>
      <x:c r="Z170" s="2" t="str">
        <x:v>SRC-CH-07</x:v>
      </x:c>
      <x:c r="AA170" s="7" t="str">
        <x:v>源行=sd!90；原模型=dimensio-seedance-2.0；时长=4-15；比例=不限；视频输入=是；真人脸=否；超分=否；素材库=否；NSFW=否；协议=自有；素材限制=933；原表折扣 秒 无V=0.396（成本/官价参考比，不参与成本二次计算）；原表状态为空，已导入为draft；国际剪映URL</x:v>
      </x:c>
      <x:c r="AB170" s="23" t="str">
        <x:f t="shared" si="11">IF(A170="","",IF(COUNTIF($A$5:$A$1004,A170)&gt;1,"错误:重复成本规则ID",IF(OR(B170="",C170="",E170="",F170="",K170="",O170&lt;=0,P170&lt;=0,Q170&lt;=0,R170&lt;=0,S170&lt;0,T170&lt;=0,Y170=""),"错误:必填项",IF(D170="","警告:SKU待映射","OK"))))</x:f>
        <x:v>OK</x:v>
      </x:c>
    </x:row>
    <x:row r="171" ht="66" hidden="1" customHeight="1">
      <x:c r="A171" s="2" t="str">
        <x:v>COST-DIMENSIO-R90-4K-SEC-VID</x:v>
      </x:c>
      <x:c r="B171" s="2" t="str">
        <x:v>CH-DIMENSIO</x:v>
      </x:c>
      <x:c r="C171" s="2" t="str">
        <x:v>dimensio-seedance-2.0</x:v>
      </x:c>
      <x:c r="D171" s="2" t="str">
        <x:v>SKU-SD20-STD-4K</x:v>
      </x:c>
      <x:c r="E171" s="2" t="str">
        <x:v>with_video</x:v>
      </x:c>
      <x:c r="F171" s="2" t="str">
        <x:v>per_duration</x:v>
      </x:c>
      <x:c r="G171" s="2"/>
      <x:c r="H171" s="2" t="str">
        <x:v>validated_request</x:v>
      </x:c>
      <x:c r="I171" s="2" t="str">
        <x:v>billable_duration_seconds</x:v>
      </x:c>
      <x:c r="J171" s="2" t="str">
        <x:v>task_succeeded</x:v>
      </x:c>
      <x:c r="K171" s="2" t="str">
        <x:v>CNY</x:v>
      </x:c>
      <x:c r="L171" s="27"/>
      <x:c r="M171" s="27" t="n">
        <x:v>2</x:v>
      </x:c>
      <x:c r="N171" s="27"/>
      <x:c r="O171" s="26" t="n">
        <x:f t="shared" si="8">IF(F171="per_request",L171,IF(F171="per_duration",M171,IF(F171="per_token",N171,0)))</x:f>
        <x:v>2</x:v>
      </x:c>
      <x:c r="P171" s="27" t="n">
        <x:v>1</x:v>
      </x:c>
      <x:c r="Q171" s="27" t="n">
        <x:v>1</x:v>
      </x:c>
      <x:c r="R171" s="27" t="n">
        <x:v>1</x:v>
      </x:c>
      <x:c r="S171" s="27" t="n">
        <x:v>0</x:v>
      </x:c>
      <x:c r="T171" s="26" t="n">
        <x:f>IF(K171="USD",1,'参数'!$B$6)</x:f>
        <x:v>0.136986301369863</x:v>
      </x:c>
      <x:c r="U171" s="26" t="n">
        <x:f t="shared" si="9">O171*P171*Q171/R171*(1+S171)*T171</x:f>
        <x:v>0.273972602739726</x:v>
      </x:c>
      <x:c r="V171" s="23" t="str">
        <x:f t="shared" si="10">IF(F171="per_request","USD/次",IF(F171="per_duration","USD/秒",IF(F171="per_token","USD/1M Token","")))</x:f>
        <x:v>USD/秒</x:v>
      </x:c>
      <x:c r="W171" s="20" t="n">
        <x:v>46229.393565162034</x:v>
      </x:c>
      <x:c r="X171" s="20"/>
      <x:c r="Y171" s="2" t="str">
        <x:v>draft</x:v>
      </x:c>
      <x:c r="Z171" s="2" t="str">
        <x:v>SRC-CH-07</x:v>
      </x:c>
      <x:c r="AA171" s="7" t="str">
        <x:v>源行=sd!90；原模型=dimensio-seedance-2.0；时长=4-15；比例=不限；视频输入=是；真人脸=否；超分=否；素材库=否；NSFW=否；协议=自有；素材限制=933；原表折扣 秒 含V=0.643（成本/官价参考比，不参与成本二次计算）；原表状态为空，已导入为draft；国际剪映URL</x:v>
      </x:c>
      <x:c r="AB171" s="23" t="str">
        <x:f t="shared" si="11">IF(A171="","",IF(COUNTIF($A$5:$A$1004,A171)&gt;1,"错误:重复成本规则ID",IF(OR(B171="",C171="",E171="",F171="",K171="",O171&lt;=0,P171&lt;=0,Q171&lt;=0,R171&lt;=0,S171&lt;0,T171&lt;=0,Y171=""),"错误:必填项",IF(D171="","警告:SKU待映射","OK"))))</x:f>
        <x:v>OK</x:v>
      </x:c>
    </x:row>
    <x:row r="172" ht="66" hidden="1" customHeight="1">
      <x:c r="A172" s="2" t="str">
        <x:v>COST-DIMENSIO-R91-480-SEC-NOV</x:v>
      </x:c>
      <x:c r="B172" s="2" t="str">
        <x:v>CH-DIMENSIO</x:v>
      </x:c>
      <x:c r="C172" s="2" t="str">
        <x:v>dimensio-seedance-2.0-fast</x:v>
      </x:c>
      <x:c r="D172" s="2" t="str">
        <x:v>SKU-SD20-FAST-480</x:v>
      </x:c>
      <x:c r="E172" s="2" t="str">
        <x:v>no_video</x:v>
      </x:c>
      <x:c r="F172" s="2" t="str">
        <x:v>per_duration</x:v>
      </x:c>
      <x:c r="G172" s="2"/>
      <x:c r="H172" s="2" t="str">
        <x:v>validated_request</x:v>
      </x:c>
      <x:c r="I172" s="2" t="str">
        <x:v>billable_duration_seconds</x:v>
      </x:c>
      <x:c r="J172" s="2" t="str">
        <x:v>task_succeeded</x:v>
      </x:c>
      <x:c r="K172" s="2" t="str">
        <x:v>CNY</x:v>
      </x:c>
      <x:c r="L172" s="27"/>
      <x:c r="M172" s="27" t="n">
        <x:v>0.15</x:v>
      </x:c>
      <x:c r="N172" s="27"/>
      <x:c r="O172" s="26" t="n">
        <x:f t="shared" si="8">IF(F172="per_request",L172,IF(F172="per_duration",M172,IF(F172="per_token",N172,0)))</x:f>
        <x:v>0.15</x:v>
      </x:c>
      <x:c r="P172" s="27" t="n">
        <x:v>1</x:v>
      </x:c>
      <x:c r="Q172" s="27" t="n">
        <x:v>1</x:v>
      </x:c>
      <x:c r="R172" s="27" t="n">
        <x:v>1</x:v>
      </x:c>
      <x:c r="S172" s="27" t="n">
        <x:v>0</x:v>
      </x:c>
      <x:c r="T172" s="26" t="n">
        <x:f>IF(K172="USD",1,'参数'!$B$6)</x:f>
        <x:v>0.136986301369863</x:v>
      </x:c>
      <x:c r="U172" s="26" t="n">
        <x:f t="shared" si="9">O172*P172*Q172/R172*(1+S172)*T172</x:f>
        <x:v>0.02054794520547945</x:v>
      </x:c>
      <x:c r="V172" s="23" t="str">
        <x:f t="shared" si="10">IF(F172="per_request","USD/次",IF(F172="per_duration","USD/秒",IF(F172="per_token","USD/1M Token","")))</x:f>
        <x:v>USD/秒</x:v>
      </x:c>
      <x:c r="W172" s="20" t="n">
        <x:v>46229.393565162034</x:v>
      </x:c>
      <x:c r="X172" s="20"/>
      <x:c r="Y172" s="2" t="str">
        <x:v>draft</x:v>
      </x:c>
      <x:c r="Z172" s="2" t="str">
        <x:v>SRC-CH-07</x:v>
      </x:c>
      <x:c r="AA172" s="7" t="str">
        <x:v>源行=sd!91；原模型=dimensio-seedance-2.0-fast；时长=4-15；比例=不限；视频输入=是；真人脸=否；超分=否；素材库=否；NSFW=否；协议=自有；素材限制=933；原表折扣 秒 无V=0.403（成本/官价参考比，不参与成本二次计算）；原表状态为空，已导入为draft；国际剪映URL</x:v>
      </x:c>
      <x:c r="AB172" s="23" t="str">
        <x:f t="shared" si="11">IF(A172="","",IF(COUNTIF($A$5:$A$1004,A172)&gt;1,"错误:重复成本规则ID",IF(OR(B172="",C172="",E172="",F172="",K172="",O172&lt;=0,P172&lt;=0,Q172&lt;=0,R172&lt;=0,S172&lt;0,T172&lt;=0,Y172=""),"错误:必填项",IF(D172="","警告:SKU待映射","OK"))))</x:f>
        <x:v>OK</x:v>
      </x:c>
    </x:row>
    <x:row r="173" ht="66" hidden="1" customHeight="1">
      <x:c r="A173" s="2" t="str">
        <x:v>COST-DIMENSIO-R91-480-SEC-VID</x:v>
      </x:c>
      <x:c r="B173" s="2" t="str">
        <x:v>CH-DIMENSIO</x:v>
      </x:c>
      <x:c r="C173" s="2" t="str">
        <x:v>dimensio-seedance-2.0-fast</x:v>
      </x:c>
      <x:c r="D173" s="2" t="str">
        <x:v>SKU-SD20-FAST-480</x:v>
      </x:c>
      <x:c r="E173" s="2" t="str">
        <x:v>with_video</x:v>
      </x:c>
      <x:c r="F173" s="2" t="str">
        <x:v>per_duration</x:v>
      </x:c>
      <x:c r="G173" s="2"/>
      <x:c r="H173" s="2" t="str">
        <x:v>validated_request</x:v>
      </x:c>
      <x:c r="I173" s="2" t="str">
        <x:v>billable_duration_seconds</x:v>
      </x:c>
      <x:c r="J173" s="2" t="str">
        <x:v>task_succeeded</x:v>
      </x:c>
      <x:c r="K173" s="2" t="str">
        <x:v>CNY</x:v>
      </x:c>
      <x:c r="L173" s="27"/>
      <x:c r="M173" s="27" t="n">
        <x:v>0.15</x:v>
      </x:c>
      <x:c r="N173" s="27"/>
      <x:c r="O173" s="26" t="n">
        <x:f t="shared" si="8">IF(F173="per_request",L173,IF(F173="per_duration",M173,IF(F173="per_token",N173,0)))</x:f>
        <x:v>0.15</x:v>
      </x:c>
      <x:c r="P173" s="27" t="n">
        <x:v>1</x:v>
      </x:c>
      <x:c r="Q173" s="27" t="n">
        <x:v>1</x:v>
      </x:c>
      <x:c r="R173" s="27" t="n">
        <x:v>1</x:v>
      </x:c>
      <x:c r="S173" s="27" t="n">
        <x:v>0</x:v>
      </x:c>
      <x:c r="T173" s="26" t="n">
        <x:f>IF(K173="USD",1,'参数'!$B$6)</x:f>
        <x:v>0.136986301369863</x:v>
      </x:c>
      <x:c r="U173" s="26" t="n">
        <x:f t="shared" si="9">O173*P173*Q173/R173*(1+S173)*T173</x:f>
        <x:v>0.02054794520547945</x:v>
      </x:c>
      <x:c r="V173" s="23" t="str">
        <x:f t="shared" si="10">IF(F173="per_request","USD/次",IF(F173="per_duration","USD/秒",IF(F173="per_token","USD/1M Token","")))</x:f>
        <x:v>USD/秒</x:v>
      </x:c>
      <x:c r="W173" s="20" t="n">
        <x:v>46229.393565162034</x:v>
      </x:c>
      <x:c r="X173" s="20"/>
      <x:c r="Y173" s="2" t="str">
        <x:v>draft</x:v>
      </x:c>
      <x:c r="Z173" s="2" t="str">
        <x:v>SRC-CH-07</x:v>
      </x:c>
      <x:c r="AA173" s="7" t="str">
        <x:v>源行=sd!91；原模型=dimensio-seedance-2.0-fast；时长=4-15；比例=不限；视频输入=是；真人脸=否；超分=否；素材库=否；NSFW=否；协议=自有；素材限制=933；原表折扣 秒 含V=0.679（成本/官价参考比，不参与成本二次计算）；原表状态为空，已导入为draft；国际剪映URL</x:v>
      </x:c>
      <x:c r="AB173" s="23" t="str">
        <x:f t="shared" si="11">IF(A173="","",IF(COUNTIF($A$5:$A$1004,A173)&gt;1,"错误:重复成本规则ID",IF(OR(B173="",C173="",E173="",F173="",K173="",O173&lt;=0,P173&lt;=0,Q173&lt;=0,R173&lt;=0,S173&lt;0,T173&lt;=0,Y173=""),"错误:必填项",IF(D173="","警告:SKU待映射","OK"))))</x:f>
        <x:v>OK</x:v>
      </x:c>
    </x:row>
    <x:row r="174" ht="39.599998474121094" hidden="1" customHeight="1">
      <x:c r="A174" s="2" t="str">
        <x:v>COST-DIMENSIO-R92-720-SEC-NOV</x:v>
      </x:c>
      <x:c r="B174" s="2" t="str">
        <x:v>CH-DIMENSIO</x:v>
      </x:c>
      <x:c r="C174" s="2" t="str">
        <x:v>dimensio-seedance-2.0-fast</x:v>
      </x:c>
      <x:c r="D174" s="2" t="str">
        <x:v>SKU-SD20-FAST-720</x:v>
      </x:c>
      <x:c r="E174" s="2" t="str">
        <x:v>no_video</x:v>
      </x:c>
      <x:c r="F174" s="2" t="str">
        <x:v>per_duration</x:v>
      </x:c>
      <x:c r="G174" s="2"/>
      <x:c r="H174" s="2" t="str">
        <x:v>validated_request</x:v>
      </x:c>
      <x:c r="I174" s="2" t="str">
        <x:v>billable_duration_seconds</x:v>
      </x:c>
      <x:c r="J174" s="2" t="str">
        <x:v>task_succeeded</x:v>
      </x:c>
      <x:c r="K174" s="2" t="str">
        <x:v>CNY</x:v>
      </x:c>
      <x:c r="L174" s="27"/>
      <x:c r="M174" s="27" t="n">
        <x:v>0.3</x:v>
      </x:c>
      <x:c r="N174" s="27"/>
      <x:c r="O174" s="26" t="n">
        <x:f t="shared" si="8">IF(F174="per_request",L174,IF(F174="per_duration",M174,IF(F174="per_token",N174,0)))</x:f>
        <x:v>0.3</x:v>
      </x:c>
      <x:c r="P174" s="27" t="n">
        <x:v>1</x:v>
      </x:c>
      <x:c r="Q174" s="27" t="n">
        <x:v>1</x:v>
      </x:c>
      <x:c r="R174" s="27" t="n">
        <x:v>1</x:v>
      </x:c>
      <x:c r="S174" s="27" t="n">
        <x:v>0</x:v>
      </x:c>
      <x:c r="T174" s="26" t="n">
        <x:f>IF(K174="USD",1,'参数'!$B$6)</x:f>
        <x:v>0.136986301369863</x:v>
      </x:c>
      <x:c r="U174" s="26" t="n">
        <x:f t="shared" si="9">O174*P174*Q174/R174*(1+S174)*T174</x:f>
        <x:v>0.0410958904109589</x:v>
      </x:c>
      <x:c r="V174" s="23" t="str">
        <x:f t="shared" si="10">IF(F174="per_request","USD/次",IF(F174="per_duration","USD/秒",IF(F174="per_token","USD/1M Token","")))</x:f>
        <x:v>USD/秒</x:v>
      </x:c>
      <x:c r="W174" s="20" t="n">
        <x:v>46229.393565162034</x:v>
      </x:c>
      <x:c r="X174" s="20"/>
      <x:c r="Y174" s="2" t="str">
        <x:v>draft</x:v>
      </x:c>
      <x:c r="Z174" s="2" t="str">
        <x:v>SRC-CH-07</x:v>
      </x:c>
      <x:c r="AA174" s="7" t="str">
        <x:v>源行=sd!92；原模型=dimensio-seedance-2.0-fast；时长=4-15；比例=不限；视频输入=是；真人脸=否；超分=否；素材库=否；NSFW=否；协议=自有；素材限制=933；原表折扣 秒 无V=0.375（成本/官价参考比，不参与成本二次计算）；原表状态为空，已导入为draft；国际剪映URL</x:v>
      </x:c>
      <x:c r="AB174" s="23" t="str">
        <x:f t="shared" si="11">IF(A174="","",IF(COUNTIF($A$5:$A$1004,A174)&gt;1,"错误:重复成本规则ID",IF(OR(B174="",C174="",E174="",F174="",K174="",O174&lt;=0,P174&lt;=0,Q174&lt;=0,R174&lt;=0,S174&lt;0,T174&lt;=0,Y174=""),"错误:必填项",IF(D174="","警告:SKU待映射","OK"))))</x:f>
        <x:v>OK</x:v>
      </x:c>
    </x:row>
    <x:row r="175" ht="39.599998474121094" hidden="1" customHeight="1">
      <x:c r="A175" s="2" t="str">
        <x:v>COST-DIMENSIO-R92-720-SEC-VID</x:v>
      </x:c>
      <x:c r="B175" s="2" t="str">
        <x:v>CH-DIMENSIO</x:v>
      </x:c>
      <x:c r="C175" s="2" t="str">
        <x:v>dimensio-seedance-2.0-fast</x:v>
      </x:c>
      <x:c r="D175" s="2" t="str">
        <x:v>SKU-SD20-FAST-720</x:v>
      </x:c>
      <x:c r="E175" s="2" t="str">
        <x:v>with_video</x:v>
      </x:c>
      <x:c r="F175" s="2" t="str">
        <x:v>per_duration</x:v>
      </x:c>
      <x:c r="G175" s="2"/>
      <x:c r="H175" s="2" t="str">
        <x:v>validated_request</x:v>
      </x:c>
      <x:c r="I175" s="2" t="str">
        <x:v>billable_duration_seconds</x:v>
      </x:c>
      <x:c r="J175" s="2" t="str">
        <x:v>task_succeeded</x:v>
      </x:c>
      <x:c r="K175" s="2" t="str">
        <x:v>CNY</x:v>
      </x:c>
      <x:c r="L175" s="27"/>
      <x:c r="M175" s="27" t="n">
        <x:v>0.3</x:v>
      </x:c>
      <x:c r="N175" s="27"/>
      <x:c r="O175" s="26" t="n">
        <x:f t="shared" si="8">IF(F175="per_request",L175,IF(F175="per_duration",M175,IF(F175="per_token",N175,0)))</x:f>
        <x:v>0.3</x:v>
      </x:c>
      <x:c r="P175" s="27" t="n">
        <x:v>1</x:v>
      </x:c>
      <x:c r="Q175" s="27" t="n">
        <x:v>1</x:v>
      </x:c>
      <x:c r="R175" s="27" t="n">
        <x:v>1</x:v>
      </x:c>
      <x:c r="S175" s="27" t="n">
        <x:v>0</x:v>
      </x:c>
      <x:c r="T175" s="26" t="n">
        <x:f>IF(K175="USD",1,'参数'!$B$6)</x:f>
        <x:v>0.136986301369863</x:v>
      </x:c>
      <x:c r="U175" s="26" t="n">
        <x:f t="shared" si="9">O175*P175*Q175/R175*(1+S175)*T175</x:f>
        <x:v>0.0410958904109589</x:v>
      </x:c>
      <x:c r="V175" s="23" t="str">
        <x:f t="shared" si="10">IF(F175="per_request","USD/次",IF(F175="per_duration","USD/秒",IF(F175="per_token","USD/1M Token","")))</x:f>
        <x:v>USD/秒</x:v>
      </x:c>
      <x:c r="W175" s="20" t="n">
        <x:v>46229.393565162034</x:v>
      </x:c>
      <x:c r="X175" s="20"/>
      <x:c r="Y175" s="2" t="str">
        <x:v>draft</x:v>
      </x:c>
      <x:c r="Z175" s="2" t="str">
        <x:v>SRC-CH-07</x:v>
      </x:c>
      <x:c r="AA175" s="7" t="str">
        <x:v>源行=sd!92；原模型=dimensio-seedance-2.0-fast；时长=4-15；比例=不限；视频输入=是；真人脸=否；超分=否；素材库=否；NSFW=否；协议=自有；素材限制=933；原表折扣 秒 含V=0.632（成本/官价参考比，不参与成本二次计算）；原表状态为空，已导入为draft；国际剪映URL</x:v>
      </x:c>
      <x:c r="AB175" s="23" t="str">
        <x:f t="shared" si="11">IF(A175="","",IF(COUNTIF($A$5:$A$1004,A175)&gt;1,"错误:重复成本规则ID",IF(OR(B175="",C175="",E175="",F175="",K175="",O175&lt;=0,P175&lt;=0,Q175&lt;=0,R175&lt;=0,S175&lt;0,T175&lt;=0,Y175=""),"错误:必填项",IF(D175="","警告:SKU待映射","OK"))))</x:f>
        <x:v>OK</x:v>
      </x:c>
    </x:row>
    <x:row r="176" ht="39.599998474121094" hidden="1" customHeight="1">
      <x:c r="A176" s="2" t="str">
        <x:v>COST-MEGABYAI-R94-480-REQ-NOV</x:v>
      </x:c>
      <x:c r="B176" s="2" t="str">
        <x:v>CH-MEGABYAI</x:v>
      </x:c>
      <x:c r="C176" s="2" t="str">
        <x:v>videos-standard</x:v>
      </x:c>
      <x:c r="D176" s="2" t="str">
        <x:v>SKU-SD20-STD-480</x:v>
      </x:c>
      <x:c r="E176" s="2" t="str">
        <x:v>no_video</x:v>
      </x:c>
      <x:c r="F176" s="2" t="str">
        <x:v>per_request</x:v>
      </x:c>
      <x:c r="G176" s="2"/>
      <x:c r="H176" s="2" t="str">
        <x:v>validated_request</x:v>
      </x:c>
      <x:c r="I176" s="2" t="str">
        <x:v>request_count</x:v>
      </x:c>
      <x:c r="J176" s="2" t="str">
        <x:v>task_succeeded</x:v>
      </x:c>
      <x:c r="K176" s="2" t="str">
        <x:v>CNY</x:v>
      </x:c>
      <x:c r="L176" s="27" t="n">
        <x:v>4.9</x:v>
      </x:c>
      <x:c r="M176" s="27"/>
      <x:c r="N176" s="27"/>
      <x:c r="O176" s="26" t="n">
        <x:f t="shared" si="8">IF(F176="per_request",L176,IF(F176="per_duration",M176,IF(F176="per_token",N176,0)))</x:f>
        <x:v>4.9</x:v>
      </x:c>
      <x:c r="P176" s="27" t="n">
        <x:v>1</x:v>
      </x:c>
      <x:c r="Q176" s="27" t="n">
        <x:v>1</x:v>
      </x:c>
      <x:c r="R176" s="27" t="n">
        <x:v>1</x:v>
      </x:c>
      <x:c r="S176" s="27" t="n">
        <x:v>0</x:v>
      </x:c>
      <x:c r="T176" s="26" t="n">
        <x:f>IF(K176="USD",1,'参数'!$B$6)</x:f>
        <x:v>0.136986301369863</x:v>
      </x:c>
      <x:c r="U176" s="26" t="n">
        <x:f t="shared" si="9">O176*P176*Q176/R176*(1+S176)*T176</x:f>
        <x:v>0.6712328767123288</x:v>
      </x:c>
      <x:c r="V176" s="23" t="str">
        <x:f t="shared" si="10">IF(F176="per_request","USD/次",IF(F176="per_duration","USD/秒",IF(F176="per_token","USD/1M Token","")))</x:f>
        <x:v>USD/次</x:v>
      </x:c>
      <x:c r="W176" s="20" t="n">
        <x:v>46229.393565162034</x:v>
      </x:c>
      <x:c r="X176" s="20"/>
      <x:c r="Y176" s="2" t="str">
        <x:v>draft</x:v>
      </x:c>
      <x:c r="Z176" s="2" t="str">
        <x:v>SRC-CH-08</x:v>
      </x:c>
      <x:c r="AA176" s="7" t="str">
        <x:v>源行=sd!94；原模型=videos-standard；时长=4-15；比例=不限；视频输入=是；真人脸=是；超分=否；素材库=否；NSFW=否；协议=自有；素材限制=933；原表状态为空，已导入为draft</x:v>
      </x:c>
      <x:c r="AB176" s="23" t="str">
        <x:f t="shared" si="11">IF(A176="","",IF(COUNTIF($A$5:$A$1004,A176)&gt;1,"错误:重复成本规则ID",IF(OR(B176="",C176="",E176="",F176="",K176="",O176&lt;=0,P176&lt;=0,Q176&lt;=0,R176&lt;=0,S176&lt;0,T176&lt;=0,Y176=""),"错误:必填项",IF(D176="","警告:SKU待映射","OK"))))</x:f>
        <x:v>OK</x:v>
      </x:c>
    </x:row>
    <x:row r="177" ht="39.599998474121094" hidden="1" customHeight="1">
      <x:c r="A177" s="2" t="str">
        <x:v>COST-MEGABYAI-R94-480-REQ-VID</x:v>
      </x:c>
      <x:c r="B177" s="2" t="str">
        <x:v>CH-MEGABYAI</x:v>
      </x:c>
      <x:c r="C177" s="2" t="str">
        <x:v>videos-standard</x:v>
      </x:c>
      <x:c r="D177" s="2" t="str">
        <x:v>SKU-SD20-STD-480</x:v>
      </x:c>
      <x:c r="E177" s="2" t="str">
        <x:v>with_video</x:v>
      </x:c>
      <x:c r="F177" s="2" t="str">
        <x:v>per_request</x:v>
      </x:c>
      <x:c r="G177" s="2"/>
      <x:c r="H177" s="2" t="str">
        <x:v>validated_request</x:v>
      </x:c>
      <x:c r="I177" s="2" t="str">
        <x:v>request_count</x:v>
      </x:c>
      <x:c r="J177" s="2" t="str">
        <x:v>task_succeeded</x:v>
      </x:c>
      <x:c r="K177" s="2" t="str">
        <x:v>CNY</x:v>
      </x:c>
      <x:c r="L177" s="27" t="n">
        <x:v>4.9</x:v>
      </x:c>
      <x:c r="M177" s="27"/>
      <x:c r="N177" s="27"/>
      <x:c r="O177" s="26" t="n">
        <x:f t="shared" si="8">IF(F177="per_request",L177,IF(F177="per_duration",M177,IF(F177="per_token",N177,0)))</x:f>
        <x:v>4.9</x:v>
      </x:c>
      <x:c r="P177" s="27" t="n">
        <x:v>1</x:v>
      </x:c>
      <x:c r="Q177" s="27" t="n">
        <x:v>1</x:v>
      </x:c>
      <x:c r="R177" s="27" t="n">
        <x:v>1</x:v>
      </x:c>
      <x:c r="S177" s="27" t="n">
        <x:v>0</x:v>
      </x:c>
      <x:c r="T177" s="26" t="n">
        <x:f>IF(K177="USD",1,'参数'!$B$6)</x:f>
        <x:v>0.136986301369863</x:v>
      </x:c>
      <x:c r="U177" s="26" t="n">
        <x:f t="shared" si="9">O177*P177*Q177/R177*(1+S177)*T177</x:f>
        <x:v>0.6712328767123288</x:v>
      </x:c>
      <x:c r="V177" s="23" t="str">
        <x:f t="shared" si="10">IF(F177="per_request","USD/次",IF(F177="per_duration","USD/秒",IF(F177="per_token","USD/1M Token","")))</x:f>
        <x:v>USD/次</x:v>
      </x:c>
      <x:c r="W177" s="20" t="n">
        <x:v>46229.393565162034</x:v>
      </x:c>
      <x:c r="X177" s="20"/>
      <x:c r="Y177" s="2" t="str">
        <x:v>draft</x:v>
      </x:c>
      <x:c r="Z177" s="2" t="str">
        <x:v>SRC-CH-08</x:v>
      </x:c>
      <x:c r="AA177" s="7" t="str">
        <x:v>源行=sd!94；原模型=videos-standard；时长=4-15；比例=不限；视频输入=是；真人脸=是；超分=否；素材库=否；NSFW=否；协议=自有；素材限制=933；原表状态为空，已导入为draft</x:v>
      </x:c>
      <x:c r="AB177" s="23" t="str">
        <x:f t="shared" si="11">IF(A177="","",IF(COUNTIF($A$5:$A$1004,A177)&gt;1,"错误:重复成本规则ID",IF(OR(B177="",C177="",E177="",F177="",K177="",O177&lt;=0,P177&lt;=0,Q177&lt;=0,R177&lt;=0,S177&lt;0,T177&lt;=0,Y177=""),"错误:必填项",IF(D177="","警告:SKU待映射","OK"))))</x:f>
        <x:v>OK</x:v>
      </x:c>
    </x:row>
    <x:row r="178" ht="66" hidden="1" customHeight="1">
      <x:c r="A178" s="2" t="str">
        <x:v>COST-MEGABYAI-R95-720-REQ-NOV</x:v>
      </x:c>
      <x:c r="B178" s="2" t="str">
        <x:v>CH-MEGABYAI</x:v>
      </x:c>
      <x:c r="C178" s="2" t="str">
        <x:v>videos-standard</x:v>
      </x:c>
      <x:c r="D178" s="2" t="str">
        <x:v>SKU-SD20-STD-720</x:v>
      </x:c>
      <x:c r="E178" s="2" t="str">
        <x:v>no_video</x:v>
      </x:c>
      <x:c r="F178" s="2" t="str">
        <x:v>per_request</x:v>
      </x:c>
      <x:c r="G178" s="2"/>
      <x:c r="H178" s="2" t="str">
        <x:v>validated_request</x:v>
      </x:c>
      <x:c r="I178" s="2" t="str">
        <x:v>request_count</x:v>
      </x:c>
      <x:c r="J178" s="2" t="str">
        <x:v>task_succeeded</x:v>
      </x:c>
      <x:c r="K178" s="2" t="str">
        <x:v>CNY</x:v>
      </x:c>
      <x:c r="L178" s="27" t="n">
        <x:v>7</x:v>
      </x:c>
      <x:c r="M178" s="27"/>
      <x:c r="N178" s="27"/>
      <x:c r="O178" s="26" t="n">
        <x:f t="shared" si="8">IF(F178="per_request",L178,IF(F178="per_duration",M178,IF(F178="per_token",N178,0)))</x:f>
        <x:v>7</x:v>
      </x:c>
      <x:c r="P178" s="27" t="n">
        <x:v>1</x:v>
      </x:c>
      <x:c r="Q178" s="27" t="n">
        <x:v>1</x:v>
      </x:c>
      <x:c r="R178" s="27" t="n">
        <x:v>1</x:v>
      </x:c>
      <x:c r="S178" s="27" t="n">
        <x:v>0</x:v>
      </x:c>
      <x:c r="T178" s="26" t="n">
        <x:f>IF(K178="USD",1,'参数'!$B$6)</x:f>
        <x:v>0.136986301369863</x:v>
      </x:c>
      <x:c r="U178" s="26" t="n">
        <x:f t="shared" si="9">O178*P178*Q178/R178*(1+S178)*T178</x:f>
        <x:v>0.958904109589041</x:v>
      </x:c>
      <x:c r="V178" s="23" t="str">
        <x:f t="shared" si="10">IF(F178="per_request","USD/次",IF(F178="per_duration","USD/秒",IF(F178="per_token","USD/1M Token","")))</x:f>
        <x:v>USD/次</x:v>
      </x:c>
      <x:c r="W178" s="20" t="n">
        <x:v>46229.393565162034</x:v>
      </x:c>
      <x:c r="X178" s="20"/>
      <x:c r="Y178" s="2" t="str">
        <x:v>draft</x:v>
      </x:c>
      <x:c r="Z178" s="2" t="str">
        <x:v>SRC-CH-08</x:v>
      </x:c>
      <x:c r="AA178" s="7" t="str">
        <x:v>源行=sd!95；原模型=videos-standard；时长=4-15；比例=不限；视频输入=是；真人脸=是；超分=否；素材库=否；NSFW=否；协议=自有；素材限制=933；原表状态为空，已导入为draft</x:v>
      </x:c>
      <x:c r="AB178" s="23" t="str">
        <x:f t="shared" si="11">IF(A178="","",IF(COUNTIF($A$5:$A$1004,A178)&gt;1,"错误:重复成本规则ID",IF(OR(B178="",C178="",E178="",F178="",K178="",O178&lt;=0,P178&lt;=0,Q178&lt;=0,R178&lt;=0,S178&lt;0,T178&lt;=0,Y178=""),"错误:必填项",IF(D178="","警告:SKU待映射","OK"))))</x:f>
        <x:v>OK</x:v>
      </x:c>
    </x:row>
    <x:row r="179" ht="66" hidden="1" customHeight="1">
      <x:c r="A179" s="2" t="str">
        <x:v>COST-MEGABYAI-R95-720-REQ-VID</x:v>
      </x:c>
      <x:c r="B179" s="2" t="str">
        <x:v>CH-MEGABYAI</x:v>
      </x:c>
      <x:c r="C179" s="2" t="str">
        <x:v>videos-standard</x:v>
      </x:c>
      <x:c r="D179" s="2" t="str">
        <x:v>SKU-SD20-STD-720</x:v>
      </x:c>
      <x:c r="E179" s="2" t="str">
        <x:v>with_video</x:v>
      </x:c>
      <x:c r="F179" s="2" t="str">
        <x:v>per_request</x:v>
      </x:c>
      <x:c r="G179" s="2"/>
      <x:c r="H179" s="2" t="str">
        <x:v>validated_request</x:v>
      </x:c>
      <x:c r="I179" s="2" t="str">
        <x:v>request_count</x:v>
      </x:c>
      <x:c r="J179" s="2" t="str">
        <x:v>task_succeeded</x:v>
      </x:c>
      <x:c r="K179" s="2" t="str">
        <x:v>CNY</x:v>
      </x:c>
      <x:c r="L179" s="27" t="n">
        <x:v>7</x:v>
      </x:c>
      <x:c r="M179" s="27"/>
      <x:c r="N179" s="27"/>
      <x:c r="O179" s="26" t="n">
        <x:f t="shared" si="8">IF(F179="per_request",L179,IF(F179="per_duration",M179,IF(F179="per_token",N179,0)))</x:f>
        <x:v>7</x:v>
      </x:c>
      <x:c r="P179" s="27" t="n">
        <x:v>1</x:v>
      </x:c>
      <x:c r="Q179" s="27" t="n">
        <x:v>1</x:v>
      </x:c>
      <x:c r="R179" s="27" t="n">
        <x:v>1</x:v>
      </x:c>
      <x:c r="S179" s="27" t="n">
        <x:v>0</x:v>
      </x:c>
      <x:c r="T179" s="26" t="n">
        <x:f>IF(K179="USD",1,'参数'!$B$6)</x:f>
        <x:v>0.136986301369863</x:v>
      </x:c>
      <x:c r="U179" s="26" t="n">
        <x:f t="shared" si="9">O179*P179*Q179/R179*(1+S179)*T179</x:f>
        <x:v>0.958904109589041</x:v>
      </x:c>
      <x:c r="V179" s="23" t="str">
        <x:f t="shared" si="10">IF(F179="per_request","USD/次",IF(F179="per_duration","USD/秒",IF(F179="per_token","USD/1M Token","")))</x:f>
        <x:v>USD/次</x:v>
      </x:c>
      <x:c r="W179" s="20" t="n">
        <x:v>46229.393565162034</x:v>
      </x:c>
      <x:c r="X179" s="20"/>
      <x:c r="Y179" s="2" t="str">
        <x:v>draft</x:v>
      </x:c>
      <x:c r="Z179" s="2" t="str">
        <x:v>SRC-CH-08</x:v>
      </x:c>
      <x:c r="AA179" s="7" t="str">
        <x:v>源行=sd!95；原模型=videos-standard；时长=4-15；比例=不限；视频输入=是；真人脸=是；超分=否；素材库=否；NSFW=否；协议=自有；素材限制=933；原表状态为空，已导入为draft</x:v>
      </x:c>
      <x:c r="AB179" s="23" t="str">
        <x:f t="shared" si="11">IF(A179="","",IF(COUNTIF($A$5:$A$1004,A179)&gt;1,"错误:重复成本规则ID",IF(OR(B179="",C179="",E179="",F179="",K179="",O179&lt;=0,P179&lt;=0,Q179&lt;=0,R179&lt;=0,S179&lt;0,T179&lt;=0,Y179=""),"错误:必填项",IF(D179="","警告:SKU待映射","OK"))))</x:f>
        <x:v>OK</x:v>
      </x:c>
    </x:row>
    <x:row r="180" ht="66" hidden="1" customHeight="1">
      <x:c r="A180" s="2" t="str">
        <x:v>COST-MEGABYAI-R96-1080-SEC-NOV</x:v>
      </x:c>
      <x:c r="B180" s="2" t="str">
        <x:v>CH-MEGABYAI</x:v>
      </x:c>
      <x:c r="C180" s="2" t="str">
        <x:v>videos-standard</x:v>
      </x:c>
      <x:c r="D180" s="2" t="str">
        <x:v>SKU-SD20-STD-1080</x:v>
      </x:c>
      <x:c r="E180" s="2" t="str">
        <x:v>no_video</x:v>
      </x:c>
      <x:c r="F180" s="2" t="str">
        <x:v>per_duration</x:v>
      </x:c>
      <x:c r="G180" s="2"/>
      <x:c r="H180" s="2" t="str">
        <x:v>validated_request</x:v>
      </x:c>
      <x:c r="I180" s="2" t="str">
        <x:v>billable_duration_seconds</x:v>
      </x:c>
      <x:c r="J180" s="2" t="str">
        <x:v>task_succeeded</x:v>
      </x:c>
      <x:c r="K180" s="2" t="str">
        <x:v>CNY</x:v>
      </x:c>
      <x:c r="L180" s="27"/>
      <x:c r="M180" s="27" t="n">
        <x:v>0.84</x:v>
      </x:c>
      <x:c r="N180" s="27"/>
      <x:c r="O180" s="26" t="n">
        <x:f t="shared" si="8">IF(F180="per_request",L180,IF(F180="per_duration",M180,IF(F180="per_token",N180,0)))</x:f>
        <x:v>0.84</x:v>
      </x:c>
      <x:c r="P180" s="27" t="n">
        <x:v>1</x:v>
      </x:c>
      <x:c r="Q180" s="27" t="n">
        <x:v>1</x:v>
      </x:c>
      <x:c r="R180" s="27" t="n">
        <x:v>1</x:v>
      </x:c>
      <x:c r="S180" s="27" t="n">
        <x:v>0</x:v>
      </x:c>
      <x:c r="T180" s="26" t="n">
        <x:f>IF(K180="USD",1,'参数'!$B$6)</x:f>
        <x:v>0.136986301369863</x:v>
      </x:c>
      <x:c r="U180" s="26" t="n">
        <x:f t="shared" si="9">O180*P180*Q180/R180*(1+S180)*T180</x:f>
        <x:v>0.11506849315068492</x:v>
      </x:c>
      <x:c r="V180" s="23" t="str">
        <x:f t="shared" si="10">IF(F180="per_request","USD/次",IF(F180="per_duration","USD/秒",IF(F180="per_token","USD/1M Token","")))</x:f>
        <x:v>USD/秒</x:v>
      </x:c>
      <x:c r="W180" s="20" t="n">
        <x:v>46229.393565162034</x:v>
      </x:c>
      <x:c r="X180" s="20"/>
      <x:c r="Y180" s="2" t="str">
        <x:v>draft</x:v>
      </x:c>
      <x:c r="Z180" s="2" t="str">
        <x:v>SRC-CH-08</x:v>
      </x:c>
      <x:c r="AA180" s="7" t="str">
        <x:v>源行=sd!96；原模型=videos-standard；时长=4-15；比例=不限；视频输入=是；真人脸=是；超分=否；素材库=否；NSFW=否；协议=自有；素材限制=933；原表折扣 秒 无V=0.339（成本/官价参考比，不参与成本二次计算）；原表状态为空，已导入为draft</x:v>
      </x:c>
      <x:c r="AB180" s="23" t="str">
        <x:f t="shared" si="11">IF(A180="","",IF(COUNTIF($A$5:$A$1004,A180)&gt;1,"错误:重复成本规则ID",IF(OR(B180="",C180="",E180="",F180="",K180="",O180&lt;=0,P180&lt;=0,Q180&lt;=0,R180&lt;=0,S180&lt;0,T180&lt;=0,Y180=""),"错误:必填项",IF(D180="","警告:SKU待映射","OK"))))</x:f>
        <x:v>OK</x:v>
      </x:c>
    </x:row>
    <x:row r="181" ht="66" hidden="1" customHeight="1">
      <x:c r="A181" s="2" t="str">
        <x:v>COST-MEGABYAI-R96-1080-SEC-VID</x:v>
      </x:c>
      <x:c r="B181" s="2" t="str">
        <x:v>CH-MEGABYAI</x:v>
      </x:c>
      <x:c r="C181" s="2" t="str">
        <x:v>videos-standard</x:v>
      </x:c>
      <x:c r="D181" s="2" t="str">
        <x:v>SKU-SD20-STD-1080</x:v>
      </x:c>
      <x:c r="E181" s="2" t="str">
        <x:v>with_video</x:v>
      </x:c>
      <x:c r="F181" s="2" t="str">
        <x:v>per_duration</x:v>
      </x:c>
      <x:c r="G181" s="2"/>
      <x:c r="H181" s="2" t="str">
        <x:v>validated_request</x:v>
      </x:c>
      <x:c r="I181" s="2" t="str">
        <x:v>billable_duration_seconds</x:v>
      </x:c>
      <x:c r="J181" s="2" t="str">
        <x:v>task_succeeded</x:v>
      </x:c>
      <x:c r="K181" s="2" t="str">
        <x:v>CNY</x:v>
      </x:c>
      <x:c r="L181" s="27"/>
      <x:c r="M181" s="27" t="n">
        <x:v>0.84</x:v>
      </x:c>
      <x:c r="N181" s="27"/>
      <x:c r="O181" s="26" t="n">
        <x:f t="shared" si="8">IF(F181="per_request",L181,IF(F181="per_duration",M181,IF(F181="per_token",N181,0)))</x:f>
        <x:v>0.84</x:v>
      </x:c>
      <x:c r="P181" s="27" t="n">
        <x:v>1</x:v>
      </x:c>
      <x:c r="Q181" s="27" t="n">
        <x:v>1</x:v>
      </x:c>
      <x:c r="R181" s="27" t="n">
        <x:v>1</x:v>
      </x:c>
      <x:c r="S181" s="27" t="n">
        <x:v>0</x:v>
      </x:c>
      <x:c r="T181" s="26" t="n">
        <x:f>IF(K181="USD",1,'参数'!$B$6)</x:f>
        <x:v>0.136986301369863</x:v>
      </x:c>
      <x:c r="U181" s="26" t="n">
        <x:f t="shared" si="9">O181*P181*Q181/R181*(1+S181)*T181</x:f>
        <x:v>0.11506849315068492</x:v>
      </x:c>
      <x:c r="V181" s="23" t="str">
        <x:f t="shared" si="10">IF(F181="per_request","USD/次",IF(F181="per_duration","USD/秒",IF(F181="per_token","USD/1M Token","")))</x:f>
        <x:v>USD/秒</x:v>
      </x:c>
      <x:c r="W181" s="20" t="n">
        <x:v>46229.393565162034</x:v>
      </x:c>
      <x:c r="X181" s="20"/>
      <x:c r="Y181" s="2" t="str">
        <x:v>draft</x:v>
      </x:c>
      <x:c r="Z181" s="2" t="str">
        <x:v>SRC-CH-08</x:v>
      </x:c>
      <x:c r="AA181" s="7" t="str">
        <x:v>源行=sd!96；原模型=videos-standard；时长=4-15；比例=不限；视频输入=是；真人脸=是；超分=否；素材库=否；NSFW=否；协议=自有；素材限制=933；原表折扣 秒 含V=0.557（成本/官价参考比，不参与成本二次计算）；原表状态为空，已导入为draft</x:v>
      </x:c>
      <x:c r="AB181" s="23" t="str">
        <x:f t="shared" si="11">IF(A181="","",IF(COUNTIF($A$5:$A$1004,A181)&gt;1,"错误:重复成本规则ID",IF(OR(B181="",C181="",E181="",F181="",K181="",O181&lt;=0,P181&lt;=0,Q181&lt;=0,R181&lt;=0,S181&lt;0,T181&lt;=0,Y181=""),"错误:必填项",IF(D181="","警告:SKU待映射","OK"))))</x:f>
        <x:v>OK</x:v>
      </x:c>
    </x:row>
    <x:row r="182" ht="39.599998474121094" hidden="1" customHeight="1">
      <x:c r="A182" s="2" t="str">
        <x:v>COST-MEGABYAI-R97-4K-SEC-NOV</x:v>
      </x:c>
      <x:c r="B182" s="2" t="str">
        <x:v>CH-MEGABYAI</x:v>
      </x:c>
      <x:c r="C182" s="2" t="str">
        <x:v>videos-standard</x:v>
      </x:c>
      <x:c r="D182" s="2" t="str">
        <x:v>SKU-SD20-STD-4K</x:v>
      </x:c>
      <x:c r="E182" s="2" t="str">
        <x:v>no_video</x:v>
      </x:c>
      <x:c r="F182" s="2" t="str">
        <x:v>per_duration</x:v>
      </x:c>
      <x:c r="G182" s="2"/>
      <x:c r="H182" s="2" t="str">
        <x:v>validated_request</x:v>
      </x:c>
      <x:c r="I182" s="2" t="str">
        <x:v>billable_duration_seconds</x:v>
      </x:c>
      <x:c r="J182" s="2" t="str">
        <x:v>task_succeeded</x:v>
      </x:c>
      <x:c r="K182" s="2" t="str">
        <x:v>CNY</x:v>
      </x:c>
      <x:c r="L182" s="27"/>
      <x:c r="M182" s="27" t="n">
        <x:v>1.68</x:v>
      </x:c>
      <x:c r="N182" s="27"/>
      <x:c r="O182" s="26" t="n">
        <x:f t="shared" si="8">IF(F182="per_request",L182,IF(F182="per_duration",M182,IF(F182="per_token",N182,0)))</x:f>
        <x:v>1.68</x:v>
      </x:c>
      <x:c r="P182" s="27" t="n">
        <x:v>1</x:v>
      </x:c>
      <x:c r="Q182" s="27" t="n">
        <x:v>1</x:v>
      </x:c>
      <x:c r="R182" s="27" t="n">
        <x:v>1</x:v>
      </x:c>
      <x:c r="S182" s="27" t="n">
        <x:v>0</x:v>
      </x:c>
      <x:c r="T182" s="26" t="n">
        <x:f>IF(K182="USD",1,'参数'!$B$6)</x:f>
        <x:v>0.136986301369863</x:v>
      </x:c>
      <x:c r="U182" s="26" t="n">
        <x:f t="shared" si="9">O182*P182*Q182/R182*(1+S182)*T182</x:f>
        <x:v>0.23013698630136983</x:v>
      </x:c>
      <x:c r="V182" s="23" t="str">
        <x:f t="shared" si="10">IF(F182="per_request","USD/次",IF(F182="per_duration","USD/秒",IF(F182="per_token","USD/1M Token","")))</x:f>
        <x:v>USD/秒</x:v>
      </x:c>
      <x:c r="W182" s="20" t="n">
        <x:v>46229.393565162034</x:v>
      </x:c>
      <x:c r="X182" s="20"/>
      <x:c r="Y182" s="2" t="str">
        <x:v>draft</x:v>
      </x:c>
      <x:c r="Z182" s="2" t="str">
        <x:v>SRC-CH-08</x:v>
      </x:c>
      <x:c r="AA182" s="7" t="str">
        <x:v>源行=sd!97；原模型=videos-standard；时长=4-15；比例=不限；视频输入=是；真人脸=是；超分=否；素材库=否；NSFW=否；协议=自有；素材限制=933；原表折扣 秒 无V=0.332（成本/官价参考比，不参与成本二次计算）；原表状态为空，已导入为draft</x:v>
      </x:c>
      <x:c r="AB182" s="23" t="str">
        <x:f t="shared" si="11">IF(A182="","",IF(COUNTIF($A$5:$A$1004,A182)&gt;1,"错误:重复成本规则ID",IF(OR(B182="",C182="",E182="",F182="",K182="",O182&lt;=0,P182&lt;=0,Q182&lt;=0,R182&lt;=0,S182&lt;0,T182&lt;=0,Y182=""),"错误:必填项",IF(D182="","警告:SKU待映射","OK"))))</x:f>
        <x:v>OK</x:v>
      </x:c>
    </x:row>
    <x:row r="183" ht="39.599998474121094" hidden="1" customHeight="1">
      <x:c r="A183" s="2" t="str">
        <x:v>COST-MEGABYAI-R97-4K-SEC-VID</x:v>
      </x:c>
      <x:c r="B183" s="2" t="str">
        <x:v>CH-MEGABYAI</x:v>
      </x:c>
      <x:c r="C183" s="2" t="str">
        <x:v>videos-standard</x:v>
      </x:c>
      <x:c r="D183" s="2" t="str">
        <x:v>SKU-SD20-STD-4K</x:v>
      </x:c>
      <x:c r="E183" s="2" t="str">
        <x:v>with_video</x:v>
      </x:c>
      <x:c r="F183" s="2" t="str">
        <x:v>per_duration</x:v>
      </x:c>
      <x:c r="G183" s="2"/>
      <x:c r="H183" s="2" t="str">
        <x:v>validated_request</x:v>
      </x:c>
      <x:c r="I183" s="2" t="str">
        <x:v>billable_duration_seconds</x:v>
      </x:c>
      <x:c r="J183" s="2" t="str">
        <x:v>task_succeeded</x:v>
      </x:c>
      <x:c r="K183" s="2" t="str">
        <x:v>CNY</x:v>
      </x:c>
      <x:c r="L183" s="27"/>
      <x:c r="M183" s="27" t="n">
        <x:v>1.68</x:v>
      </x:c>
      <x:c r="N183" s="27"/>
      <x:c r="O183" s="26" t="n">
        <x:f t="shared" si="8">IF(F183="per_request",L183,IF(F183="per_duration",M183,IF(F183="per_token",N183,0)))</x:f>
        <x:v>1.68</x:v>
      </x:c>
      <x:c r="P183" s="27" t="n">
        <x:v>1</x:v>
      </x:c>
      <x:c r="Q183" s="27" t="n">
        <x:v>1</x:v>
      </x:c>
      <x:c r="R183" s="27" t="n">
        <x:v>1</x:v>
      </x:c>
      <x:c r="S183" s="27" t="n">
        <x:v>0</x:v>
      </x:c>
      <x:c r="T183" s="26" t="n">
        <x:f>IF(K183="USD",1,'参数'!$B$6)</x:f>
        <x:v>0.136986301369863</x:v>
      </x:c>
      <x:c r="U183" s="26" t="n">
        <x:f t="shared" si="9">O183*P183*Q183/R183*(1+S183)*T183</x:f>
        <x:v>0.23013698630136983</x:v>
      </x:c>
      <x:c r="V183" s="23" t="str">
        <x:f t="shared" si="10">IF(F183="per_request","USD/次",IF(F183="per_duration","USD/秒",IF(F183="per_token","USD/1M Token","")))</x:f>
        <x:v>USD/秒</x:v>
      </x:c>
      <x:c r="W183" s="20" t="n">
        <x:v>46229.393565162034</x:v>
      </x:c>
      <x:c r="X183" s="20"/>
      <x:c r="Y183" s="2" t="str">
        <x:v>draft</x:v>
      </x:c>
      <x:c r="Z183" s="2" t="str">
        <x:v>SRC-CH-08</x:v>
      </x:c>
      <x:c r="AA183" s="7" t="str">
        <x:v>源行=sd!97；原模型=videos-standard；时长=4-15；比例=不限；视频输入=是；真人脸=是；超分=否；素材库=否；NSFW=否；协议=自有；素材限制=933；原表折扣 秒 含V=0.54（成本/官价参考比，不参与成本二次计算）；原表状态为空，已导入为draft</x:v>
      </x:c>
      <x:c r="AB183" s="23" t="str">
        <x:f t="shared" si="11">IF(A183="","",IF(COUNTIF($A$5:$A$1004,A183)&gt;1,"错误:重复成本规则ID",IF(OR(B183="",C183="",E183="",F183="",K183="",O183&lt;=0,P183&lt;=0,Q183&lt;=0,R183&lt;=0,S183&lt;0,T183&lt;=0,Y183=""),"错误:必填项",IF(D183="","警告:SKU待映射","OK"))))</x:f>
        <x:v>OK</x:v>
      </x:c>
    </x:row>
    <x:row r="184" ht="39.599998474121094" hidden="1" customHeight="1">
      <x:c r="A184" s="2" t="str">
        <x:v>COST-MEGABYAI-R98-480-REQ-NOV</x:v>
      </x:c>
      <x:c r="B184" s="2" t="str">
        <x:v>CH-MEGABYAI</x:v>
      </x:c>
      <x:c r="C184" s="2" t="str">
        <x:v>videos-standard</x:v>
      </x:c>
      <x:c r="D184" s="2" t="str">
        <x:v>SKU-SD20-STD-480</x:v>
      </x:c>
      <x:c r="E184" s="2" t="str">
        <x:v>no_video</x:v>
      </x:c>
      <x:c r="F184" s="2" t="str">
        <x:v>per_request</x:v>
      </x:c>
      <x:c r="G184" s="2"/>
      <x:c r="H184" s="2" t="str">
        <x:v>validated_request</x:v>
      </x:c>
      <x:c r="I184" s="2" t="str">
        <x:v>request_count</x:v>
      </x:c>
      <x:c r="J184" s="2" t="str">
        <x:v>task_succeeded</x:v>
      </x:c>
      <x:c r="K184" s="2" t="str">
        <x:v>CNY</x:v>
      </x:c>
      <x:c r="L184" s="27" t="n">
        <x:v>1.47</x:v>
      </x:c>
      <x:c r="M184" s="27"/>
      <x:c r="N184" s="27"/>
      <x:c r="O184" s="26" t="n">
        <x:f t="shared" si="8">IF(F184="per_request",L184,IF(F184="per_duration",M184,IF(F184="per_token",N184,0)))</x:f>
        <x:v>1.47</x:v>
      </x:c>
      <x:c r="P184" s="27" t="n">
        <x:v>1</x:v>
      </x:c>
      <x:c r="Q184" s="27" t="n">
        <x:v>1</x:v>
      </x:c>
      <x:c r="R184" s="27" t="n">
        <x:v>1</x:v>
      </x:c>
      <x:c r="S184" s="27" t="n">
        <x:v>0</x:v>
      </x:c>
      <x:c r="T184" s="26" t="n">
        <x:f>IF(K184="USD",1,'参数'!$B$6)</x:f>
        <x:v>0.136986301369863</x:v>
      </x:c>
      <x:c r="U184" s="26" t="n">
        <x:f t="shared" si="9">O184*P184*Q184/R184*(1+S184)*T184</x:f>
        <x:v>0.2013698630136986</x:v>
      </x:c>
      <x:c r="V184" s="23" t="str">
        <x:f t="shared" si="10">IF(F184="per_request","USD/次",IF(F184="per_duration","USD/秒",IF(F184="per_token","USD/1M Token","")))</x:f>
        <x:v>USD/次</x:v>
      </x:c>
      <x:c r="W184" s="20" t="n">
        <x:v>46229.393565162034</x:v>
      </x:c>
      <x:c r="X184" s="20"/>
      <x:c r="Y184" s="2" t="str">
        <x:v>draft</x:v>
      </x:c>
      <x:c r="Z184" s="2" t="str">
        <x:v>SRC-CH-08</x:v>
      </x:c>
      <x:c r="AA184" s="7" t="str">
        <x:v>源行=sd!98；原模型=videos-standard；时长=4-15；比例=不限；视频输入=是；真人脸=否；超分=否；素材库=否；NSFW=否；协议=自有；素材限制=933；原表状态为空，已导入为draft</x:v>
      </x:c>
      <x:c r="AB184" s="23" t="str">
        <x:f t="shared" si="11">IF(A184="","",IF(COUNTIF($A$5:$A$1004,A184)&gt;1,"错误:重复成本规则ID",IF(OR(B184="",C184="",E184="",F184="",K184="",O184&lt;=0,P184&lt;=0,Q184&lt;=0,R184&lt;=0,S184&lt;0,T184&lt;=0,Y184=""),"错误:必填项",IF(D184="","警告:SKU待映射","OK"))))</x:f>
        <x:v>OK</x:v>
      </x:c>
    </x:row>
    <x:row r="185" ht="39.599998474121094" hidden="1" customHeight="1">
      <x:c r="A185" s="2" t="str">
        <x:v>COST-MEGABYAI-R98-480-REQ-VID</x:v>
      </x:c>
      <x:c r="B185" s="2" t="str">
        <x:v>CH-MEGABYAI</x:v>
      </x:c>
      <x:c r="C185" s="2" t="str">
        <x:v>videos-standard</x:v>
      </x:c>
      <x:c r="D185" s="2" t="str">
        <x:v>SKU-SD20-STD-480</x:v>
      </x:c>
      <x:c r="E185" s="2" t="str">
        <x:v>with_video</x:v>
      </x:c>
      <x:c r="F185" s="2" t="str">
        <x:v>per_request</x:v>
      </x:c>
      <x:c r="G185" s="2"/>
      <x:c r="H185" s="2" t="str">
        <x:v>validated_request</x:v>
      </x:c>
      <x:c r="I185" s="2" t="str">
        <x:v>request_count</x:v>
      </x:c>
      <x:c r="J185" s="2" t="str">
        <x:v>task_succeeded</x:v>
      </x:c>
      <x:c r="K185" s="2" t="str">
        <x:v>CNY</x:v>
      </x:c>
      <x:c r="L185" s="27" t="n">
        <x:v>1.47</x:v>
      </x:c>
      <x:c r="M185" s="27"/>
      <x:c r="N185" s="27"/>
      <x:c r="O185" s="26" t="n">
        <x:f t="shared" si="8">IF(F185="per_request",L185,IF(F185="per_duration",M185,IF(F185="per_token",N185,0)))</x:f>
        <x:v>1.47</x:v>
      </x:c>
      <x:c r="P185" s="27" t="n">
        <x:v>1</x:v>
      </x:c>
      <x:c r="Q185" s="27" t="n">
        <x:v>1</x:v>
      </x:c>
      <x:c r="R185" s="27" t="n">
        <x:v>1</x:v>
      </x:c>
      <x:c r="S185" s="27" t="n">
        <x:v>0</x:v>
      </x:c>
      <x:c r="T185" s="26" t="n">
        <x:f>IF(K185="USD",1,'参数'!$B$6)</x:f>
        <x:v>0.136986301369863</x:v>
      </x:c>
      <x:c r="U185" s="26" t="n">
        <x:f t="shared" si="9">O185*P185*Q185/R185*(1+S185)*T185</x:f>
        <x:v>0.2013698630136986</x:v>
      </x:c>
      <x:c r="V185" s="23" t="str">
        <x:f t="shared" si="10">IF(F185="per_request","USD/次",IF(F185="per_duration","USD/秒",IF(F185="per_token","USD/1M Token","")))</x:f>
        <x:v>USD/次</x:v>
      </x:c>
      <x:c r="W185" s="20" t="n">
        <x:v>46229.393565162034</x:v>
      </x:c>
      <x:c r="X185" s="20"/>
      <x:c r="Y185" s="2" t="str">
        <x:v>draft</x:v>
      </x:c>
      <x:c r="Z185" s="2" t="str">
        <x:v>SRC-CH-08</x:v>
      </x:c>
      <x:c r="AA185" s="7" t="str">
        <x:v>源行=sd!98；原模型=videos-standard；时长=4-15；比例=不限；视频输入=是；真人脸=否；超分=否；素材库=否；NSFW=否；协议=自有；素材限制=933；原表状态为空，已导入为draft</x:v>
      </x:c>
      <x:c r="AB185" s="23" t="str">
        <x:f t="shared" si="11">IF(A185="","",IF(COUNTIF($A$5:$A$1004,A185)&gt;1,"错误:重复成本规则ID",IF(OR(B185="",C185="",E185="",F185="",K185="",O185&lt;=0,P185&lt;=0,Q185&lt;=0,R185&lt;=0,S185&lt;0,T185&lt;=0,Y185=""),"错误:必填项",IF(D185="","警告:SKU待映射","OK"))))</x:f>
        <x:v>OK</x:v>
      </x:c>
    </x:row>
    <x:row r="186" ht="66" hidden="1" customHeight="1">
      <x:c r="A186" s="2" t="str">
        <x:v>COST-MEGABYAI-R99-720-REQ-NOV</x:v>
      </x:c>
      <x:c r="B186" s="2" t="str">
        <x:v>CH-MEGABYAI</x:v>
      </x:c>
      <x:c r="C186" s="2" t="str">
        <x:v>videos-standard</x:v>
      </x:c>
      <x:c r="D186" s="2" t="str">
        <x:v>SKU-SD20-STD-720</x:v>
      </x:c>
      <x:c r="E186" s="2" t="str">
        <x:v>no_video</x:v>
      </x:c>
      <x:c r="F186" s="2" t="str">
        <x:v>per_request</x:v>
      </x:c>
      <x:c r="G186" s="2"/>
      <x:c r="H186" s="2" t="str">
        <x:v>validated_request</x:v>
      </x:c>
      <x:c r="I186" s="2" t="str">
        <x:v>request_count</x:v>
      </x:c>
      <x:c r="J186" s="2" t="str">
        <x:v>task_succeeded</x:v>
      </x:c>
      <x:c r="K186" s="2" t="str">
        <x:v>CNY</x:v>
      </x:c>
      <x:c r="L186" s="27" t="n">
        <x:v>2.1</x:v>
      </x:c>
      <x:c r="M186" s="27"/>
      <x:c r="N186" s="27"/>
      <x:c r="O186" s="26" t="n">
        <x:f t="shared" si="8">IF(F186="per_request",L186,IF(F186="per_duration",M186,IF(F186="per_token",N186,0)))</x:f>
        <x:v>2.1</x:v>
      </x:c>
      <x:c r="P186" s="27" t="n">
        <x:v>1</x:v>
      </x:c>
      <x:c r="Q186" s="27" t="n">
        <x:v>1</x:v>
      </x:c>
      <x:c r="R186" s="27" t="n">
        <x:v>1</x:v>
      </x:c>
      <x:c r="S186" s="27" t="n">
        <x:v>0</x:v>
      </x:c>
      <x:c r="T186" s="26" t="n">
        <x:f>IF(K186="USD",1,'参数'!$B$6)</x:f>
        <x:v>0.136986301369863</x:v>
      </x:c>
      <x:c r="U186" s="26" t="n">
        <x:f t="shared" si="9">O186*P186*Q186/R186*(1+S186)*T186</x:f>
        <x:v>0.2876712328767123</x:v>
      </x:c>
      <x:c r="V186" s="23" t="str">
        <x:f t="shared" si="10">IF(F186="per_request","USD/次",IF(F186="per_duration","USD/秒",IF(F186="per_token","USD/1M Token","")))</x:f>
        <x:v>USD/次</x:v>
      </x:c>
      <x:c r="W186" s="20" t="n">
        <x:v>46229.393565162034</x:v>
      </x:c>
      <x:c r="X186" s="20"/>
      <x:c r="Y186" s="2" t="str">
        <x:v>draft</x:v>
      </x:c>
      <x:c r="Z186" s="2" t="str">
        <x:v>SRC-CH-08</x:v>
      </x:c>
      <x:c r="AA186" s="7" t="str">
        <x:v>源行=sd!99；原模型=videos-standard；时长=4-15；比例=不限；视频输入=是；真人脸=否；超分=否；素材库=否；NSFW=否；协议=自有；素材限制=933；原表状态为空，已导入为draft</x:v>
      </x:c>
      <x:c r="AB186" s="23" t="str">
        <x:f t="shared" si="11">IF(A186="","",IF(COUNTIF($A$5:$A$1004,A186)&gt;1,"错误:重复成本规则ID",IF(OR(B186="",C186="",E186="",F186="",K186="",O186&lt;=0,P186&lt;=0,Q186&lt;=0,R186&lt;=0,S186&lt;0,T186&lt;=0,Y186=""),"错误:必填项",IF(D186="","警告:SKU待映射","OK"))))</x:f>
        <x:v>OK</x:v>
      </x:c>
    </x:row>
    <x:row r="187" ht="66" hidden="1" customHeight="1">
      <x:c r="A187" s="2" t="str">
        <x:v>COST-MEGABYAI-R99-720-REQ-VID</x:v>
      </x:c>
      <x:c r="B187" s="2" t="str">
        <x:v>CH-MEGABYAI</x:v>
      </x:c>
      <x:c r="C187" s="2" t="str">
        <x:v>videos-standard</x:v>
      </x:c>
      <x:c r="D187" s="2" t="str">
        <x:v>SKU-SD20-STD-720</x:v>
      </x:c>
      <x:c r="E187" s="2" t="str">
        <x:v>with_video</x:v>
      </x:c>
      <x:c r="F187" s="2" t="str">
        <x:v>per_request</x:v>
      </x:c>
      <x:c r="G187" s="2"/>
      <x:c r="H187" s="2" t="str">
        <x:v>validated_request</x:v>
      </x:c>
      <x:c r="I187" s="2" t="str">
        <x:v>request_count</x:v>
      </x:c>
      <x:c r="J187" s="2" t="str">
        <x:v>task_succeeded</x:v>
      </x:c>
      <x:c r="K187" s="2" t="str">
        <x:v>CNY</x:v>
      </x:c>
      <x:c r="L187" s="27" t="n">
        <x:v>2.1</x:v>
      </x:c>
      <x:c r="M187" s="27"/>
      <x:c r="N187" s="27"/>
      <x:c r="O187" s="26" t="n">
        <x:f t="shared" si="8">IF(F187="per_request",L187,IF(F187="per_duration",M187,IF(F187="per_token",N187,0)))</x:f>
        <x:v>2.1</x:v>
      </x:c>
      <x:c r="P187" s="27" t="n">
        <x:v>1</x:v>
      </x:c>
      <x:c r="Q187" s="27" t="n">
        <x:v>1</x:v>
      </x:c>
      <x:c r="R187" s="27" t="n">
        <x:v>1</x:v>
      </x:c>
      <x:c r="S187" s="27" t="n">
        <x:v>0</x:v>
      </x:c>
      <x:c r="T187" s="26" t="n">
        <x:f>IF(K187="USD",1,'参数'!$B$6)</x:f>
        <x:v>0.136986301369863</x:v>
      </x:c>
      <x:c r="U187" s="26" t="n">
        <x:f t="shared" si="9">O187*P187*Q187/R187*(1+S187)*T187</x:f>
        <x:v>0.2876712328767123</x:v>
      </x:c>
      <x:c r="V187" s="23" t="str">
        <x:f t="shared" si="10">IF(F187="per_request","USD/次",IF(F187="per_duration","USD/秒",IF(F187="per_token","USD/1M Token","")))</x:f>
        <x:v>USD/次</x:v>
      </x:c>
      <x:c r="W187" s="20" t="n">
        <x:v>46229.393565162034</x:v>
      </x:c>
      <x:c r="X187" s="20"/>
      <x:c r="Y187" s="2" t="str">
        <x:v>draft</x:v>
      </x:c>
      <x:c r="Z187" s="2" t="str">
        <x:v>SRC-CH-08</x:v>
      </x:c>
      <x:c r="AA187" s="7" t="str">
        <x:v>源行=sd!99；原模型=videos-standard；时长=4-15；比例=不限；视频输入=是；真人脸=否；超分=否；素材库=否；NSFW=否；协议=自有；素材限制=933；原表状态为空，已导入为draft</x:v>
      </x:c>
      <x:c r="AB187" s="23" t="str">
        <x:f t="shared" si="11">IF(A187="","",IF(COUNTIF($A$5:$A$1004,A187)&gt;1,"错误:重复成本规则ID",IF(OR(B187="",C187="",E187="",F187="",K187="",O187&lt;=0,P187&lt;=0,Q187&lt;=0,R187&lt;=0,S187&lt;0,T187&lt;=0,Y187=""),"错误:必填项",IF(D187="","警告:SKU待映射","OK"))))</x:f>
        <x:v>OK</x:v>
      </x:c>
    </x:row>
    <x:row r="188" ht="66" hidden="1" customHeight="1">
      <x:c r="A188" s="2" t="str">
        <x:v>COST-MEGABYAI-R100-1080-SEC-NOV</x:v>
      </x:c>
      <x:c r="B188" s="2" t="str">
        <x:v>CH-MEGABYAI</x:v>
      </x:c>
      <x:c r="C188" s="2" t="str">
        <x:v>videos-standard</x:v>
      </x:c>
      <x:c r="D188" s="2" t="str">
        <x:v>SKU-SD20-STD-1080</x:v>
      </x:c>
      <x:c r="E188" s="2" t="str">
        <x:v>no_video</x:v>
      </x:c>
      <x:c r="F188" s="2" t="str">
        <x:v>per_duration</x:v>
      </x:c>
      <x:c r="G188" s="2"/>
      <x:c r="H188" s="2" t="str">
        <x:v>validated_request</x:v>
      </x:c>
      <x:c r="I188" s="2" t="str">
        <x:v>billable_duration_seconds</x:v>
      </x:c>
      <x:c r="J188" s="2" t="str">
        <x:v>task_succeeded</x:v>
      </x:c>
      <x:c r="K188" s="2" t="str">
        <x:v>CNY</x:v>
      </x:c>
      <x:c r="L188" s="27"/>
      <x:c r="M188" s="27" t="n">
        <x:v>0.252</x:v>
      </x:c>
      <x:c r="N188" s="27"/>
      <x:c r="O188" s="26" t="n">
        <x:f t="shared" si="8">IF(F188="per_request",L188,IF(F188="per_duration",M188,IF(F188="per_token",N188,0)))</x:f>
        <x:v>0.252</x:v>
      </x:c>
      <x:c r="P188" s="27" t="n">
        <x:v>1</x:v>
      </x:c>
      <x:c r="Q188" s="27" t="n">
        <x:v>1</x:v>
      </x:c>
      <x:c r="R188" s="27" t="n">
        <x:v>1</x:v>
      </x:c>
      <x:c r="S188" s="27" t="n">
        <x:v>0</x:v>
      </x:c>
      <x:c r="T188" s="26" t="n">
        <x:f>IF(K188="USD",1,'参数'!$B$6)</x:f>
        <x:v>0.136986301369863</x:v>
      </x:c>
      <x:c r="U188" s="26" t="n">
        <x:f t="shared" si="9">O188*P188*Q188/R188*(1+S188)*T188</x:f>
        <x:v>0.034520547945205475</x:v>
      </x:c>
      <x:c r="V188" s="23" t="str">
        <x:f t="shared" si="10">IF(F188="per_request","USD/次",IF(F188="per_duration","USD/秒",IF(F188="per_token","USD/1M Token","")))</x:f>
        <x:v>USD/秒</x:v>
      </x:c>
      <x:c r="W188" s="20" t="n">
        <x:v>46229.393565162034</x:v>
      </x:c>
      <x:c r="X188" s="20"/>
      <x:c r="Y188" s="2" t="str">
        <x:v>draft</x:v>
      </x:c>
      <x:c r="Z188" s="2" t="str">
        <x:v>SRC-CH-08</x:v>
      </x:c>
      <x:c r="AA188" s="7" t="str">
        <x:v>源行=sd!100；原模型=videos-standard；时长=4-15；比例=不限；视频输入=是；真人脸=否；超分=否；素材库=否；NSFW=否；协议=自有；素材限制=933；原表折扣 秒 无V=0.102（成本/官价参考比，不参与成本二次计算）；原表状态为空，已导入为draft</x:v>
      </x:c>
      <x:c r="AB188" s="23" t="str">
        <x:f t="shared" si="11">IF(A188="","",IF(COUNTIF($A$5:$A$1004,A188)&gt;1,"错误:重复成本规则ID",IF(OR(B188="",C188="",E188="",F188="",K188="",O188&lt;=0,P188&lt;=0,Q188&lt;=0,R188&lt;=0,S188&lt;0,T188&lt;=0,Y188=""),"错误:必填项",IF(D188="","警告:SKU待映射","OK"))))</x:f>
        <x:v>OK</x:v>
      </x:c>
    </x:row>
    <x:row r="189" ht="66" hidden="1" customHeight="1">
      <x:c r="A189" s="2" t="str">
        <x:v>COST-MEGABYAI-R100-1080-SEC-VID</x:v>
      </x:c>
      <x:c r="B189" s="2" t="str">
        <x:v>CH-MEGABYAI</x:v>
      </x:c>
      <x:c r="C189" s="2" t="str">
        <x:v>videos-standard</x:v>
      </x:c>
      <x:c r="D189" s="2" t="str">
        <x:v>SKU-SD20-STD-1080</x:v>
      </x:c>
      <x:c r="E189" s="2" t="str">
        <x:v>with_video</x:v>
      </x:c>
      <x:c r="F189" s="2" t="str">
        <x:v>per_duration</x:v>
      </x:c>
      <x:c r="G189" s="2"/>
      <x:c r="H189" s="2" t="str">
        <x:v>validated_request</x:v>
      </x:c>
      <x:c r="I189" s="2" t="str">
        <x:v>billable_duration_seconds</x:v>
      </x:c>
      <x:c r="J189" s="2" t="str">
        <x:v>task_succeeded</x:v>
      </x:c>
      <x:c r="K189" s="2" t="str">
        <x:v>CNY</x:v>
      </x:c>
      <x:c r="L189" s="27"/>
      <x:c r="M189" s="27" t="n">
        <x:v>0.252</x:v>
      </x:c>
      <x:c r="N189" s="27"/>
      <x:c r="O189" s="26" t="n">
        <x:f t="shared" si="8">IF(F189="per_request",L189,IF(F189="per_duration",M189,IF(F189="per_token",N189,0)))</x:f>
        <x:v>0.252</x:v>
      </x:c>
      <x:c r="P189" s="27" t="n">
        <x:v>1</x:v>
      </x:c>
      <x:c r="Q189" s="27" t="n">
        <x:v>1</x:v>
      </x:c>
      <x:c r="R189" s="27" t="n">
        <x:v>1</x:v>
      </x:c>
      <x:c r="S189" s="27" t="n">
        <x:v>0</x:v>
      </x:c>
      <x:c r="T189" s="26" t="n">
        <x:f>IF(K189="USD",1,'参数'!$B$6)</x:f>
        <x:v>0.136986301369863</x:v>
      </x:c>
      <x:c r="U189" s="26" t="n">
        <x:f t="shared" si="9">O189*P189*Q189/R189*(1+S189)*T189</x:f>
        <x:v>0.034520547945205475</x:v>
      </x:c>
      <x:c r="V189" s="23" t="str">
        <x:f t="shared" si="10">IF(F189="per_request","USD/次",IF(F189="per_duration","USD/秒",IF(F189="per_token","USD/1M Token","")))</x:f>
        <x:v>USD/秒</x:v>
      </x:c>
      <x:c r="W189" s="20" t="n">
        <x:v>46229.393565162034</x:v>
      </x:c>
      <x:c r="X189" s="20"/>
      <x:c r="Y189" s="2" t="str">
        <x:v>draft</x:v>
      </x:c>
      <x:c r="Z189" s="2" t="str">
        <x:v>SRC-CH-08</x:v>
      </x:c>
      <x:c r="AA189" s="7" t="str">
        <x:v>源行=sd!100；原模型=videos-standard；时长=4-15；比例=不限；视频输入=是；真人脸=否；超分=否；素材库=否；NSFW=否；协议=自有；素材限制=933；原表折扣 秒 含V=0.167（成本/官价参考比，不参与成本二次计算）；原表状态为空，已导入为draft</x:v>
      </x:c>
      <x:c r="AB189" s="23" t="str">
        <x:f t="shared" si="11">IF(A189="","",IF(COUNTIF($A$5:$A$1004,A189)&gt;1,"错误:重复成本规则ID",IF(OR(B189="",C189="",E189="",F189="",K189="",O189&lt;=0,P189&lt;=0,Q189&lt;=0,R189&lt;=0,S189&lt;0,T189&lt;=0,Y189=""),"错误:必填项",IF(D189="","警告:SKU待映射","OK"))))</x:f>
        <x:v>OK</x:v>
      </x:c>
    </x:row>
    <x:row r="190" ht="39.599998474121094" hidden="1" customHeight="1">
      <x:c r="A190" s="2" t="str">
        <x:v>COST-MEGABYAI-R101-4K-SEC-NOV</x:v>
      </x:c>
      <x:c r="B190" s="2" t="str">
        <x:v>CH-MEGABYAI</x:v>
      </x:c>
      <x:c r="C190" s="2" t="str">
        <x:v>videos-standard</x:v>
      </x:c>
      <x:c r="D190" s="2" t="str">
        <x:v>SKU-SD20-STD-4K</x:v>
      </x:c>
      <x:c r="E190" s="2" t="str">
        <x:v>no_video</x:v>
      </x:c>
      <x:c r="F190" s="2" t="str">
        <x:v>per_duration</x:v>
      </x:c>
      <x:c r="G190" s="2"/>
      <x:c r="H190" s="2" t="str">
        <x:v>validated_request</x:v>
      </x:c>
      <x:c r="I190" s="2" t="str">
        <x:v>billable_duration_seconds</x:v>
      </x:c>
      <x:c r="J190" s="2" t="str">
        <x:v>task_succeeded</x:v>
      </x:c>
      <x:c r="K190" s="2" t="str">
        <x:v>CNY</x:v>
      </x:c>
      <x:c r="L190" s="27"/>
      <x:c r="M190" s="27" t="n">
        <x:v>0.504</x:v>
      </x:c>
      <x:c r="N190" s="27"/>
      <x:c r="O190" s="26" t="n">
        <x:f t="shared" si="8">IF(F190="per_request",L190,IF(F190="per_duration",M190,IF(F190="per_token",N190,0)))</x:f>
        <x:v>0.504</x:v>
      </x:c>
      <x:c r="P190" s="27" t="n">
        <x:v>1</x:v>
      </x:c>
      <x:c r="Q190" s="27" t="n">
        <x:v>1</x:v>
      </x:c>
      <x:c r="R190" s="27" t="n">
        <x:v>1</x:v>
      </x:c>
      <x:c r="S190" s="27" t="n">
        <x:v>0</x:v>
      </x:c>
      <x:c r="T190" s="26" t="n">
        <x:f>IF(K190="USD",1,'参数'!$B$6)</x:f>
        <x:v>0.136986301369863</x:v>
      </x:c>
      <x:c r="U190" s="26" t="n">
        <x:f t="shared" si="9">O190*P190*Q190/R190*(1+S190)*T190</x:f>
        <x:v>0.06904109589041095</x:v>
      </x:c>
      <x:c r="V190" s="23" t="str">
        <x:f t="shared" si="10">IF(F190="per_request","USD/次",IF(F190="per_duration","USD/秒",IF(F190="per_token","USD/1M Token","")))</x:f>
        <x:v>USD/秒</x:v>
      </x:c>
      <x:c r="W190" s="20" t="n">
        <x:v>46229.393565162034</x:v>
      </x:c>
      <x:c r="X190" s="20"/>
      <x:c r="Y190" s="2" t="str">
        <x:v>draft</x:v>
      </x:c>
      <x:c r="Z190" s="2" t="str">
        <x:v>SRC-CH-08</x:v>
      </x:c>
      <x:c r="AA190" s="7" t="str">
        <x:v>源行=sd!101；原模型=videos-standard；时长=4-15；比例=不限；视频输入=是；真人脸=否；超分=否；素材库=否；NSFW=否；协议=自有；素材限制=933；原表折扣 秒 无V=0.1（成本/官价参考比，不参与成本二次计算）；原表状态为空，已导入为draft</x:v>
      </x:c>
      <x:c r="AB190" s="23" t="str">
        <x:f t="shared" si="11">IF(A190="","",IF(COUNTIF($A$5:$A$1004,A190)&gt;1,"错误:重复成本规则ID",IF(OR(B190="",C190="",E190="",F190="",K190="",O190&lt;=0,P190&lt;=0,Q190&lt;=0,R190&lt;=0,S190&lt;0,T190&lt;=0,Y190=""),"错误:必填项",IF(D190="","警告:SKU待映射","OK"))))</x:f>
        <x:v>OK</x:v>
      </x:c>
    </x:row>
    <x:row r="191" ht="39.599998474121094" hidden="1" customHeight="1">
      <x:c r="A191" s="2" t="str">
        <x:v>COST-MEGABYAI-R101-4K-SEC-VID</x:v>
      </x:c>
      <x:c r="B191" s="2" t="str">
        <x:v>CH-MEGABYAI</x:v>
      </x:c>
      <x:c r="C191" s="2" t="str">
        <x:v>videos-standard</x:v>
      </x:c>
      <x:c r="D191" s="2" t="str">
        <x:v>SKU-SD20-STD-4K</x:v>
      </x:c>
      <x:c r="E191" s="2" t="str">
        <x:v>with_video</x:v>
      </x:c>
      <x:c r="F191" s="2" t="str">
        <x:v>per_duration</x:v>
      </x:c>
      <x:c r="G191" s="2"/>
      <x:c r="H191" s="2" t="str">
        <x:v>validated_request</x:v>
      </x:c>
      <x:c r="I191" s="2" t="str">
        <x:v>billable_duration_seconds</x:v>
      </x:c>
      <x:c r="J191" s="2" t="str">
        <x:v>task_succeeded</x:v>
      </x:c>
      <x:c r="K191" s="2" t="str">
        <x:v>CNY</x:v>
      </x:c>
      <x:c r="L191" s="27"/>
      <x:c r="M191" s="27" t="n">
        <x:v>0.504</x:v>
      </x:c>
      <x:c r="N191" s="27"/>
      <x:c r="O191" s="26" t="n">
        <x:f t="shared" si="8">IF(F191="per_request",L191,IF(F191="per_duration",M191,IF(F191="per_token",N191,0)))</x:f>
        <x:v>0.504</x:v>
      </x:c>
      <x:c r="P191" s="27" t="n">
        <x:v>1</x:v>
      </x:c>
      <x:c r="Q191" s="27" t="n">
        <x:v>1</x:v>
      </x:c>
      <x:c r="R191" s="27" t="n">
        <x:v>1</x:v>
      </x:c>
      <x:c r="S191" s="27" t="n">
        <x:v>0</x:v>
      </x:c>
      <x:c r="T191" s="26" t="n">
        <x:f>IF(K191="USD",1,'参数'!$B$6)</x:f>
        <x:v>0.136986301369863</x:v>
      </x:c>
      <x:c r="U191" s="26" t="n">
        <x:f t="shared" si="9">O191*P191*Q191/R191*(1+S191)*T191</x:f>
        <x:v>0.06904109589041095</x:v>
      </x:c>
      <x:c r="V191" s="23" t="str">
        <x:f t="shared" si="10">IF(F191="per_request","USD/次",IF(F191="per_duration","USD/秒",IF(F191="per_token","USD/1M Token","")))</x:f>
        <x:v>USD/秒</x:v>
      </x:c>
      <x:c r="W191" s="20" t="n">
        <x:v>46229.393565162034</x:v>
      </x:c>
      <x:c r="X191" s="20"/>
      <x:c r="Y191" s="2" t="str">
        <x:v>draft</x:v>
      </x:c>
      <x:c r="Z191" s="2" t="str">
        <x:v>SRC-CH-08</x:v>
      </x:c>
      <x:c r="AA191" s="7" t="str">
        <x:v>源行=sd!101；原模型=videos-standard；时长=4-15；比例=不限；视频输入=是；真人脸=否；超分=否；素材库=否；NSFW=否；协议=自有；素材限制=933；原表折扣 秒 含V=0.162（成本/官价参考比，不参与成本二次计算）；原表状态为空，已导入为draft</x:v>
      </x:c>
      <x:c r="AB191" s="23" t="str">
        <x:f t="shared" si="11">IF(A191="","",IF(COUNTIF($A$5:$A$1004,A191)&gt;1,"错误:重复成本规则ID",IF(OR(B191="",C191="",E191="",F191="",K191="",O191&lt;=0,P191&lt;=0,Q191&lt;=0,R191&lt;=0,S191&lt;0,T191&lt;=0,Y191=""),"错误:必填项",IF(D191="","警告:SKU待映射","OK"))))</x:f>
        <x:v>OK</x:v>
      </x:c>
    </x:row>
    <x:row r="192" ht="39.599998474121094" hidden="1" customHeight="1">
      <x:c r="A192" s="2" t="str">
        <x:v>COST-MEGABYAI-R102-480-REQ-NOV</x:v>
      </x:c>
      <x:c r="B192" s="2" t="str">
        <x:v>CH-MEGABYAI</x:v>
      </x:c>
      <x:c r="C192" s="2" t="str">
        <x:v>videos-fast</x:v>
      </x:c>
      <x:c r="D192" s="2" t="str">
        <x:v>SKU-SD20-FAST-480</x:v>
      </x:c>
      <x:c r="E192" s="2" t="str">
        <x:v>no_video</x:v>
      </x:c>
      <x:c r="F192" s="2" t="str">
        <x:v>per_request</x:v>
      </x:c>
      <x:c r="G192" s="2"/>
      <x:c r="H192" s="2" t="str">
        <x:v>validated_request</x:v>
      </x:c>
      <x:c r="I192" s="2" t="str">
        <x:v>request_count</x:v>
      </x:c>
      <x:c r="J192" s="2" t="str">
        <x:v>task_succeeded</x:v>
      </x:c>
      <x:c r="K192" s="2" t="str">
        <x:v>CNY</x:v>
      </x:c>
      <x:c r="L192" s="27" t="n">
        <x:v>3</x:v>
      </x:c>
      <x:c r="M192" s="27"/>
      <x:c r="N192" s="27"/>
      <x:c r="O192" s="26" t="n">
        <x:f t="shared" si="8">IF(F192="per_request",L192,IF(F192="per_duration",M192,IF(F192="per_token",N192,0)))</x:f>
        <x:v>3</x:v>
      </x:c>
      <x:c r="P192" s="27" t="n">
        <x:v>1</x:v>
      </x:c>
      <x:c r="Q192" s="27" t="n">
        <x:v>1</x:v>
      </x:c>
      <x:c r="R192" s="27" t="n">
        <x:v>1</x:v>
      </x:c>
      <x:c r="S192" s="27" t="n">
        <x:v>0</x:v>
      </x:c>
      <x:c r="T192" s="26" t="n">
        <x:f>IF(K192="USD",1,'参数'!$B$6)</x:f>
        <x:v>0.136986301369863</x:v>
      </x:c>
      <x:c r="U192" s="26" t="n">
        <x:f t="shared" si="9">O192*P192*Q192*R192*(1+S192)*T192</x:f>
        <x:v>0.410958904109589</x:v>
      </x:c>
      <x:c r="V192" s="23" t="str">
        <x:f t="shared" si="10">IF(F192="per_request","USD/次",IF(F192="per_duration","USD/秒",IF(F192="per_token","USD/1M Token","")))</x:f>
        <x:v>USD/次</x:v>
      </x:c>
      <x:c r="W192" s="20" t="n">
        <x:v>46229.393565162034</x:v>
      </x:c>
      <x:c r="X192" s="20"/>
      <x:c r="Y192" s="2" t="str">
        <x:v>draft</x:v>
      </x:c>
      <x:c r="Z192" s="2" t="str">
        <x:v>SRC-CH-08</x:v>
      </x:c>
      <x:c r="AA192" s="7" t="str">
        <x:v>源行=sd!102；原模型=videos-fast；时长=4-15；比例=不限；视频输入=是；真人脸=是；超分=否；素材库=否；NSFW=否；协议=自有；素材限制=933；原表状态为空，已导入为draft；v1修正：confirmed_real_person=true；原币按次=3 CNY</x:v>
      </x:c>
      <x:c r="AB192" s="23" t="str">
        <x:f t="shared" si="11">IF(A192="","",IF(COUNTIF($A$5:$A$1004,A192)&gt;1,"错误:重复成本规则ID",IF(OR(B192="",C192="",E192="",F192="",K192="",O192&lt;=0,P192&lt;=0,Q192&lt;=0,R192&lt;=0,S192&lt;0,T192&lt;=0,Y192=""),"错误:必填项",IF(D192="","警告:SKU待映射","OK"))))</x:f>
        <x:v>OK</x:v>
      </x:c>
    </x:row>
    <x:row r="193" ht="39.599998474121094" hidden="1" customHeight="1">
      <x:c r="A193" s="2" t="str">
        <x:v>COST-MEGABYAI-R102-480-REQ-VID</x:v>
      </x:c>
      <x:c r="B193" s="2" t="str">
        <x:v>CH-MEGABYAI</x:v>
      </x:c>
      <x:c r="C193" s="2" t="str">
        <x:v>videos-fast</x:v>
      </x:c>
      <x:c r="D193" s="2" t="str">
        <x:v>SKU-SD20-FAST-480</x:v>
      </x:c>
      <x:c r="E193" s="2" t="str">
        <x:v>with_video</x:v>
      </x:c>
      <x:c r="F193" s="2" t="str">
        <x:v>per_request</x:v>
      </x:c>
      <x:c r="G193" s="2"/>
      <x:c r="H193" s="2" t="str">
        <x:v>validated_request</x:v>
      </x:c>
      <x:c r="I193" s="2" t="str">
        <x:v>request_count</x:v>
      </x:c>
      <x:c r="J193" s="2" t="str">
        <x:v>task_succeeded</x:v>
      </x:c>
      <x:c r="K193" s="2" t="str">
        <x:v>CNY</x:v>
      </x:c>
      <x:c r="L193" s="27" t="n">
        <x:v>3</x:v>
      </x:c>
      <x:c r="M193" s="27"/>
      <x:c r="N193" s="27"/>
      <x:c r="O193" s="26" t="n">
        <x:f t="shared" si="8">IF(F193="per_request",L193,IF(F193="per_duration",M193,IF(F193="per_token",N193,0)))</x:f>
        <x:v>3</x:v>
      </x:c>
      <x:c r="P193" s="27" t="n">
        <x:v>1</x:v>
      </x:c>
      <x:c r="Q193" s="27" t="n">
        <x:v>1</x:v>
      </x:c>
      <x:c r="R193" s="27" t="n">
        <x:v>1</x:v>
      </x:c>
      <x:c r="S193" s="27" t="n">
        <x:v>0</x:v>
      </x:c>
      <x:c r="T193" s="26" t="n">
        <x:f>IF(K193="USD",1,'参数'!$B$6)</x:f>
        <x:v>0.136986301369863</x:v>
      </x:c>
      <x:c r="U193" s="26" t="n">
        <x:f t="shared" si="9">O193*P193*Q193*R193*(1+S193)*T193</x:f>
        <x:v>0.410958904109589</x:v>
      </x:c>
      <x:c r="V193" s="23" t="str">
        <x:f t="shared" si="10">IF(F193="per_request","USD/次",IF(F193="per_duration","USD/秒",IF(F193="per_token","USD/1M Token","")))</x:f>
        <x:v>USD/次</x:v>
      </x:c>
      <x:c r="W193" s="20" t="n">
        <x:v>46229.393565162034</x:v>
      </x:c>
      <x:c r="X193" s="20"/>
      <x:c r="Y193" s="2" t="str">
        <x:v>draft</x:v>
      </x:c>
      <x:c r="Z193" s="2" t="str">
        <x:v>SRC-CH-08</x:v>
      </x:c>
      <x:c r="AA193" s="7" t="str">
        <x:v>源行=sd!102；原模型=videos-fast；时长=4-15；比例=不限；视频输入=是；真人脸=是；超分=否；素材库=否；NSFW=否；协议=自有；素材限制=933；原表状态为空，已导入为draft；v1修正：confirmed_real_person=true；原币按次=3 CNY</x:v>
      </x:c>
      <x:c r="AB193" s="23" t="str">
        <x:f t="shared" si="11">IF(A193="","",IF(COUNTIF($A$5:$A$1004,A193)&gt;1,"错误:重复成本规则ID",IF(OR(B193="",C193="",E193="",F193="",K193="",O193&lt;=0,P193&lt;=0,Q193&lt;=0,R193&lt;=0,S193&lt;0,T193&lt;=0,Y193=""),"错误:必填项",IF(D193="","警告:SKU待映射","OK"))))</x:f>
        <x:v>OK</x:v>
      </x:c>
    </x:row>
    <x:row r="194" ht="39.599998474121094" hidden="1" customHeight="1">
      <x:c r="A194" s="2" t="str">
        <x:v>COST-MEGABYAI-R103-720-REQ-NOV</x:v>
      </x:c>
      <x:c r="B194" s="2" t="str">
        <x:v>CH-MEGABYAI</x:v>
      </x:c>
      <x:c r="C194" s="2" t="str">
        <x:v>videos-fast</x:v>
      </x:c>
      <x:c r="D194" s="2" t="str">
        <x:v>SKU-SD20-FAST-720</x:v>
      </x:c>
      <x:c r="E194" s="2" t="str">
        <x:v>no_video</x:v>
      </x:c>
      <x:c r="F194" s="2" t="str">
        <x:v>per_request</x:v>
      </x:c>
      <x:c r="G194" s="2"/>
      <x:c r="H194" s="2" t="str">
        <x:v>validated_request</x:v>
      </x:c>
      <x:c r="I194" s="2" t="str">
        <x:v>request_count</x:v>
      </x:c>
      <x:c r="J194" s="2" t="str">
        <x:v>task_succeeded</x:v>
      </x:c>
      <x:c r="K194" s="2" t="str">
        <x:v>CNY</x:v>
      </x:c>
      <x:c r="L194" s="27" t="n">
        <x:v>4</x:v>
      </x:c>
      <x:c r="M194" s="27"/>
      <x:c r="N194" s="27"/>
      <x:c r="O194" s="26" t="n">
        <x:f t="shared" si="8">IF(F194="per_request",L194,IF(F194="per_duration",M194,IF(F194="per_token",N194,0)))</x:f>
        <x:v>4</x:v>
      </x:c>
      <x:c r="P194" s="27" t="n">
        <x:v>1</x:v>
      </x:c>
      <x:c r="Q194" s="27" t="n">
        <x:v>1</x:v>
      </x:c>
      <x:c r="R194" s="27" t="n">
        <x:v>1</x:v>
      </x:c>
      <x:c r="S194" s="27" t="n">
        <x:v>0</x:v>
      </x:c>
      <x:c r="T194" s="26" t="n">
        <x:f>IF(K194="USD",1,'参数'!$B$6)</x:f>
        <x:v>0.136986301369863</x:v>
      </x:c>
      <x:c r="U194" s="26" t="n">
        <x:f t="shared" si="9">O194*P194*Q194*R194*(1+S194)*T194</x:f>
        <x:v>0.547945205479452</x:v>
      </x:c>
      <x:c r="V194" s="23" t="str">
        <x:f t="shared" si="10">IF(F194="per_request","USD/次",IF(F194="per_duration","USD/秒",IF(F194="per_token","USD/1M Token","")))</x:f>
        <x:v>USD/次</x:v>
      </x:c>
      <x:c r="W194" s="20" t="n">
        <x:v>46229.393565162034</x:v>
      </x:c>
      <x:c r="X194" s="20"/>
      <x:c r="Y194" s="2" t="str">
        <x:v>draft</x:v>
      </x:c>
      <x:c r="Z194" s="2" t="str">
        <x:v>SRC-CH-08</x:v>
      </x:c>
      <x:c r="AA194" s="7" t="str">
        <x:v>源行=sd!103；原模型=videos-fast；时长=4-15；比例=不限；视频输入=是；真人脸=是；超分=否；素材库=否；NSFW=否；协议=自有；素材限制=933；原表状态为空，已导入为draft；v1修正：confirmed_real_person=true；原币按次=4 CNY</x:v>
      </x:c>
      <x:c r="AB194" s="23" t="str">
        <x:f t="shared" si="11">IF(A194="","",IF(COUNTIF($A$5:$A$1004,A194)&gt;1,"错误:重复成本规则ID",IF(OR(B194="",C194="",E194="",F194="",K194="",O194&lt;=0,P194&lt;=0,Q194&lt;=0,R194&lt;=0,S194&lt;0,T194&lt;=0,Y194=""),"错误:必填项",IF(D194="","警告:SKU待映射","OK"))))</x:f>
        <x:v>OK</x:v>
      </x:c>
    </x:row>
    <x:row r="195" ht="39.599998474121094" hidden="1" customHeight="1">
      <x:c r="A195" s="2" t="str">
        <x:v>COST-MEGABYAI-R103-720-REQ-VID</x:v>
      </x:c>
      <x:c r="B195" s="2" t="str">
        <x:v>CH-MEGABYAI</x:v>
      </x:c>
      <x:c r="C195" s="2" t="str">
        <x:v>videos-fast</x:v>
      </x:c>
      <x:c r="D195" s="2" t="str">
        <x:v>SKU-SD20-FAST-720</x:v>
      </x:c>
      <x:c r="E195" s="2" t="str">
        <x:v>with_video</x:v>
      </x:c>
      <x:c r="F195" s="2" t="str">
        <x:v>per_request</x:v>
      </x:c>
      <x:c r="G195" s="2"/>
      <x:c r="H195" s="2" t="str">
        <x:v>validated_request</x:v>
      </x:c>
      <x:c r="I195" s="2" t="str">
        <x:v>request_count</x:v>
      </x:c>
      <x:c r="J195" s="2" t="str">
        <x:v>task_succeeded</x:v>
      </x:c>
      <x:c r="K195" s="2" t="str">
        <x:v>CNY</x:v>
      </x:c>
      <x:c r="L195" s="27" t="n">
        <x:v>4</x:v>
      </x:c>
      <x:c r="M195" s="27"/>
      <x:c r="N195" s="27"/>
      <x:c r="O195" s="26" t="n">
        <x:f t="shared" si="8">IF(F195="per_request",L195,IF(F195="per_duration",M195,IF(F195="per_token",N195,0)))</x:f>
        <x:v>4</x:v>
      </x:c>
      <x:c r="P195" s="27" t="n">
        <x:v>1</x:v>
      </x:c>
      <x:c r="Q195" s="27" t="n">
        <x:v>1</x:v>
      </x:c>
      <x:c r="R195" s="27" t="n">
        <x:v>1</x:v>
      </x:c>
      <x:c r="S195" s="27" t="n">
        <x:v>0</x:v>
      </x:c>
      <x:c r="T195" s="26" t="n">
        <x:f>IF(K195="USD",1,'参数'!$B$6)</x:f>
        <x:v>0.136986301369863</x:v>
      </x:c>
      <x:c r="U195" s="26" t="n">
        <x:f t="shared" si="9">O195*P195*Q195*R195*(1+S195)*T195</x:f>
        <x:v>0.547945205479452</x:v>
      </x:c>
      <x:c r="V195" s="23" t="str">
        <x:f t="shared" si="10">IF(F195="per_request","USD/次",IF(F195="per_duration","USD/秒",IF(F195="per_token","USD/1M Token","")))</x:f>
        <x:v>USD/次</x:v>
      </x:c>
      <x:c r="W195" s="20" t="n">
        <x:v>46229.393565162034</x:v>
      </x:c>
      <x:c r="X195" s="20"/>
      <x:c r="Y195" s="2" t="str">
        <x:v>draft</x:v>
      </x:c>
      <x:c r="Z195" s="2" t="str">
        <x:v>SRC-CH-08</x:v>
      </x:c>
      <x:c r="AA195" s="7" t="str">
        <x:v>源行=sd!103；原模型=videos-fast；时长=4-15；比例=不限；视频输入=是；真人脸=是；超分=否；素材库=否；NSFW=否；协议=自有；素材限制=933；原表状态为空，已导入为draft；v1修正：confirmed_real_person=true；原币按次=4 CNY</x:v>
      </x:c>
      <x:c r="AB195" s="23" t="str">
        <x:f t="shared" si="11">IF(A195="","",IF(COUNTIF($A$5:$A$1004,A195)&gt;1,"错误:重复成本规则ID",IF(OR(B195="",C195="",E195="",F195="",K195="",O195&lt;=0,P195&lt;=0,Q195&lt;=0,R195&lt;=0,S195&lt;0,T195&lt;=0,Y195=""),"错误:必填项",IF(D195="","警告:SKU待映射","OK"))))</x:f>
        <x:v>OK</x:v>
      </x:c>
    </x:row>
    <x:row r="196" ht="39.599998474121094" hidden="1" customHeight="1">
      <x:c r="A196" s="2" t="str">
        <x:v>COST-MEGABYAI-R104-480-REQ-NOV</x:v>
      </x:c>
      <x:c r="B196" s="2" t="str">
        <x:v>CH-MEGABYAI</x:v>
      </x:c>
      <x:c r="C196" s="2" t="str">
        <x:v>videos-fast</x:v>
      </x:c>
      <x:c r="D196" s="2" t="str">
        <x:v>SKU-SD20-FAST-480</x:v>
      </x:c>
      <x:c r="E196" s="2" t="str">
        <x:v>no_video</x:v>
      </x:c>
      <x:c r="F196" s="2" t="str">
        <x:v>per_request</x:v>
      </x:c>
      <x:c r="G196" s="2"/>
      <x:c r="H196" s="2" t="str">
        <x:v>validated_request</x:v>
      </x:c>
      <x:c r="I196" s="2" t="str">
        <x:v>request_count</x:v>
      </x:c>
      <x:c r="J196" s="2" t="str">
        <x:v>task_succeeded</x:v>
      </x:c>
      <x:c r="K196" s="2" t="str">
        <x:v>CNY</x:v>
      </x:c>
      <x:c r="L196" s="27" t="n">
        <x:v>1.2</x:v>
      </x:c>
      <x:c r="M196" s="27"/>
      <x:c r="N196" s="27"/>
      <x:c r="O196" s="26" t="n">
        <x:f t="shared" si="8">IF(F196="per_request",L196,IF(F196="per_duration",M196,IF(F196="per_token",N196,0)))</x:f>
        <x:v>1.2</x:v>
      </x:c>
      <x:c r="P196" s="27" t="n">
        <x:v>1</x:v>
      </x:c>
      <x:c r="Q196" s="27" t="n">
        <x:v>1</x:v>
      </x:c>
      <x:c r="R196" s="27" t="n">
        <x:v>1</x:v>
      </x:c>
      <x:c r="S196" s="27" t="n">
        <x:v>0</x:v>
      </x:c>
      <x:c r="T196" s="26" t="n">
        <x:f>IF(K196="USD",1,'参数'!$B$6)</x:f>
        <x:v>0.136986301369863</x:v>
      </x:c>
      <x:c r="U196" s="26" t="n">
        <x:f t="shared" si="9">O196*P196*Q196*R196*(1+S196)*T196</x:f>
        <x:v>0.1643835616438356</x:v>
      </x:c>
      <x:c r="V196" s="23" t="str">
        <x:f t="shared" si="10">IF(F196="per_request","USD/次",IF(F196="per_duration","USD/秒",IF(F196="per_token","USD/1M Token","")))</x:f>
        <x:v>USD/次</x:v>
      </x:c>
      <x:c r="W196" s="20" t="n">
        <x:v>46229.393565162034</x:v>
      </x:c>
      <x:c r="X196" s="20"/>
      <x:c r="Y196" s="2" t="str">
        <x:v>draft</x:v>
      </x:c>
      <x:c r="Z196" s="2" t="str">
        <x:v>SRC-CH-08</x:v>
      </x:c>
      <x:c r="AA196" s="7" t="str">
        <x:v>源行=sd!104；原模型=videos-fast；时长=4-15；比例=不限；视频输入=是；真人脸=否；超分=否；素材库=否；NSFW=否；协议=自有；素材限制=933；原表状态为空，已导入为draft；v1修正：confirmed_real_person=false；原币按次=1.2 CNY</x:v>
      </x:c>
      <x:c r="AB196" s="23" t="str">
        <x:f t="shared" si="11">IF(A196="","",IF(COUNTIF($A$5:$A$1004,A196)&gt;1,"错误:重复成本规则ID",IF(OR(B196="",C196="",E196="",F196="",K196="",O196&lt;=0,P196&lt;=0,Q196&lt;=0,R196&lt;=0,S196&lt;0,T196&lt;=0,Y196=""),"错误:必填项",IF(D196="","警告:SKU待映射","OK"))))</x:f>
        <x:v>OK</x:v>
      </x:c>
    </x:row>
    <x:row r="197" ht="39.599998474121094" hidden="1" customHeight="1">
      <x:c r="A197" s="2" t="str">
        <x:v>COST-MEGABYAI-R104-480-REQ-VID</x:v>
      </x:c>
      <x:c r="B197" s="2" t="str">
        <x:v>CH-MEGABYAI</x:v>
      </x:c>
      <x:c r="C197" s="2" t="str">
        <x:v>videos-fast</x:v>
      </x:c>
      <x:c r="D197" s="2" t="str">
        <x:v>SKU-SD20-FAST-480</x:v>
      </x:c>
      <x:c r="E197" s="2" t="str">
        <x:v>with_video</x:v>
      </x:c>
      <x:c r="F197" s="2" t="str">
        <x:v>per_request</x:v>
      </x:c>
      <x:c r="G197" s="2"/>
      <x:c r="H197" s="2" t="str">
        <x:v>validated_request</x:v>
      </x:c>
      <x:c r="I197" s="2" t="str">
        <x:v>request_count</x:v>
      </x:c>
      <x:c r="J197" s="2" t="str">
        <x:v>task_succeeded</x:v>
      </x:c>
      <x:c r="K197" s="2" t="str">
        <x:v>CNY</x:v>
      </x:c>
      <x:c r="L197" s="27" t="n">
        <x:v>1.2</x:v>
      </x:c>
      <x:c r="M197" s="27"/>
      <x:c r="N197" s="27"/>
      <x:c r="O197" s="26" t="n">
        <x:f t="shared" ref="O197:O216" si="12">IF(F197="per_request",L197,IF(F197="per_duration",M197,IF(F197="per_token",N197,0)))</x:f>
        <x:v>1.2</x:v>
      </x:c>
      <x:c r="P197" s="27" t="n">
        <x:v>1</x:v>
      </x:c>
      <x:c r="Q197" s="27" t="n">
        <x:v>1</x:v>
      </x:c>
      <x:c r="R197" s="27" t="n">
        <x:v>1</x:v>
      </x:c>
      <x:c r="S197" s="27" t="n">
        <x:v>0</x:v>
      </x:c>
      <x:c r="T197" s="26" t="n">
        <x:f>IF(K197="USD",1,'参数'!$B$6)</x:f>
        <x:v>0.136986301369863</x:v>
      </x:c>
      <x:c r="U197" s="26" t="n">
        <x:f t="shared" ref="U197:U216" si="13">O197*P197*Q197*R197*(1+S197)*T197</x:f>
        <x:v>0.1643835616438356</x:v>
      </x:c>
      <x:c r="V197" s="23" t="str">
        <x:f t="shared" ref="V197:V216" si="14">IF(F197="per_request","USD/次",IF(F197="per_duration","USD/秒",IF(F197="per_token","USD/1M Token","")))</x:f>
        <x:v>USD/次</x:v>
      </x:c>
      <x:c r="W197" s="20" t="n">
        <x:v>46229.393565162034</x:v>
      </x:c>
      <x:c r="X197" s="20"/>
      <x:c r="Y197" s="2" t="str">
        <x:v>draft</x:v>
      </x:c>
      <x:c r="Z197" s="2" t="str">
        <x:v>SRC-CH-08</x:v>
      </x:c>
      <x:c r="AA197" s="7" t="str">
        <x:v>源行=sd!104；原模型=videos-fast；时长=4-15；比例=不限；视频输入=是；真人脸=否；超分=否；素材库=否；NSFW=否；协议=自有；素材限制=933；原表状态为空，已导入为draft；v1修正：confirmed_real_person=false；原币按次=1.2 CNY</x:v>
      </x:c>
      <x:c r="AB197" s="23" t="str">
        <x:f t="shared" ref="AB197:AB216" si="15">IF(A197="","",IF(COUNTIF($A$5:$A$1004,A197)&gt;1,"错误:重复成本规则ID",IF(OR(B197="",C197="",E197="",F197="",K197="",O197&lt;=0,P197&lt;=0,Q197&lt;=0,R197&lt;=0,S197&lt;0,T197&lt;=0,Y197=""),"错误:必填项",IF(D197="","警告:SKU待映射","OK"))))</x:f>
        <x:v>OK</x:v>
      </x:c>
    </x:row>
    <x:row r="198" ht="39.599998474121094" hidden="1" customHeight="1">
      <x:c r="A198" s="2" t="str">
        <x:v>COST-MEGABYAI-R105-720-REQ-NOV</x:v>
      </x:c>
      <x:c r="B198" s="2" t="str">
        <x:v>CH-MEGABYAI</x:v>
      </x:c>
      <x:c r="C198" s="2" t="str">
        <x:v>videos-fast</x:v>
      </x:c>
      <x:c r="D198" s="2" t="str">
        <x:v>SKU-SD20-FAST-720</x:v>
      </x:c>
      <x:c r="E198" s="2" t="str">
        <x:v>no_video</x:v>
      </x:c>
      <x:c r="F198" s="2" t="str">
        <x:v>per_request</x:v>
      </x:c>
      <x:c r="G198" s="2"/>
      <x:c r="H198" s="2" t="str">
        <x:v>validated_request</x:v>
      </x:c>
      <x:c r="I198" s="2" t="str">
        <x:v>request_count</x:v>
      </x:c>
      <x:c r="J198" s="2" t="str">
        <x:v>task_succeeded</x:v>
      </x:c>
      <x:c r="K198" s="2" t="str">
        <x:v>CNY</x:v>
      </x:c>
      <x:c r="L198" s="27" t="n">
        <x:v>1.6</x:v>
      </x:c>
      <x:c r="M198" s="27"/>
      <x:c r="N198" s="27"/>
      <x:c r="O198" s="26" t="n">
        <x:f t="shared" si="12">IF(F198="per_request",L198,IF(F198="per_duration",M198,IF(F198="per_token",N198,0)))</x:f>
        <x:v>1.6</x:v>
      </x:c>
      <x:c r="P198" s="27" t="n">
        <x:v>1</x:v>
      </x:c>
      <x:c r="Q198" s="27" t="n">
        <x:v>1</x:v>
      </x:c>
      <x:c r="R198" s="27" t="n">
        <x:v>1</x:v>
      </x:c>
      <x:c r="S198" s="27" t="n">
        <x:v>0</x:v>
      </x:c>
      <x:c r="T198" s="26" t="n">
        <x:f>IF(K198="USD",1,'参数'!$B$6)</x:f>
        <x:v>0.136986301369863</x:v>
      </x:c>
      <x:c r="U198" s="26" t="n">
        <x:f t="shared" si="13">O198*P198*Q198*R198*(1+S198)*T198</x:f>
        <x:v>0.2191780821917808</x:v>
      </x:c>
      <x:c r="V198" s="23" t="str">
        <x:f t="shared" si="14">IF(F198="per_request","USD/次",IF(F198="per_duration","USD/秒",IF(F198="per_token","USD/1M Token","")))</x:f>
        <x:v>USD/次</x:v>
      </x:c>
      <x:c r="W198" s="20" t="n">
        <x:v>46229.393565162034</x:v>
      </x:c>
      <x:c r="X198" s="20"/>
      <x:c r="Y198" s="2" t="str">
        <x:v>draft</x:v>
      </x:c>
      <x:c r="Z198" s="2" t="str">
        <x:v>SRC-CH-08</x:v>
      </x:c>
      <x:c r="AA198" s="7" t="str">
        <x:v>源行=sd!105；原模型=videos-fast；时长=4-15；比例=不限；视频输入=是；真人脸=否；超分=否；素材库=否；NSFW=否；协议=自有；素材限制=933；原表状态为空，已导入为draft；v1修正：confirmed_real_person=false；原币按次=1.6 CNY</x:v>
      </x:c>
      <x:c r="AB198" s="23" t="str">
        <x:f t="shared" si="15">IF(A198="","",IF(COUNTIF($A$5:$A$1004,A198)&gt;1,"错误:重复成本规则ID",IF(OR(B198="",C198="",E198="",F198="",K198="",O198&lt;=0,P198&lt;=0,Q198&lt;=0,R198&lt;=0,S198&lt;0,T198&lt;=0,Y198=""),"错误:必填项",IF(D198="","警告:SKU待映射","OK"))))</x:f>
        <x:v>OK</x:v>
      </x:c>
    </x:row>
    <x:row r="199" ht="39.599998474121094" hidden="1" customHeight="1">
      <x:c r="A199" s="2" t="str">
        <x:v>COST-MEGABYAI-R105-720-REQ-VID</x:v>
      </x:c>
      <x:c r="B199" s="2" t="str">
        <x:v>CH-MEGABYAI</x:v>
      </x:c>
      <x:c r="C199" s="2" t="str">
        <x:v>videos-fast</x:v>
      </x:c>
      <x:c r="D199" s="2" t="str">
        <x:v>SKU-SD20-FAST-720</x:v>
      </x:c>
      <x:c r="E199" s="2" t="str">
        <x:v>with_video</x:v>
      </x:c>
      <x:c r="F199" s="2" t="str">
        <x:v>per_request</x:v>
      </x:c>
      <x:c r="G199" s="2"/>
      <x:c r="H199" s="2" t="str">
        <x:v>validated_request</x:v>
      </x:c>
      <x:c r="I199" s="2" t="str">
        <x:v>request_count</x:v>
      </x:c>
      <x:c r="J199" s="2" t="str">
        <x:v>task_succeeded</x:v>
      </x:c>
      <x:c r="K199" s="2" t="str">
        <x:v>CNY</x:v>
      </x:c>
      <x:c r="L199" s="27" t="n">
        <x:v>1.6</x:v>
      </x:c>
      <x:c r="M199" s="27"/>
      <x:c r="N199" s="27"/>
      <x:c r="O199" s="26" t="n">
        <x:f t="shared" si="12">IF(F199="per_request",L199,IF(F199="per_duration",M199,IF(F199="per_token",N199,0)))</x:f>
        <x:v>1.6</x:v>
      </x:c>
      <x:c r="P199" s="27" t="n">
        <x:v>1</x:v>
      </x:c>
      <x:c r="Q199" s="27" t="n">
        <x:v>1</x:v>
      </x:c>
      <x:c r="R199" s="27" t="n">
        <x:v>1</x:v>
      </x:c>
      <x:c r="S199" s="27" t="n">
        <x:v>0</x:v>
      </x:c>
      <x:c r="T199" s="26" t="n">
        <x:f>IF(K199="USD",1,'参数'!$B$6)</x:f>
        <x:v>0.136986301369863</x:v>
      </x:c>
      <x:c r="U199" s="26" t="n">
        <x:f t="shared" si="13">O199*P199*Q199*R199*(1+S199)*T199</x:f>
        <x:v>0.2191780821917808</x:v>
      </x:c>
      <x:c r="V199" s="23" t="str">
        <x:f t="shared" si="14">IF(F199="per_request","USD/次",IF(F199="per_duration","USD/秒",IF(F199="per_token","USD/1M Token","")))</x:f>
        <x:v>USD/次</x:v>
      </x:c>
      <x:c r="W199" s="20" t="n">
        <x:v>46229.393565162034</x:v>
      </x:c>
      <x:c r="X199" s="20"/>
      <x:c r="Y199" s="2" t="str">
        <x:v>draft</x:v>
      </x:c>
      <x:c r="Z199" s="2" t="str">
        <x:v>SRC-CH-08</x:v>
      </x:c>
      <x:c r="AA199" s="7" t="str">
        <x:v>源行=sd!105；原模型=videos-fast；时长=4-15；比例=不限；视频输入=是；真人脸=否；超分=否；素材库=否；NSFW=否；协议=自有；素材限制=933；原表状态为空，已导入为draft；v1修正：confirmed_real_person=false；原币按次=1.6 CNY</x:v>
      </x:c>
      <x:c r="AB199" s="23" t="str">
        <x:f t="shared" si="15">IF(A199="","",IF(COUNTIF($A$5:$A$1004,A199)&gt;1,"错误:重复成本规则ID",IF(OR(B199="",C199="",E199="",F199="",K199="",O199&lt;=0,P199&lt;=0,Q199&lt;=0,R199&lt;=0,S199&lt;0,T199&lt;=0,Y199=""),"错误:必填项",IF(D199="","警告:SKU待映射","OK"))))</x:f>
        <x:v>OK</x:v>
      </x:c>
    </x:row>
    <x:row r="200" ht="39.599998474121094" hidden="1" customHeight="1">
      <x:c r="A200" s="2" t="str">
        <x:v>COST-MEGABYAI-R106-480-REQ-NOV</x:v>
      </x:c>
      <x:c r="B200" s="2" t="str">
        <x:v>CH-MEGABYAI</x:v>
      </x:c>
      <x:c r="C200" s="2" t="str">
        <x:v>videos-mini</x:v>
      </x:c>
      <x:c r="D200" s="2" t="str">
        <x:v>SKU-SD20-MINI-480</x:v>
      </x:c>
      <x:c r="E200" s="2" t="str">
        <x:v>no_video</x:v>
      </x:c>
      <x:c r="F200" s="2" t="str">
        <x:v>per_request</x:v>
      </x:c>
      <x:c r="G200" s="2"/>
      <x:c r="H200" s="2" t="str">
        <x:v>validated_request</x:v>
      </x:c>
      <x:c r="I200" s="2" t="str">
        <x:v>request_count</x:v>
      </x:c>
      <x:c r="J200" s="2" t="str">
        <x:v>task_succeeded</x:v>
      </x:c>
      <x:c r="K200" s="2" t="str">
        <x:v>CNY</x:v>
      </x:c>
      <x:c r="L200" s="27" t="n">
        <x:v>2.1</x:v>
      </x:c>
      <x:c r="M200" s="27"/>
      <x:c r="N200" s="27"/>
      <x:c r="O200" s="26" t="n">
        <x:f t="shared" si="12">IF(F200="per_request",L200,IF(F200="per_duration",M200,IF(F200="per_token",N200,0)))</x:f>
        <x:v>2.1</x:v>
      </x:c>
      <x:c r="P200" s="27" t="n">
        <x:v>1</x:v>
      </x:c>
      <x:c r="Q200" s="27" t="n">
        <x:v>1</x:v>
      </x:c>
      <x:c r="R200" s="27" t="n">
        <x:v>1</x:v>
      </x:c>
      <x:c r="S200" s="27" t="n">
        <x:v>0</x:v>
      </x:c>
      <x:c r="T200" s="26" t="n">
        <x:f>IF(K200="USD",1,'参数'!$B$6)</x:f>
        <x:v>0.136986301369863</x:v>
      </x:c>
      <x:c r="U200" s="26" t="n">
        <x:f t="shared" si="13">O200*P200*Q200/R200*(1+S200)*T200</x:f>
        <x:v>0.2876712328767123</x:v>
      </x:c>
      <x:c r="V200" s="23" t="str">
        <x:f t="shared" si="14">IF(F200="per_request","USD/次",IF(F200="per_duration","USD/秒",IF(F200="per_token","USD/1M Token","")))</x:f>
        <x:v>USD/次</x:v>
      </x:c>
      <x:c r="W200" s="20" t="n">
        <x:v>46229.393565162034</x:v>
      </x:c>
      <x:c r="X200" s="20"/>
      <x:c r="Y200" s="2" t="str">
        <x:v>draft</x:v>
      </x:c>
      <x:c r="Z200" s="2" t="str">
        <x:v>SRC-CH-08</x:v>
      </x:c>
      <x:c r="AA200" s="7" t="str">
        <x:v>源行=sd!106；原模型=videos-mini；时长=4-15；比例=不限；视频输入=是；真人脸=是；超分=否；素材库=否；NSFW=否；协议=自有；素材限制=933；原表状态为空，已导入为draft</x:v>
      </x:c>
      <x:c r="AB200" s="23" t="str">
        <x:f t="shared" si="15">IF(A200="","",IF(COUNTIF($A$5:$A$1004,A200)&gt;1,"错误:重复成本规则ID",IF(OR(B200="",C200="",E200="",F200="",K200="",O200&lt;=0,P200&lt;=0,Q200&lt;=0,R200&lt;=0,S200&lt;0,T200&lt;=0,Y200=""),"错误:必填项",IF(D200="","警告:SKU待映射","OK"))))</x:f>
        <x:v>OK</x:v>
      </x:c>
    </x:row>
    <x:row r="201" ht="39.599998474121094" hidden="1" customHeight="1">
      <x:c r="A201" s="2" t="str">
        <x:v>COST-MEGABYAI-R106-480-REQ-VID</x:v>
      </x:c>
      <x:c r="B201" s="2" t="str">
        <x:v>CH-MEGABYAI</x:v>
      </x:c>
      <x:c r="C201" s="2" t="str">
        <x:v>videos-mini</x:v>
      </x:c>
      <x:c r="D201" s="2" t="str">
        <x:v>SKU-SD20-MINI-480</x:v>
      </x:c>
      <x:c r="E201" s="2" t="str">
        <x:v>with_video</x:v>
      </x:c>
      <x:c r="F201" s="2" t="str">
        <x:v>per_request</x:v>
      </x:c>
      <x:c r="G201" s="2"/>
      <x:c r="H201" s="2" t="str">
        <x:v>validated_request</x:v>
      </x:c>
      <x:c r="I201" s="2" t="str">
        <x:v>request_count</x:v>
      </x:c>
      <x:c r="J201" s="2" t="str">
        <x:v>task_succeeded</x:v>
      </x:c>
      <x:c r="K201" s="2" t="str">
        <x:v>CNY</x:v>
      </x:c>
      <x:c r="L201" s="27" t="n">
        <x:v>2.1</x:v>
      </x:c>
      <x:c r="M201" s="27"/>
      <x:c r="N201" s="27"/>
      <x:c r="O201" s="26" t="n">
        <x:f t="shared" si="12">IF(F201="per_request",L201,IF(F201="per_duration",M201,IF(F201="per_token",N201,0)))</x:f>
        <x:v>2.1</x:v>
      </x:c>
      <x:c r="P201" s="27" t="n">
        <x:v>1</x:v>
      </x:c>
      <x:c r="Q201" s="27" t="n">
        <x:v>1</x:v>
      </x:c>
      <x:c r="R201" s="27" t="n">
        <x:v>1</x:v>
      </x:c>
      <x:c r="S201" s="27" t="n">
        <x:v>0</x:v>
      </x:c>
      <x:c r="T201" s="26" t="n">
        <x:f>IF(K201="USD",1,'参数'!$B$6)</x:f>
        <x:v>0.136986301369863</x:v>
      </x:c>
      <x:c r="U201" s="26" t="n">
        <x:f t="shared" si="13">O201*P201*Q201/R201*(1+S201)*T201</x:f>
        <x:v>0.2876712328767123</x:v>
      </x:c>
      <x:c r="V201" s="23" t="str">
        <x:f t="shared" si="14">IF(F201="per_request","USD/次",IF(F201="per_duration","USD/秒",IF(F201="per_token","USD/1M Token","")))</x:f>
        <x:v>USD/次</x:v>
      </x:c>
      <x:c r="W201" s="20" t="n">
        <x:v>46229.393565162034</x:v>
      </x:c>
      <x:c r="X201" s="20"/>
      <x:c r="Y201" s="2" t="str">
        <x:v>draft</x:v>
      </x:c>
      <x:c r="Z201" s="2" t="str">
        <x:v>SRC-CH-08</x:v>
      </x:c>
      <x:c r="AA201" s="7" t="str">
        <x:v>源行=sd!106；原模型=videos-mini；时长=4-15；比例=不限；视频输入=是；真人脸=是；超分=否；素材库=否；NSFW=否；协议=自有；素材限制=933；原表状态为空，已导入为draft</x:v>
      </x:c>
      <x:c r="AB201" s="23" t="str">
        <x:f t="shared" si="15">IF(A201="","",IF(COUNTIF($A$5:$A$1004,A201)&gt;1,"错误:重复成本规则ID",IF(OR(B201="",C201="",E201="",F201="",K201="",O201&lt;=0,P201&lt;=0,Q201&lt;=0,R201&lt;=0,S201&lt;0,T201&lt;=0,Y201=""),"错误:必填项",IF(D201="","警告:SKU待映射","OK"))))</x:f>
        <x:v>OK</x:v>
      </x:c>
    </x:row>
    <x:row r="202" ht="66" hidden="1" customHeight="1">
      <x:c r="A202" s="2" t="str">
        <x:v>COST-MEGABYAI-R107-720-REQ-NOV</x:v>
      </x:c>
      <x:c r="B202" s="2" t="str">
        <x:v>CH-MEGABYAI</x:v>
      </x:c>
      <x:c r="C202" s="2" t="str">
        <x:v>videos-mini</x:v>
      </x:c>
      <x:c r="D202" s="2" t="str">
        <x:v>SKU-SD20-MINI-720</x:v>
      </x:c>
      <x:c r="E202" s="2" t="str">
        <x:v>no_video</x:v>
      </x:c>
      <x:c r="F202" s="2" t="str">
        <x:v>per_request</x:v>
      </x:c>
      <x:c r="G202" s="2"/>
      <x:c r="H202" s="2" t="str">
        <x:v>validated_request</x:v>
      </x:c>
      <x:c r="I202" s="2" t="str">
        <x:v>request_count</x:v>
      </x:c>
      <x:c r="J202" s="2" t="str">
        <x:v>task_succeeded</x:v>
      </x:c>
      <x:c r="K202" s="2" t="str">
        <x:v>CNY</x:v>
      </x:c>
      <x:c r="L202" s="27" t="n">
        <x:v>3.5</x:v>
      </x:c>
      <x:c r="M202" s="27"/>
      <x:c r="N202" s="27"/>
      <x:c r="O202" s="26" t="n">
        <x:f t="shared" si="12">IF(F202="per_request",L202,IF(F202="per_duration",M202,IF(F202="per_token",N202,0)))</x:f>
        <x:v>3.5</x:v>
      </x:c>
      <x:c r="P202" s="27" t="n">
        <x:v>1</x:v>
      </x:c>
      <x:c r="Q202" s="27" t="n">
        <x:v>1</x:v>
      </x:c>
      <x:c r="R202" s="27" t="n">
        <x:v>1</x:v>
      </x:c>
      <x:c r="S202" s="27" t="n">
        <x:v>0</x:v>
      </x:c>
      <x:c r="T202" s="26" t="n">
        <x:f>IF(K202="USD",1,'参数'!$B$6)</x:f>
        <x:v>0.136986301369863</x:v>
      </x:c>
      <x:c r="U202" s="26" t="n">
        <x:f t="shared" si="13">O202*P202*Q202/R202*(1+S202)*T202</x:f>
        <x:v>0.4794520547945205</x:v>
      </x:c>
      <x:c r="V202" s="23" t="str">
        <x:f t="shared" si="14">IF(F202="per_request","USD/次",IF(F202="per_duration","USD/秒",IF(F202="per_token","USD/1M Token","")))</x:f>
        <x:v>USD/次</x:v>
      </x:c>
      <x:c r="W202" s="20" t="n">
        <x:v>46229.393565162034</x:v>
      </x:c>
      <x:c r="X202" s="20"/>
      <x:c r="Y202" s="2" t="str">
        <x:v>draft</x:v>
      </x:c>
      <x:c r="Z202" s="2" t="str">
        <x:v>SRC-CH-08</x:v>
      </x:c>
      <x:c r="AA202" s="7" t="str">
        <x:v>源行=sd!107；原模型=videos-mini；时长=4-15；比例=不限；视频输入=是；真人脸=是；超分=否；素材库=否；NSFW=否；协议=自有；素材限制=933；原表状态为空，已导入为draft</x:v>
      </x:c>
      <x:c r="AB202" s="23" t="str">
        <x:f t="shared" si="15">IF(A202="","",IF(COUNTIF($A$5:$A$1004,A202)&gt;1,"错误:重复成本规则ID",IF(OR(B202="",C202="",E202="",F202="",K202="",O202&lt;=0,P202&lt;=0,Q202&lt;=0,R202&lt;=0,S202&lt;0,T202&lt;=0,Y202=""),"错误:必填项",IF(D202="","警告:SKU待映射","OK"))))</x:f>
        <x:v>OK</x:v>
      </x:c>
    </x:row>
    <x:row r="203" ht="66" hidden="1" customHeight="1">
      <x:c r="A203" s="2" t="str">
        <x:v>COST-MEGABYAI-R107-720-REQ-VID</x:v>
      </x:c>
      <x:c r="B203" s="2" t="str">
        <x:v>CH-MEGABYAI</x:v>
      </x:c>
      <x:c r="C203" s="2" t="str">
        <x:v>videos-mini</x:v>
      </x:c>
      <x:c r="D203" s="2" t="str">
        <x:v>SKU-SD20-MINI-720</x:v>
      </x:c>
      <x:c r="E203" s="2" t="str">
        <x:v>with_video</x:v>
      </x:c>
      <x:c r="F203" s="2" t="str">
        <x:v>per_request</x:v>
      </x:c>
      <x:c r="G203" s="2"/>
      <x:c r="H203" s="2" t="str">
        <x:v>validated_request</x:v>
      </x:c>
      <x:c r="I203" s="2" t="str">
        <x:v>request_count</x:v>
      </x:c>
      <x:c r="J203" s="2" t="str">
        <x:v>task_succeeded</x:v>
      </x:c>
      <x:c r="K203" s="2" t="str">
        <x:v>CNY</x:v>
      </x:c>
      <x:c r="L203" s="27" t="n">
        <x:v>3.5</x:v>
      </x:c>
      <x:c r="M203" s="27"/>
      <x:c r="N203" s="27"/>
      <x:c r="O203" s="26" t="n">
        <x:f t="shared" si="12">IF(F203="per_request",L203,IF(F203="per_duration",M203,IF(F203="per_token",N203,0)))</x:f>
        <x:v>3.5</x:v>
      </x:c>
      <x:c r="P203" s="27" t="n">
        <x:v>1</x:v>
      </x:c>
      <x:c r="Q203" s="27" t="n">
        <x:v>1</x:v>
      </x:c>
      <x:c r="R203" s="27" t="n">
        <x:v>1</x:v>
      </x:c>
      <x:c r="S203" s="27" t="n">
        <x:v>0</x:v>
      </x:c>
      <x:c r="T203" s="26" t="n">
        <x:f>IF(K203="USD",1,'参数'!$B$6)</x:f>
        <x:v>0.136986301369863</x:v>
      </x:c>
      <x:c r="U203" s="26" t="n">
        <x:f t="shared" si="13">O203*P203*Q203/R203*(1+S203)*T203</x:f>
        <x:v>0.4794520547945205</x:v>
      </x:c>
      <x:c r="V203" s="23" t="str">
        <x:f t="shared" si="14">IF(F203="per_request","USD/次",IF(F203="per_duration","USD/秒",IF(F203="per_token","USD/1M Token","")))</x:f>
        <x:v>USD/次</x:v>
      </x:c>
      <x:c r="W203" s="20" t="n">
        <x:v>46229.393565162034</x:v>
      </x:c>
      <x:c r="X203" s="20"/>
      <x:c r="Y203" s="2" t="str">
        <x:v>draft</x:v>
      </x:c>
      <x:c r="Z203" s="2" t="str">
        <x:v>SRC-CH-08</x:v>
      </x:c>
      <x:c r="AA203" s="7" t="str">
        <x:v>源行=sd!107；原模型=videos-mini；时长=4-15；比例=不限；视频输入=是；真人脸=是；超分=否；素材库=否；NSFW=否；协议=自有；素材限制=933；原表状态为空，已导入为draft</x:v>
      </x:c>
      <x:c r="AB203" s="23" t="str">
        <x:f t="shared" si="15">IF(A203="","",IF(COUNTIF($A$5:$A$1004,A203)&gt;1,"错误:重复成本规则ID",IF(OR(B203="",C203="",E203="",F203="",K203="",O203&lt;=0,P203&lt;=0,Q203&lt;=0,R203&lt;=0,S203&lt;0,T203&lt;=0,Y203=""),"错误:必填项",IF(D203="","警告:SKU待映射","OK"))))</x:f>
        <x:v>OK</x:v>
      </x:c>
    </x:row>
    <x:row r="204" ht="66" hidden="1" customHeight="1">
      <x:c r="A204" s="2" t="str">
        <x:v>COST-MEGABYAI-R108-720-SEC-NOV</x:v>
      </x:c>
      <x:c r="B204" s="2" t="str">
        <x:v>CH-MEGABYAI</x:v>
      </x:c>
      <x:c r="C204" s="2" t="str">
        <x:v>videos-4-720p</x:v>
      </x:c>
      <x:c r="D204" s="2" t="str">
        <x:v>SKU-SD20-STD-720</x:v>
      </x:c>
      <x:c r="E204" s="2" t="str">
        <x:v>no_video</x:v>
      </x:c>
      <x:c r="F204" s="2" t="str">
        <x:v>per_duration</x:v>
      </x:c>
      <x:c r="G204" s="2"/>
      <x:c r="H204" s="2" t="str">
        <x:v>validated_request</x:v>
      </x:c>
      <x:c r="I204" s="2" t="str">
        <x:v>billable_duration_seconds</x:v>
      </x:c>
      <x:c r="J204" s="2" t="str">
        <x:v>task_succeeded</x:v>
      </x:c>
      <x:c r="K204" s="2" t="str">
        <x:v>CNY</x:v>
      </x:c>
      <x:c r="L204" s="27"/>
      <x:c r="M204" s="27" t="n">
        <x:v>0.33</x:v>
      </x:c>
      <x:c r="N204" s="27"/>
      <x:c r="O204" s="26" t="n">
        <x:f t="shared" si="12">IF(F204="per_request",L204,IF(F204="per_duration",M204,IF(F204="per_token",N204,0)))</x:f>
        <x:v>0.33</x:v>
      </x:c>
      <x:c r="P204" s="27" t="n">
        <x:v>1</x:v>
      </x:c>
      <x:c r="Q204" s="27" t="n">
        <x:v>1</x:v>
      </x:c>
      <x:c r="R204" s="27" t="n">
        <x:v>1</x:v>
      </x:c>
      <x:c r="S204" s="27" t="n">
        <x:v>0</x:v>
      </x:c>
      <x:c r="T204" s="26" t="n">
        <x:f>IF(K204="USD",1,'参数'!$B$6)</x:f>
        <x:v>0.136986301369863</x:v>
      </x:c>
      <x:c r="U204" s="26" t="n">
        <x:f t="shared" si="13">O204*P204*Q204/R204*(1+S204)*T204</x:f>
        <x:v>0.045205479452054796</x:v>
      </x:c>
      <x:c r="V204" s="23" t="str">
        <x:f t="shared" si="14">IF(F204="per_request","USD/次",IF(F204="per_duration","USD/秒",IF(F204="per_token","USD/1M Token","")))</x:f>
        <x:v>USD/秒</x:v>
      </x:c>
      <x:c r="W204" s="20" t="n">
        <x:v>46229.393565162034</x:v>
      </x:c>
      <x:c r="X204" s="20"/>
      <x:c r="Y204" s="2" t="str">
        <x:v>draft</x:v>
      </x:c>
      <x:c r="Z204" s="2" t="str">
        <x:v>SRC-CH-08</x:v>
      </x:c>
      <x:c r="AA204" s="7" t="str">
        <x:v>源行=sd!108；原模型=videos-4-720p；时长=4-15；比例=不限；视频输入=是；真人脸=待确认；超分=否；素材库=否；NSFW=否；协议=自有；素材限制=431；原表折扣 秒 无V=0.332（成本/官价参考比，不参与成本二次计算）；原表状态为空，已导入为draft</x:v>
      </x:c>
      <x:c r="AB204" s="23" t="str">
        <x:f t="shared" si="15">IF(A204="","",IF(COUNTIF($A$5:$A$1004,A204)&gt;1,"错误:重复成本规则ID",IF(OR(B204="",C204="",E204="",F204="",K204="",O204&lt;=0,P204&lt;=0,Q204&lt;=0,R204&lt;=0,S204&lt;0,T204&lt;=0,Y204=""),"错误:必填项",IF(D204="","警告:SKU待映射","OK"))))</x:f>
        <x:v>OK</x:v>
      </x:c>
    </x:row>
    <x:row r="205" ht="66" hidden="1" customHeight="1">
      <x:c r="A205" s="2" t="str">
        <x:v>COST-MEGABYAI-R108-720-SEC-VID</x:v>
      </x:c>
      <x:c r="B205" s="2" t="str">
        <x:v>CH-MEGABYAI</x:v>
      </x:c>
      <x:c r="C205" s="2" t="str">
        <x:v>videos-4-720p</x:v>
      </x:c>
      <x:c r="D205" s="2" t="str">
        <x:v>SKU-SD20-STD-720</x:v>
      </x:c>
      <x:c r="E205" s="2" t="str">
        <x:v>with_video</x:v>
      </x:c>
      <x:c r="F205" s="2" t="str">
        <x:v>per_duration</x:v>
      </x:c>
      <x:c r="G205" s="2"/>
      <x:c r="H205" s="2" t="str">
        <x:v>validated_request</x:v>
      </x:c>
      <x:c r="I205" s="2" t="str">
        <x:v>billable_duration_seconds</x:v>
      </x:c>
      <x:c r="J205" s="2" t="str">
        <x:v>task_succeeded</x:v>
      </x:c>
      <x:c r="K205" s="2" t="str">
        <x:v>CNY</x:v>
      </x:c>
      <x:c r="L205" s="27"/>
      <x:c r="M205" s="27" t="n">
        <x:v>0.33</x:v>
      </x:c>
      <x:c r="N205" s="27"/>
      <x:c r="O205" s="26" t="n">
        <x:f t="shared" si="12">IF(F205="per_request",L205,IF(F205="per_duration",M205,IF(F205="per_token",N205,0)))</x:f>
        <x:v>0.33</x:v>
      </x:c>
      <x:c r="P205" s="27" t="n">
        <x:v>1</x:v>
      </x:c>
      <x:c r="Q205" s="27" t="n">
        <x:v>1</x:v>
      </x:c>
      <x:c r="R205" s="27" t="n">
        <x:v>1</x:v>
      </x:c>
      <x:c r="S205" s="27" t="n">
        <x:v>0</x:v>
      </x:c>
      <x:c r="T205" s="26" t="n">
        <x:f>IF(K205="USD",1,'参数'!$B$6)</x:f>
        <x:v>0.136986301369863</x:v>
      </x:c>
      <x:c r="U205" s="26" t="n">
        <x:f t="shared" si="13">O205*P205*Q205/R205*(1+S205)*T205</x:f>
        <x:v>0.045205479452054796</x:v>
      </x:c>
      <x:c r="V205" s="23" t="str">
        <x:f t="shared" si="14">IF(F205="per_request","USD/次",IF(F205="per_duration","USD/秒",IF(F205="per_token","USD/1M Token","")))</x:f>
        <x:v>USD/秒</x:v>
      </x:c>
      <x:c r="W205" s="20" t="n">
        <x:v>46229.393565162034</x:v>
      </x:c>
      <x:c r="X205" s="20"/>
      <x:c r="Y205" s="2" t="str">
        <x:v>draft</x:v>
      </x:c>
      <x:c r="Z205" s="2" t="str">
        <x:v>SRC-CH-08</x:v>
      </x:c>
      <x:c r="AA205" s="7" t="str">
        <x:v>源行=sd!108；原模型=videos-4-720p；时长=4-15；比例=不限；视频输入=是；真人脸=待确认；超分=否；素材库=否；NSFW=否；协议=自有；素材限制=431；原表折扣 秒 含V=0.545（成本/官价参考比，不参与成本二次计算）；原表状态为空，已导入为draft</x:v>
      </x:c>
      <x:c r="AB205" s="23" t="str">
        <x:f t="shared" si="15">IF(A205="","",IF(COUNTIF($A$5:$A$1004,A205)&gt;1,"错误:重复成本规则ID",IF(OR(B205="",C205="",E205="",F205="",K205="",O205&lt;=0,P205&lt;=0,Q205&lt;=0,R205&lt;=0,S205&lt;0,T205&lt;=0,Y205=""),"错误:必填项",IF(D205="","警告:SKU待映射","OK"))))</x:f>
        <x:v>OK</x:v>
      </x:c>
    </x:row>
    <x:row r="206" ht="66" hidden="1" customHeight="1">
      <x:c r="A206" s="2" t="str">
        <x:v>COST-MEGABYAI-R109-480-SEC-NOV</x:v>
      </x:c>
      <x:c r="B206" s="2" t="str">
        <x:v>CH-MEGABYAI</x:v>
      </x:c>
      <x:c r="C206" s="2" t="str">
        <x:v>videos-4-480p</x:v>
      </x:c>
      <x:c r="D206" s="2" t="str">
        <x:v>SKU-SD20-STD-480</x:v>
      </x:c>
      <x:c r="E206" s="2" t="str">
        <x:v>no_video</x:v>
      </x:c>
      <x:c r="F206" s="2" t="str">
        <x:v>per_duration</x:v>
      </x:c>
      <x:c r="G206" s="2"/>
      <x:c r="H206" s="2" t="str">
        <x:v>validated_request</x:v>
      </x:c>
      <x:c r="I206" s="2" t="str">
        <x:v>billable_duration_seconds</x:v>
      </x:c>
      <x:c r="J206" s="2" t="str">
        <x:v>task_succeeded</x:v>
      </x:c>
      <x:c r="K206" s="2" t="str">
        <x:v>CNY</x:v>
      </x:c>
      <x:c r="L206" s="27"/>
      <x:c r="M206" s="27" t="n">
        <x:v>0.23</x:v>
      </x:c>
      <x:c r="N206" s="27"/>
      <x:c r="O206" s="26" t="n">
        <x:f t="shared" si="12">IF(F206="per_request",L206,IF(F206="per_duration",M206,IF(F206="per_token",N206,0)))</x:f>
        <x:v>0.23</x:v>
      </x:c>
      <x:c r="P206" s="27" t="n">
        <x:v>1</x:v>
      </x:c>
      <x:c r="Q206" s="27" t="n">
        <x:v>1</x:v>
      </x:c>
      <x:c r="R206" s="27" t="n">
        <x:v>1</x:v>
      </x:c>
      <x:c r="S206" s="27" t="n">
        <x:v>0</x:v>
      </x:c>
      <x:c r="T206" s="26" t="n">
        <x:f>IF(K206="USD",1,'参数'!$B$6)</x:f>
        <x:v>0.136986301369863</x:v>
      </x:c>
      <x:c r="U206" s="26" t="n">
        <x:f t="shared" si="13">O206*P206*Q206/R206*(1+S206)*T206</x:f>
        <x:v>0.031506849315068496</x:v>
      </x:c>
      <x:c r="V206" s="23" t="str">
        <x:f t="shared" si="14">IF(F206="per_request","USD/次",IF(F206="per_duration","USD/秒",IF(F206="per_token","USD/1M Token","")))</x:f>
        <x:v>USD/秒</x:v>
      </x:c>
      <x:c r="W206" s="20" t="n">
        <x:v>46229.393565162034</x:v>
      </x:c>
      <x:c r="X206" s="20"/>
      <x:c r="Y206" s="2" t="str">
        <x:v>draft</x:v>
      </x:c>
      <x:c r="Z206" s="2" t="str">
        <x:v>SRC-CH-08</x:v>
      </x:c>
      <x:c r="AA206" s="7" t="str">
        <x:v>源行=sd!109；原模型=videos-4-480p；时长=4-15；比例=不限；视频输入=是；真人脸=待确认；超分=否；素材库=否；NSFW=否；协议=自有；素材限制=431；原表折扣 秒 无V=0.498（成本/官价参考比，不参与成本二次计算）；原表状态为空，已导入为draft</x:v>
      </x:c>
      <x:c r="AB206" s="23" t="str">
        <x:f t="shared" si="15">IF(A206="","",IF(COUNTIF($A$5:$A$1004,A206)&gt;1,"错误:重复成本规则ID",IF(OR(B206="",C206="",E206="",F206="",K206="",O206&lt;=0,P206&lt;=0,Q206&lt;=0,R206&lt;=0,S206&lt;0,T206&lt;=0,Y206=""),"错误:必填项",IF(D206="","警告:SKU待映射","OK"))))</x:f>
        <x:v>OK</x:v>
      </x:c>
    </x:row>
    <x:row r="207" ht="66" hidden="1" customHeight="1">
      <x:c r="A207" s="2" t="str">
        <x:v>COST-MEGABYAI-R109-480-SEC-VID</x:v>
      </x:c>
      <x:c r="B207" s="2" t="str">
        <x:v>CH-MEGABYAI</x:v>
      </x:c>
      <x:c r="C207" s="2" t="str">
        <x:v>videos-4-480p</x:v>
      </x:c>
      <x:c r="D207" s="2" t="str">
        <x:v>SKU-SD20-STD-480</x:v>
      </x:c>
      <x:c r="E207" s="2" t="str">
        <x:v>with_video</x:v>
      </x:c>
      <x:c r="F207" s="2" t="str">
        <x:v>per_duration</x:v>
      </x:c>
      <x:c r="G207" s="2"/>
      <x:c r="H207" s="2" t="str">
        <x:v>validated_request</x:v>
      </x:c>
      <x:c r="I207" s="2" t="str">
        <x:v>billable_duration_seconds</x:v>
      </x:c>
      <x:c r="J207" s="2" t="str">
        <x:v>task_succeeded</x:v>
      </x:c>
      <x:c r="K207" s="2" t="str">
        <x:v>CNY</x:v>
      </x:c>
      <x:c r="L207" s="27"/>
      <x:c r="M207" s="27" t="n">
        <x:v>0.23</x:v>
      </x:c>
      <x:c r="N207" s="27"/>
      <x:c r="O207" s="26" t="n">
        <x:f t="shared" si="12">IF(F207="per_request",L207,IF(F207="per_duration",M207,IF(F207="per_token",N207,0)))</x:f>
        <x:v>0.23</x:v>
      </x:c>
      <x:c r="P207" s="27" t="n">
        <x:v>1</x:v>
      </x:c>
      <x:c r="Q207" s="27" t="n">
        <x:v>1</x:v>
      </x:c>
      <x:c r="R207" s="27" t="n">
        <x:v>1</x:v>
      </x:c>
      <x:c r="S207" s="27" t="n">
        <x:v>0</x:v>
      </x:c>
      <x:c r="T207" s="26" t="n">
        <x:f>IF(K207="USD",1,'参数'!$B$6)</x:f>
        <x:v>0.136986301369863</x:v>
      </x:c>
      <x:c r="U207" s="26" t="n">
        <x:f t="shared" si="13">O207*P207*Q207/R207*(1+S207)*T207</x:f>
        <x:v>0.031506849315068496</x:v>
      </x:c>
      <x:c r="V207" s="23" t="str">
        <x:f t="shared" si="14">IF(F207="per_request","USD/次",IF(F207="per_duration","USD/秒",IF(F207="per_token","USD/1M Token","")))</x:f>
        <x:v>USD/秒</x:v>
      </x:c>
      <x:c r="W207" s="20" t="n">
        <x:v>46229.393565162034</x:v>
      </x:c>
      <x:c r="X207" s="20"/>
      <x:c r="Y207" s="2" t="str">
        <x:v>draft</x:v>
      </x:c>
      <x:c r="Z207" s="2" t="str">
        <x:v>SRC-CH-08</x:v>
      </x:c>
      <x:c r="AA207" s="7" t="str">
        <x:v>源行=sd!109；原模型=videos-4-480p；时长=4-15；比例=不限；视频输入=是；真人脸=待确认；超分=否；素材库=否；NSFW=否；协议=自有；素材限制=431；原表折扣 秒 含V=0.819（成本/官价参考比，不参与成本二次计算）；原表状态为空，已导入为draft</x:v>
      </x:c>
      <x:c r="AB207" s="23" t="str">
        <x:f t="shared" si="15">IF(A207="","",IF(COUNTIF($A$5:$A$1004,A207)&gt;1,"错误:重复成本规则ID",IF(OR(B207="",C207="",E207="",F207="",K207="",O207&lt;=0,P207&lt;=0,Q207&lt;=0,R207&lt;=0,S207&lt;0,T207&lt;=0,Y207=""),"错误:必填项",IF(D207="","警告:SKU待映射","OK"))))</x:f>
        <x:v>OK</x:v>
      </x:c>
    </x:row>
    <x:row r="208" ht="66" hidden="1" customHeight="1">
      <x:c r="A208" s="2" t="str">
        <x:v>COST-MEGABYAI-R110-720-SEC-NOV</x:v>
      </x:c>
      <x:c r="B208" s="2" t="str">
        <x:v>CH-MEGABYAI</x:v>
      </x:c>
      <x:c r="C208" s="2" t="str">
        <x:v>videos-4-720p</x:v>
      </x:c>
      <x:c r="D208" s="2" t="str">
        <x:v>SKU-SD20-STD-720</x:v>
      </x:c>
      <x:c r="E208" s="2" t="str">
        <x:v>no_video</x:v>
      </x:c>
      <x:c r="F208" s="2" t="str">
        <x:v>per_duration</x:v>
      </x:c>
      <x:c r="G208" s="2"/>
      <x:c r="H208" s="2" t="str">
        <x:v>validated_request</x:v>
      </x:c>
      <x:c r="I208" s="2" t="str">
        <x:v>billable_duration_seconds</x:v>
      </x:c>
      <x:c r="J208" s="2" t="str">
        <x:v>task_succeeded</x:v>
      </x:c>
      <x:c r="K208" s="2" t="str">
        <x:v>CNY</x:v>
      </x:c>
      <x:c r="L208" s="27"/>
      <x:c r="M208" s="27" t="n">
        <x:v>0.33</x:v>
      </x:c>
      <x:c r="N208" s="27"/>
      <x:c r="O208" s="26" t="n">
        <x:f t="shared" si="12">IF(F208="per_request",L208,IF(F208="per_duration",M208,IF(F208="per_token",N208,0)))</x:f>
        <x:v>0.33</x:v>
      </x:c>
      <x:c r="P208" s="27" t="n">
        <x:v>1</x:v>
      </x:c>
      <x:c r="Q208" s="27" t="n">
        <x:v>1</x:v>
      </x:c>
      <x:c r="R208" s="27" t="n">
        <x:v>1</x:v>
      </x:c>
      <x:c r="S208" s="27" t="n">
        <x:v>0</x:v>
      </x:c>
      <x:c r="T208" s="26" t="n">
        <x:f>IF(K208="USD",1,'参数'!$B$6)</x:f>
        <x:v>0.136986301369863</x:v>
      </x:c>
      <x:c r="U208" s="26" t="n">
        <x:f t="shared" si="13">O208*P208*Q208/R208*(1+S208)*T208</x:f>
        <x:v>0.045205479452054796</x:v>
      </x:c>
      <x:c r="V208" s="23" t="str">
        <x:f t="shared" si="14">IF(F208="per_request","USD/次",IF(F208="per_duration","USD/秒",IF(F208="per_token","USD/1M Token","")))</x:f>
        <x:v>USD/秒</x:v>
      </x:c>
      <x:c r="W208" s="20" t="n">
        <x:v>46229.393565162034</x:v>
      </x:c>
      <x:c r="X208" s="20"/>
      <x:c r="Y208" s="2" t="str">
        <x:v>draft</x:v>
      </x:c>
      <x:c r="Z208" s="2" t="str">
        <x:v>SRC-CH-08</x:v>
      </x:c>
      <x:c r="AA208" s="7" t="str">
        <x:v>源行=sd!110；原模型=videos-4-720p；时长=4-15；比例=不限；视频输入=是；真人脸=待确认；超分=否；素材库=否；NSFW=否；协议=自有；素材限制=431；原表折扣 秒 无V=0.332（成本/官价参考比，不参与成本二次计算）；原表状态为空，已导入为draft</x:v>
      </x:c>
      <x:c r="AB208" s="23" t="str">
        <x:f t="shared" si="15">IF(A208="","",IF(COUNTIF($A$5:$A$1004,A208)&gt;1,"错误:重复成本规则ID",IF(OR(B208="",C208="",E208="",F208="",K208="",O208&lt;=0,P208&lt;=0,Q208&lt;=0,R208&lt;=0,S208&lt;0,T208&lt;=0,Y208=""),"错误:必填项",IF(D208="","警告:SKU待映射","OK"))))</x:f>
        <x:v>OK</x:v>
      </x:c>
    </x:row>
    <x:row r="209" ht="66" hidden="1" customHeight="1">
      <x:c r="A209" s="2" t="str">
        <x:v>COST-MEGABYAI-R110-720-SEC-VID</x:v>
      </x:c>
      <x:c r="B209" s="2" t="str">
        <x:v>CH-MEGABYAI</x:v>
      </x:c>
      <x:c r="C209" s="2" t="str">
        <x:v>videos-4-720p</x:v>
      </x:c>
      <x:c r="D209" s="2" t="str">
        <x:v>SKU-SD20-STD-720</x:v>
      </x:c>
      <x:c r="E209" s="2" t="str">
        <x:v>with_video</x:v>
      </x:c>
      <x:c r="F209" s="2" t="str">
        <x:v>per_duration</x:v>
      </x:c>
      <x:c r="G209" s="2"/>
      <x:c r="H209" s="2" t="str">
        <x:v>validated_request</x:v>
      </x:c>
      <x:c r="I209" s="2" t="str">
        <x:v>billable_duration_seconds</x:v>
      </x:c>
      <x:c r="J209" s="2" t="str">
        <x:v>task_succeeded</x:v>
      </x:c>
      <x:c r="K209" s="2" t="str">
        <x:v>CNY</x:v>
      </x:c>
      <x:c r="L209" s="27"/>
      <x:c r="M209" s="27" t="n">
        <x:v>0.33</x:v>
      </x:c>
      <x:c r="N209" s="27"/>
      <x:c r="O209" s="26" t="n">
        <x:f t="shared" si="12">IF(F209="per_request",L209,IF(F209="per_duration",M209,IF(F209="per_token",N209,0)))</x:f>
        <x:v>0.33</x:v>
      </x:c>
      <x:c r="P209" s="27" t="n">
        <x:v>1</x:v>
      </x:c>
      <x:c r="Q209" s="27" t="n">
        <x:v>1</x:v>
      </x:c>
      <x:c r="R209" s="27" t="n">
        <x:v>1</x:v>
      </x:c>
      <x:c r="S209" s="27" t="n">
        <x:v>0</x:v>
      </x:c>
      <x:c r="T209" s="26" t="n">
        <x:f>IF(K209="USD",1,'参数'!$B$6)</x:f>
        <x:v>0.136986301369863</x:v>
      </x:c>
      <x:c r="U209" s="26" t="n">
        <x:f t="shared" si="13">O209*P209*Q209/R209*(1+S209)*T209</x:f>
        <x:v>0.045205479452054796</x:v>
      </x:c>
      <x:c r="V209" s="23" t="str">
        <x:f t="shared" si="14">IF(F209="per_request","USD/次",IF(F209="per_duration","USD/秒",IF(F209="per_token","USD/1M Token","")))</x:f>
        <x:v>USD/秒</x:v>
      </x:c>
      <x:c r="W209" s="20" t="n">
        <x:v>46229.393565162034</x:v>
      </x:c>
      <x:c r="X209" s="20"/>
      <x:c r="Y209" s="2" t="str">
        <x:v>draft</x:v>
      </x:c>
      <x:c r="Z209" s="2" t="str">
        <x:v>SRC-CH-08</x:v>
      </x:c>
      <x:c r="AA209" s="7" t="str">
        <x:v>源行=sd!110；原模型=videos-4-720p；时长=4-15；比例=不限；视频输入=是；真人脸=待确认；超分=否；素材库=否；NSFW=否；协议=自有；素材限制=431；原表折扣 秒 含V=0.545（成本/官价参考比，不参与成本二次计算）；原表状态为空，已导入为draft</x:v>
      </x:c>
      <x:c r="AB209" s="23" t="str">
        <x:f t="shared" si="15">IF(A209="","",IF(COUNTIF($A$5:$A$1004,A209)&gt;1,"错误:重复成本规则ID",IF(OR(B209="",C209="",E209="",F209="",K209="",O209&lt;=0,P209&lt;=0,Q209&lt;=0,R209&lt;=0,S209&lt;0,T209&lt;=0,Y209=""),"错误:必填项",IF(D209="","警告:SKU待映射","OK"))))</x:f>
        <x:v>OK</x:v>
      </x:c>
    </x:row>
    <x:row r="210" ht="66" hidden="1" customHeight="1">
      <x:c r="A210" s="2" t="str">
        <x:v>COST-MEGABYAI-R111-480-SEC-NOV</x:v>
      </x:c>
      <x:c r="B210" s="2" t="str">
        <x:v>CH-MEGABYAI</x:v>
      </x:c>
      <x:c r="C210" s="2" t="str">
        <x:v>videos-4-fast-480p</x:v>
      </x:c>
      <x:c r="D210" s="2" t="str">
        <x:v>SKU-SD20-FAST-480</x:v>
      </x:c>
      <x:c r="E210" s="2" t="str">
        <x:v>no_video</x:v>
      </x:c>
      <x:c r="F210" s="2" t="str">
        <x:v>per_duration</x:v>
      </x:c>
      <x:c r="G210" s="2"/>
      <x:c r="H210" s="2" t="str">
        <x:v>validated_request</x:v>
      </x:c>
      <x:c r="I210" s="2" t="str">
        <x:v>billable_duration_seconds</x:v>
      </x:c>
      <x:c r="J210" s="2" t="str">
        <x:v>task_succeeded</x:v>
      </x:c>
      <x:c r="K210" s="2" t="str">
        <x:v>CNY</x:v>
      </x:c>
      <x:c r="L210" s="27"/>
      <x:c r="M210" s="27" t="n">
        <x:v>0.13</x:v>
      </x:c>
      <x:c r="N210" s="27"/>
      <x:c r="O210" s="26" t="n">
        <x:f t="shared" si="12">IF(F210="per_request",L210,IF(F210="per_duration",M210,IF(F210="per_token",N210,0)))</x:f>
        <x:v>0.13</x:v>
      </x:c>
      <x:c r="P210" s="27" t="n">
        <x:v>1</x:v>
      </x:c>
      <x:c r="Q210" s="27" t="n">
        <x:v>1</x:v>
      </x:c>
      <x:c r="R210" s="27" t="n">
        <x:v>1</x:v>
      </x:c>
      <x:c r="S210" s="27" t="n">
        <x:v>0</x:v>
      </x:c>
      <x:c r="T210" s="26" t="n">
        <x:f>IF(K210="USD",1,'参数'!$B$6)</x:f>
        <x:v>0.136986301369863</x:v>
      </x:c>
      <x:c r="U210" s="26" t="n">
        <x:f t="shared" si="13">O210*P210*Q210/R210*(1+S210)*T210</x:f>
        <x:v>0.01780821917808219</x:v>
      </x:c>
      <x:c r="V210" s="23" t="str">
        <x:f t="shared" si="14">IF(F210="per_request","USD/次",IF(F210="per_duration","USD/秒",IF(F210="per_token","USD/1M Token","")))</x:f>
        <x:v>USD/秒</x:v>
      </x:c>
      <x:c r="W210" s="20" t="n">
        <x:v>46229.393565162034</x:v>
      </x:c>
      <x:c r="X210" s="20"/>
      <x:c r="Y210" s="2" t="str">
        <x:v>draft</x:v>
      </x:c>
      <x:c r="Z210" s="2" t="str">
        <x:v>SRC-CH-08</x:v>
      </x:c>
      <x:c r="AA210" s="7" t="str">
        <x:v>源行=sd!111；原模型=videos-4-fast-480p；时长=4-15；比例=不限；视频输入=是；真人脸=待确认；超分=否；素材库=否；NSFW=否；协议=自有；素材限制=431；原表折扣 秒 无V=0.349（成本/官价参考比，不参与成本二次计算）；原表状态为空，已导入为draft</x:v>
      </x:c>
      <x:c r="AB210" s="23" t="str">
        <x:f t="shared" si="15">IF(A210="","",IF(COUNTIF($A$5:$A$1004,A210)&gt;1,"错误:重复成本规则ID",IF(OR(B210="",C210="",E210="",F210="",K210="",O210&lt;=0,P210&lt;=0,Q210&lt;=0,R210&lt;=0,S210&lt;0,T210&lt;=0,Y210=""),"错误:必填项",IF(D210="","警告:SKU待映射","OK"))))</x:f>
        <x:v>OK</x:v>
      </x:c>
    </x:row>
    <x:row r="211" ht="66" hidden="1" customHeight="1">
      <x:c r="A211" s="2" t="str">
        <x:v>COST-MEGABYAI-R111-480-SEC-VID</x:v>
      </x:c>
      <x:c r="B211" s="2" t="str">
        <x:v>CH-MEGABYAI</x:v>
      </x:c>
      <x:c r="C211" s="2" t="str">
        <x:v>videos-4-fast-480p</x:v>
      </x:c>
      <x:c r="D211" s="2" t="str">
        <x:v>SKU-SD20-FAST-480</x:v>
      </x:c>
      <x:c r="E211" s="2" t="str">
        <x:v>with_video</x:v>
      </x:c>
      <x:c r="F211" s="2" t="str">
        <x:v>per_duration</x:v>
      </x:c>
      <x:c r="G211" s="2"/>
      <x:c r="H211" s="2" t="str">
        <x:v>validated_request</x:v>
      </x:c>
      <x:c r="I211" s="2" t="str">
        <x:v>billable_duration_seconds</x:v>
      </x:c>
      <x:c r="J211" s="2" t="str">
        <x:v>task_succeeded</x:v>
      </x:c>
      <x:c r="K211" s="2" t="str">
        <x:v>CNY</x:v>
      </x:c>
      <x:c r="L211" s="27"/>
      <x:c r="M211" s="27" t="n">
        <x:v>0.13</x:v>
      </x:c>
      <x:c r="N211" s="27"/>
      <x:c r="O211" s="26" t="n">
        <x:f t="shared" si="12">IF(F211="per_request",L211,IF(F211="per_duration",M211,IF(F211="per_token",N211,0)))</x:f>
        <x:v>0.13</x:v>
      </x:c>
      <x:c r="P211" s="27" t="n">
        <x:v>1</x:v>
      </x:c>
      <x:c r="Q211" s="27" t="n">
        <x:v>1</x:v>
      </x:c>
      <x:c r="R211" s="27" t="n">
        <x:v>1</x:v>
      </x:c>
      <x:c r="S211" s="27" t="n">
        <x:v>0</x:v>
      </x:c>
      <x:c r="T211" s="26" t="n">
        <x:f>IF(K211="USD",1,'参数'!$B$6)</x:f>
        <x:v>0.136986301369863</x:v>
      </x:c>
      <x:c r="U211" s="26" t="n">
        <x:f t="shared" si="13">O211*P211*Q211/R211*(1+S211)*T211</x:f>
        <x:v>0.01780821917808219</x:v>
      </x:c>
      <x:c r="V211" s="23" t="str">
        <x:f t="shared" si="14">IF(F211="per_request","USD/次",IF(F211="per_duration","USD/秒",IF(F211="per_token","USD/1M Token","")))</x:f>
        <x:v>USD/秒</x:v>
      </x:c>
      <x:c r="W211" s="20" t="n">
        <x:v>46229.393565162034</x:v>
      </x:c>
      <x:c r="X211" s="20"/>
      <x:c r="Y211" s="2" t="str">
        <x:v>draft</x:v>
      </x:c>
      <x:c r="Z211" s="2" t="str">
        <x:v>SRC-CH-08</x:v>
      </x:c>
      <x:c r="AA211" s="7" t="str">
        <x:v>源行=sd!111；原模型=videos-4-fast-480p；时长=4-15；比例=不限；视频输入=是；真人脸=待确认；超分=否；素材库=否；NSFW=否；协议=自有；素材限制=431；原表折扣 秒 含V=0.588（成本/官价参考比，不参与成本二次计算）；原表状态为空，已导入为draft</x:v>
      </x:c>
      <x:c r="AB211" s="23" t="str">
        <x:f t="shared" si="15">IF(A211="","",IF(COUNTIF($A$5:$A$1004,A211)&gt;1,"错误:重复成本规则ID",IF(OR(B211="",C211="",E211="",F211="",K211="",O211&lt;=0,P211&lt;=0,Q211&lt;=0,R211&lt;=0,S211&lt;0,T211&lt;=0,Y211=""),"错误:必填项",IF(D211="","警告:SKU待映射","OK"))))</x:f>
        <x:v>OK</x:v>
      </x:c>
    </x:row>
    <x:row r="212" ht="66" hidden="1" customHeight="1">
      <x:c r="A212" s="2" t="str">
        <x:v>COST-MEGABYAI-R112-720-SEC-NOV</x:v>
      </x:c>
      <x:c r="B212" s="2" t="str">
        <x:v>CH-MEGABYAI</x:v>
      </x:c>
      <x:c r="C212" s="2" t="str">
        <x:v>videos-4-fast-720p</x:v>
      </x:c>
      <x:c r="D212" s="2" t="str">
        <x:v>SKU-SD20-FAST-720</x:v>
      </x:c>
      <x:c r="E212" s="2" t="str">
        <x:v>no_video</x:v>
      </x:c>
      <x:c r="F212" s="2" t="str">
        <x:v>per_duration</x:v>
      </x:c>
      <x:c r="G212" s="2"/>
      <x:c r="H212" s="2" t="str">
        <x:v>validated_request</x:v>
      </x:c>
      <x:c r="I212" s="2" t="str">
        <x:v>billable_duration_seconds</x:v>
      </x:c>
      <x:c r="J212" s="2" t="str">
        <x:v>task_succeeded</x:v>
      </x:c>
      <x:c r="K212" s="2" t="str">
        <x:v>CNY</x:v>
      </x:c>
      <x:c r="L212" s="27"/>
      <x:c r="M212" s="27" t="n">
        <x:v>0.23</x:v>
      </x:c>
      <x:c r="N212" s="27"/>
      <x:c r="O212" s="26" t="n">
        <x:f t="shared" si="12">IF(F212="per_request",L212,IF(F212="per_duration",M212,IF(F212="per_token",N212,0)))</x:f>
        <x:v>0.23</x:v>
      </x:c>
      <x:c r="P212" s="27" t="n">
        <x:v>1</x:v>
      </x:c>
      <x:c r="Q212" s="27" t="n">
        <x:v>1</x:v>
      </x:c>
      <x:c r="R212" s="27" t="n">
        <x:v>1</x:v>
      </x:c>
      <x:c r="S212" s="27" t="n">
        <x:v>0</x:v>
      </x:c>
      <x:c r="T212" s="26" t="n">
        <x:f>IF(K212="USD",1,'参数'!$B$6)</x:f>
        <x:v>0.136986301369863</x:v>
      </x:c>
      <x:c r="U212" s="26" t="n">
        <x:f t="shared" si="13">O212*P212*Q212/R212*(1+S212)*T212</x:f>
        <x:v>0.031506849315068496</x:v>
      </x:c>
      <x:c r="V212" s="23" t="str">
        <x:f t="shared" si="14">IF(F212="per_request","USD/次",IF(F212="per_duration","USD/秒",IF(F212="per_token","USD/1M Token","")))</x:f>
        <x:v>USD/秒</x:v>
      </x:c>
      <x:c r="W212" s="20" t="n">
        <x:v>46229.393565162034</x:v>
      </x:c>
      <x:c r="X212" s="20"/>
      <x:c r="Y212" s="2" t="str">
        <x:v>draft</x:v>
      </x:c>
      <x:c r="Z212" s="2" t="str">
        <x:v>SRC-CH-08</x:v>
      </x:c>
      <x:c r="AA212" s="7" t="str">
        <x:v>源行=sd!112；原模型=videos-4-fast-720p；时长=4-15；比例=不限；视频输入=是；真人脸=待确认；超分=否；素材库=否；NSFW=否；协议=自有；素材限制=431；原表折扣 秒 无V=0.288（成本/官价参考比，不参与成本二次计算）；原表状态为空，已导入为draft</x:v>
      </x:c>
      <x:c r="AB212" s="23" t="str">
        <x:f t="shared" si="15">IF(A212="","",IF(COUNTIF($A$5:$A$1004,A212)&gt;1,"错误:重复成本规则ID",IF(OR(B212="",C212="",E212="",F212="",K212="",O212&lt;=0,P212&lt;=0,Q212&lt;=0,R212&lt;=0,S212&lt;0,T212&lt;=0,Y212=""),"错误:必填项",IF(D212="","警告:SKU待映射","OK"))))</x:f>
        <x:v>OK</x:v>
      </x:c>
    </x:row>
    <x:row r="213" ht="66" hidden="1" customHeight="1">
      <x:c r="A213" s="2" t="str">
        <x:v>COST-MEGABYAI-R112-720-SEC-VID</x:v>
      </x:c>
      <x:c r="B213" s="2" t="str">
        <x:v>CH-MEGABYAI</x:v>
      </x:c>
      <x:c r="C213" s="2" t="str">
        <x:v>videos-4-fast-720p</x:v>
      </x:c>
      <x:c r="D213" s="2" t="str">
        <x:v>SKU-SD20-FAST-720</x:v>
      </x:c>
      <x:c r="E213" s="2" t="str">
        <x:v>with_video</x:v>
      </x:c>
      <x:c r="F213" s="2" t="str">
        <x:v>per_duration</x:v>
      </x:c>
      <x:c r="G213" s="2"/>
      <x:c r="H213" s="2" t="str">
        <x:v>validated_request</x:v>
      </x:c>
      <x:c r="I213" s="2" t="str">
        <x:v>billable_duration_seconds</x:v>
      </x:c>
      <x:c r="J213" s="2" t="str">
        <x:v>task_succeeded</x:v>
      </x:c>
      <x:c r="K213" s="2" t="str">
        <x:v>CNY</x:v>
      </x:c>
      <x:c r="L213" s="27"/>
      <x:c r="M213" s="27" t="n">
        <x:v>0.23</x:v>
      </x:c>
      <x:c r="N213" s="27"/>
      <x:c r="O213" s="26" t="n">
        <x:f t="shared" si="12">IF(F213="per_request",L213,IF(F213="per_duration",M213,IF(F213="per_token",N213,0)))</x:f>
        <x:v>0.23</x:v>
      </x:c>
      <x:c r="P213" s="27" t="n">
        <x:v>1</x:v>
      </x:c>
      <x:c r="Q213" s="27" t="n">
        <x:v>1</x:v>
      </x:c>
      <x:c r="R213" s="27" t="n">
        <x:v>1</x:v>
      </x:c>
      <x:c r="S213" s="27" t="n">
        <x:v>0</x:v>
      </x:c>
      <x:c r="T213" s="26" t="n">
        <x:f>IF(K213="USD",1,'参数'!$B$6)</x:f>
        <x:v>0.136986301369863</x:v>
      </x:c>
      <x:c r="U213" s="26" t="n">
        <x:f t="shared" si="13">O213*P213*Q213/R213*(1+S213)*T213</x:f>
        <x:v>0.031506849315068496</x:v>
      </x:c>
      <x:c r="V213" s="23" t="str">
        <x:f t="shared" si="14">IF(F213="per_request","USD/次",IF(F213="per_duration","USD/秒",IF(F213="per_token","USD/1M Token","")))</x:f>
        <x:v>USD/秒</x:v>
      </x:c>
      <x:c r="W213" s="20" t="n">
        <x:v>46229.393565162034</x:v>
      </x:c>
      <x:c r="X213" s="20"/>
      <x:c r="Y213" s="2" t="str">
        <x:v>draft</x:v>
      </x:c>
      <x:c r="Z213" s="2" t="str">
        <x:v>SRC-CH-08</x:v>
      </x:c>
      <x:c r="AA213" s="7" t="str">
        <x:v>源行=sd!112；原模型=videos-4-fast-720p；时长=4-15；比例=不限；视频输入=是；真人脸=待确认；超分=否；素材库=否；NSFW=否；协议=自有；素材限制=431；原表折扣 秒 含V=0.484（成本/官价参考比，不参与成本二次计算）；原表状态为空，已导入为draft</x:v>
      </x:c>
      <x:c r="AB213" s="23" t="str">
        <x:f t="shared" si="15">IF(A213="","",IF(COUNTIF($A$5:$A$1004,A213)&gt;1,"错误:重复成本规则ID",IF(OR(B213="",C213="",E213="",F213="",K213="",O213&lt;=0,P213&lt;=0,Q213&lt;=0,R213&lt;=0,S213&lt;0,T213&lt;=0,Y213=""),"错误:必填项",IF(D213="","警告:SKU待映射","OK"))))</x:f>
        <x:v>OK</x:v>
      </x:c>
    </x:row>
    <x:row r="214" ht="66" hidden="1" customHeight="1">
      <x:c r="A214" s="2" t="str">
        <x:v>COST-MEGABYAI-R113-480-SEC-NOV</x:v>
      </x:c>
      <x:c r="B214" s="2" t="str">
        <x:v>CH-MEGABYAI</x:v>
      </x:c>
      <x:c r="C214" s="2" t="str">
        <x:v>videos-4-mini-480p</x:v>
      </x:c>
      <x:c r="D214" s="2" t="str">
        <x:v>SKU-SD20-MINI-480</x:v>
      </x:c>
      <x:c r="E214" s="2" t="str">
        <x:v>no_video</x:v>
      </x:c>
      <x:c r="F214" s="2" t="str">
        <x:v>per_duration</x:v>
      </x:c>
      <x:c r="G214" s="2"/>
      <x:c r="H214" s="2" t="str">
        <x:v>validated_request</x:v>
      </x:c>
      <x:c r="I214" s="2" t="str">
        <x:v>billable_duration_seconds</x:v>
      </x:c>
      <x:c r="J214" s="2" t="str">
        <x:v>task_succeeded</x:v>
      </x:c>
      <x:c r="K214" s="2" t="str">
        <x:v>CNY</x:v>
      </x:c>
      <x:c r="L214" s="27"/>
      <x:c r="M214" s="27" t="n">
        <x:v>0.09</x:v>
      </x:c>
      <x:c r="N214" s="27"/>
      <x:c r="O214" s="26" t="n">
        <x:f t="shared" si="12">IF(F214="per_request",L214,IF(F214="per_duration",M214,IF(F214="per_token",N214,0)))</x:f>
        <x:v>0.09</x:v>
      </x:c>
      <x:c r="P214" s="27" t="n">
        <x:v>1</x:v>
      </x:c>
      <x:c r="Q214" s="27" t="n">
        <x:v>1</x:v>
      </x:c>
      <x:c r="R214" s="27" t="n">
        <x:v>1</x:v>
      </x:c>
      <x:c r="S214" s="27" t="n">
        <x:v>0</x:v>
      </x:c>
      <x:c r="T214" s="26" t="n">
        <x:f>IF(K214="USD",1,'参数'!$B$6)</x:f>
        <x:v>0.136986301369863</x:v>
      </x:c>
      <x:c r="U214" s="26" t="n">
        <x:f t="shared" si="13">O214*P214*Q214/R214*(1+S214)*T214</x:f>
        <x:v>0.012328767123287671</x:v>
      </x:c>
      <x:c r="V214" s="23" t="str">
        <x:f t="shared" si="14">IF(F214="per_request","USD/次",IF(F214="per_duration","USD/秒",IF(F214="per_token","USD/1M Token","")))</x:f>
        <x:v>USD/秒</x:v>
      </x:c>
      <x:c r="W214" s="20" t="n">
        <x:v>46229.393565162034</x:v>
      </x:c>
      <x:c r="X214" s="20"/>
      <x:c r="Y214" s="2" t="str">
        <x:v>draft</x:v>
      </x:c>
      <x:c r="Z214" s="2" t="str">
        <x:v>SRC-CH-08</x:v>
      </x:c>
      <x:c r="AA214" s="7" t="str">
        <x:v>源行=sd!113；原模型=videos-4-mini-480p；时长=4-15；比例=不限；视频输入=是；真人脸=待确认；超分=否；素材库=否；NSFW=否；协议=自有；素材限制=431；原表折扣 秒 无V=0.39（成本/官价参考比，不参与成本二次计算）；原表状态为空，已导入为draft</x:v>
      </x:c>
      <x:c r="AB214" s="23" t="str">
        <x:f t="shared" si="15">IF(A214="","",IF(COUNTIF($A$5:$A$1004,A214)&gt;1,"错误:重复成本规则ID",IF(OR(B214="",C214="",E214="",F214="",K214="",O214&lt;=0,P214&lt;=0,Q214&lt;=0,R214&lt;=0,S214&lt;0,T214&lt;=0,Y214=""),"错误:必填项",IF(D214="","警告:SKU待映射","OK"))))</x:f>
        <x:v>OK</x:v>
      </x:c>
    </x:row>
    <x:row r="215" ht="66" hidden="1" customHeight="1">
      <x:c r="A215" s="2" t="str">
        <x:v>COST-MEGABYAI-R113-480-SEC-VID</x:v>
      </x:c>
      <x:c r="B215" s="2" t="str">
        <x:v>CH-MEGABYAI</x:v>
      </x:c>
      <x:c r="C215" s="2" t="str">
        <x:v>videos-4-mini-480p</x:v>
      </x:c>
      <x:c r="D215" s="2" t="str">
        <x:v>SKU-SD20-MINI-480</x:v>
      </x:c>
      <x:c r="E215" s="2" t="str">
        <x:v>with_video</x:v>
      </x:c>
      <x:c r="F215" s="2" t="str">
        <x:v>per_duration</x:v>
      </x:c>
      <x:c r="G215" s="2"/>
      <x:c r="H215" s="2" t="str">
        <x:v>validated_request</x:v>
      </x:c>
      <x:c r="I215" s="2" t="str">
        <x:v>billable_duration_seconds</x:v>
      </x:c>
      <x:c r="J215" s="2" t="str">
        <x:v>task_succeeded</x:v>
      </x:c>
      <x:c r="K215" s="2" t="str">
        <x:v>CNY</x:v>
      </x:c>
      <x:c r="L215" s="27"/>
      <x:c r="M215" s="27" t="n">
        <x:v>0.09</x:v>
      </x:c>
      <x:c r="N215" s="27"/>
      <x:c r="O215" s="26" t="n">
        <x:f t="shared" si="12">IF(F215="per_request",L215,IF(F215="per_duration",M215,IF(F215="per_token",N215,0)))</x:f>
        <x:v>0.09</x:v>
      </x:c>
      <x:c r="P215" s="27" t="n">
        <x:v>1</x:v>
      </x:c>
      <x:c r="Q215" s="27" t="n">
        <x:v>1</x:v>
      </x:c>
      <x:c r="R215" s="27" t="n">
        <x:v>1</x:v>
      </x:c>
      <x:c r="S215" s="27" t="n">
        <x:v>0</x:v>
      </x:c>
      <x:c r="T215" s="26" t="n">
        <x:f>IF(K215="USD",1,'参数'!$B$6)</x:f>
        <x:v>0.136986301369863</x:v>
      </x:c>
      <x:c r="U215" s="26" t="n">
        <x:f t="shared" si="13">O215*P215*Q215/R215*(1+S215)*T215</x:f>
        <x:v>0.012328767123287671</x:v>
      </x:c>
      <x:c r="V215" s="23" t="str">
        <x:f t="shared" si="14">IF(F215="per_request","USD/次",IF(F215="per_duration","USD/秒",IF(F215="per_token","USD/1M Token","")))</x:f>
        <x:v>USD/秒</x:v>
      </x:c>
      <x:c r="W215" s="20" t="n">
        <x:v>46229.393565162034</x:v>
      </x:c>
      <x:c r="X215" s="20"/>
      <x:c r="Y215" s="2" t="str">
        <x:v>draft</x:v>
      </x:c>
      <x:c r="Z215" s="2" t="str">
        <x:v>SRC-CH-08</x:v>
      </x:c>
      <x:c r="AA215" s="7" t="str">
        <x:v>源行=sd!113；原模型=videos-4-mini-480p；时长=4-15；比例=不限；视频输入=是；真人脸=待确认；超分=否；素材库=否；NSFW=否；协议=自有；素材限制=431；原表折扣 秒 含V=0.638（成本/官价参考比，不参与成本二次计算）；原表状态为空，已导入为draft</x:v>
      </x:c>
      <x:c r="AB215" s="23" t="str">
        <x:f t="shared" si="15">IF(A215="","",IF(COUNTIF($A$5:$A$1004,A215)&gt;1,"错误:重复成本规则ID",IF(OR(B215="",C215="",E215="",F215="",K215="",O215&lt;=0,P215&lt;=0,Q215&lt;=0,R215&lt;=0,S215&lt;0,T215&lt;=0,Y215=""),"错误:必填项",IF(D215="","警告:SKU待映射","OK"))))</x:f>
        <x:v>OK</x:v>
      </x:c>
    </x:row>
    <x:row r="216" ht="52.79999923706055" customHeight="1">
      <x:c r="A216" s="2" t="str">
        <x:v>COST-MEGABYAI-R114-720-SEC-NOV</x:v>
      </x:c>
      <x:c r="B216" s="2" t="str">
        <x:v>CH-MEGABYAI</x:v>
      </x:c>
      <x:c r="C216" s="2" t="str">
        <x:v>videos-4-mini-720p</x:v>
      </x:c>
      <x:c r="D216" s="44" t="str">
        <x:v>SKU-SD20-MINI-720</x:v>
      </x:c>
      <x:c r="E216" s="2" t="str">
        <x:v>no_video</x:v>
      </x:c>
      <x:c r="F216" s="2" t="str">
        <x:v>per_duration</x:v>
      </x:c>
      <x:c r="G216" s="2"/>
      <x:c r="H216" s="2" t="str">
        <x:v>validated_request</x:v>
      </x:c>
      <x:c r="I216" s="2" t="str">
        <x:v>billable_duration_seconds</x:v>
      </x:c>
      <x:c r="J216" s="2" t="str">
        <x:v>task_succeeded</x:v>
      </x:c>
      <x:c r="K216" s="2" t="str">
        <x:v>CNY</x:v>
      </x:c>
      <x:c r="L216" s="27"/>
      <x:c r="M216" s="27" t="n">
        <x:v>0.16</x:v>
      </x:c>
      <x:c r="N216" s="27"/>
      <x:c r="O216" s="26" t="n">
        <x:f t="shared" si="12">IF(F216="per_request",L216,IF(F216="per_duration",M216,IF(F216="per_token",N216,0)))</x:f>
        <x:v>0.16</x:v>
      </x:c>
      <x:c r="P216" s="27" t="n">
        <x:v>1</x:v>
      </x:c>
      <x:c r="Q216" s="27" t="n">
        <x:v>1</x:v>
      </x:c>
      <x:c r="R216" s="27" t="n">
        <x:v>1</x:v>
      </x:c>
      <x:c r="S216" s="27" t="n">
        <x:v>0</x:v>
      </x:c>
      <x:c r="T216" s="26" t="n">
        <x:f>IF(K216="USD",1,'参数'!$B$6)</x:f>
        <x:v>0.136986301369863</x:v>
      </x:c>
      <x:c r="U216" s="26" t="n">
        <x:f t="shared" si="13">O216*P216*Q216/R216*(1+S216)*T216</x:f>
        <x:v>0.021917808219178082</x:v>
      </x:c>
      <x:c r="V216" s="23" t="str">
        <x:f t="shared" si="14">IF(F216="per_request","USD/次",IF(F216="per_duration","USD/秒",IF(F216="per_token","USD/1M Token","")))</x:f>
        <x:v>USD/秒</x:v>
      </x:c>
      <x:c r="W216" s="20" t="n">
        <x:v>46229.393565162034</x:v>
      </x:c>
      <x:c r="X216" s="20"/>
      <x:c r="Y216" s="2" t="str">
        <x:v>draft</x:v>
      </x:c>
      <x:c r="Z216" s="2" t="str">
        <x:v>SRC-CH-08</x:v>
      </x:c>
      <x:c r="AA216" s="45" t="str">
        <x:v>源行=sd!114；原模型=videos-4-mini-720p；时长=4-15；比例=不限；视频输入=是；真人脸=待确认；超分=否；素材库=否；NSFW=否；协议=自有；素材限制=431；原表折扣 秒 无V=0.322（成本/官价参考比，不参与成本二次计算）；原表状态为空，已导入为draft</x:v>
      </x:c>
      <x:c r="AB216" s="23" t="str">
        <x:f t="shared" si="15">IF(A216="","",IF(COUNTIF($A$5:$A$1004,A216)&gt;1,"错误:重复成本规则ID",IF(OR(B216="",C216="",E216="",F216="",K216="",O216&lt;=0,P216&lt;=0,Q216&lt;=0,R216&lt;=0,S216&lt;0,T216&lt;=0,Y216=""),"错误:必填项",IF(D216="","警告:SKU待映射","OK"))))</x:f>
        <x:v>OK</x:v>
      </x:c>
    </x:row>
    <x:row r="217">
      <x:c r="A217" t="str">
        <x:v>COST-MEGABYAI-R114-720-SEC-VID</x:v>
      </x:c>
      <x:c r="B217" t="str">
        <x:v>CH-MEGABYAI</x:v>
      </x:c>
      <x:c r="C217" t="str">
        <x:v>videos-4-mini-720p</x:v>
      </x:c>
      <x:c r="D217" t="str">
        <x:v>SKU-SD20-MINI-720</x:v>
      </x:c>
      <x:c r="E217" t="str">
        <x:v>with_video</x:v>
      </x:c>
      <x:c r="F217" t="str">
        <x:v>per_duration</x:v>
      </x:c>
      <x:c r="G217"/>
      <x:c r="H217" t="str">
        <x:v>validated_request</x:v>
      </x:c>
      <x:c r="I217" t="str">
        <x:v>billable_duration_seconds</x:v>
      </x:c>
      <x:c r="J217" t="str">
        <x:v>task_succeeded</x:v>
      </x:c>
      <x:c r="K217" t="str">
        <x:v>CNY</x:v>
      </x:c>
      <x:c r="L217"/>
      <x:c r="M217" t="n">
        <x:v>0.16</x:v>
      </x:c>
      <x:c r="N217"/>
      <x:c r="O217" t="n">
        <x:f>IF(F217="per_request",L217,IF(F217="per_duration",M217,IF(F217="per_token",N217,0)))</x:f>
        <x:v>0.16</x:v>
      </x:c>
      <x:c r="P217" t="n">
        <x:v>1</x:v>
      </x:c>
      <x:c r="Q217" t="n">
        <x:v>1</x:v>
      </x:c>
      <x:c r="R217" t="n">
        <x:v>1</x:v>
      </x:c>
      <x:c r="S217" t="n">
        <x:v>0</x:v>
      </x:c>
      <x:c r="T217" t="n">
        <x:f>IF(K217="USD",1,'参数'!$B$6)</x:f>
        <x:v>0.136986301369863</x:v>
      </x:c>
      <x:c r="U217" t="n">
        <x:f>O217*P217*Q217/R217*(1+S217)*T217</x:f>
        <x:v>0.021917808219178082</x:v>
      </x:c>
      <x:c r="V217" t="str">
        <x:f>IF(F217="per_request","USD/次",IF(F217="per_duration","USD/秒",IF(F217="per_token","USD/1M Token","")))</x:f>
        <x:v>USD/秒</x:v>
      </x:c>
      <x:c r="W217" t="n">
        <x:v>46229.393565162034</x:v>
      </x:c>
      <x:c r="X217"/>
      <x:c r="Y217" t="str">
        <x:v>draft</x:v>
      </x:c>
      <x:c r="Z217" t="str">
        <x:v>SRC-CH-08</x:v>
      </x:c>
      <x:c r="AA217" t="str">
        <x:v>源行=sd!114；原模型=videos-4-mini-720p；时长=4-15；比例=不限；视频输入=是；真人脸=待确认；超分=否；素材库=否；NSFW=否；协议=自有；素材限制=431；原表折扣 秒 含V=0.53（成本/官价参考比，不参与成本二次计算）；原表状态为空，已导入为draft</x:v>
      </x:c>
      <x:c r="AB217" t="str">
        <x:f>IF(A217="","",IF(COUNTIF($A$5:$A$1004,A217)&gt;1,"错误:重复成本规则ID",IF(OR(B217="",C217="",E217="",F217="",K217="",O217&lt;=0,P217&lt;=0,Q217&lt;=0,R217&lt;=0,S217&lt;0,T217&lt;=0,Y217=""),"错误:必填项",IF(D217="","警告:SKU待映射","OK"))))</x:f>
        <x:v>OK</x:v>
      </x:c>
    </x:row>
    <x:row r="218">
      <x:c r="A218" t="str">
        <x:v>COST-4STOKEN-R116-480-REQ-NOV</x:v>
      </x:c>
      <x:c r="B218" t="str">
        <x:v>CH-4STOKEN</x:v>
      </x:c>
      <x:c r="C218" t="str">
        <x:v>4sdance_fast431</x:v>
      </x:c>
      <x:c r="D218" t="str">
        <x:v>SKU-SD20-FAST-480</x:v>
      </x:c>
      <x:c r="E218" t="str">
        <x:v>no_video</x:v>
      </x:c>
      <x:c r="F218" t="str">
        <x:v>per_request</x:v>
      </x:c>
      <x:c r="G218"/>
      <x:c r="H218" t="str">
        <x:v>validated_request</x:v>
      </x:c>
      <x:c r="I218" t="str">
        <x:v>request_count</x:v>
      </x:c>
      <x:c r="J218" t="str">
        <x:v>task_succeeded</x:v>
      </x:c>
      <x:c r="K218" t="str">
        <x:v>CNY</x:v>
      </x:c>
      <x:c r="L218" t="n">
        <x:v>3.35</x:v>
      </x:c>
      <x:c r="M218"/>
      <x:c r="N218"/>
      <x:c r="O218" t="n">
        <x:f>IF(F218="per_request",L218,IF(F218="per_duration",M218,IF(F218="per_token",N218,0)))</x:f>
        <x:v>3.35</x:v>
      </x:c>
      <x:c r="P218" t="n">
        <x:v>1</x:v>
      </x:c>
      <x:c r="Q218" t="n">
        <x:v>1</x:v>
      </x:c>
      <x:c r="R218" t="n">
        <x:v>1</x:v>
      </x:c>
      <x:c r="S218" t="n">
        <x:v>0</x:v>
      </x:c>
      <x:c r="T218" t="n">
        <x:f>IF(K218="USD",1,'参数'!$B$6)</x:f>
        <x:v>0.136986301369863</x:v>
      </x:c>
      <x:c r="U218" t="n">
        <x:f>O218*P218*Q218/R218*(1+S218)*T218</x:f>
        <x:v>0.4589041095890411</x:v>
      </x:c>
      <x:c r="V218" t="str">
        <x:f>IF(F218="per_request","USD/次",IF(F218="per_duration","USD/秒",IF(F218="per_token","USD/1M Token","")))</x:f>
        <x:v>USD/次</x:v>
      </x:c>
      <x:c r="W218" t="n">
        <x:v>46229.393565162034</x:v>
      </x:c>
      <x:c r="X218"/>
      <x:c r="Y218" t="str">
        <x:v>draft</x:v>
      </x:c>
      <x:c r="Z218" t="str">
        <x:v>SRC-CH-09</x:v>
      </x:c>
      <x:c r="AA218" t="str">
        <x:v>源行=sd!116；原模型=4sdance_fast431；时长=4-15；比例=不限；视频输入=是；真人脸=是；超分=否；素材库=否；NSFW=否；协议=ARK API；素材限制=431；原表折扣 秒 无V=9.005（成本/官价参考比，不参与成本二次计算）；原表状态为空，已导入为draft</x:v>
      </x:c>
      <x:c r="AB218" t="str">
        <x:f>IF(A218="","",IF(COUNTIF($A$5:$A$1004,A218)&gt;1,"错误:重复成本规则ID",IF(OR(B218="",C218="",E218="",F218="",K218="",O218&lt;=0,P218&lt;=0,Q218&lt;=0,R218&lt;=0,S218&lt;0,T218&lt;=0,Y218=""),"错误:必填项",IF(D218="","警告:SKU待映射","OK"))))</x:f>
        <x:v>OK</x:v>
      </x:c>
    </x:row>
    <x:row r="219">
      <x:c r="A219" t="str">
        <x:v>COST-4STOKEN-R116-480-REQ-VID</x:v>
      </x:c>
      <x:c r="B219" t="str">
        <x:v>CH-4STOKEN</x:v>
      </x:c>
      <x:c r="C219" t="str">
        <x:v>4sdance_fast431</x:v>
      </x:c>
      <x:c r="D219" t="str">
        <x:v>SKU-SD20-FAST-480</x:v>
      </x:c>
      <x:c r="E219" t="str">
        <x:v>with_video</x:v>
      </x:c>
      <x:c r="F219" t="str">
        <x:v>per_request</x:v>
      </x:c>
      <x:c r="G219"/>
      <x:c r="H219" t="str">
        <x:v>validated_request</x:v>
      </x:c>
      <x:c r="I219" t="str">
        <x:v>request_count</x:v>
      </x:c>
      <x:c r="J219" t="str">
        <x:v>task_succeeded</x:v>
      </x:c>
      <x:c r="K219" t="str">
        <x:v>CNY</x:v>
      </x:c>
      <x:c r="L219" t="n">
        <x:v>3.35</x:v>
      </x:c>
      <x:c r="M219"/>
      <x:c r="N219"/>
      <x:c r="O219" t="n">
        <x:f>IF(F219="per_request",L219,IF(F219="per_duration",M219,IF(F219="per_token",N219,0)))</x:f>
        <x:v>3.35</x:v>
      </x:c>
      <x:c r="P219" t="n">
        <x:v>1</x:v>
      </x:c>
      <x:c r="Q219" t="n">
        <x:v>1</x:v>
      </x:c>
      <x:c r="R219" t="n">
        <x:v>1</x:v>
      </x:c>
      <x:c r="S219" t="n">
        <x:v>0</x:v>
      </x:c>
      <x:c r="T219" t="n">
        <x:f>IF(K219="USD",1,'参数'!$B$6)</x:f>
        <x:v>0.136986301369863</x:v>
      </x:c>
      <x:c r="U219" t="n">
        <x:f>O219*P219*Q219/R219*(1+S219)*T219</x:f>
        <x:v>0.4589041095890411</x:v>
      </x:c>
      <x:c r="V219" t="str">
        <x:f>IF(F219="per_request","USD/次",IF(F219="per_duration","USD/秒",IF(F219="per_token","USD/1M Token","")))</x:f>
        <x:v>USD/次</x:v>
      </x:c>
      <x:c r="W219" t="n">
        <x:v>46229.393565162034</x:v>
      </x:c>
      <x:c r="X219"/>
      <x:c r="Y219" t="str">
        <x:v>draft</x:v>
      </x:c>
      <x:c r="Z219" t="str">
        <x:v>SRC-CH-09</x:v>
      </x:c>
      <x:c r="AA219" t="str">
        <x:v>源行=sd!116；原模型=4sdance_fast431；时长=4-15；比例=不限；视频输入=是；真人脸=是；超分=否；素材库=否；NSFW=否；协议=ARK API；素材限制=431；原表折扣 秒 含V=15.158（成本/官价参考比，不参与成本二次计算）；原表状态为空，已导入为draft</x:v>
      </x:c>
      <x:c r="AB219" t="str">
        <x:f>IF(A219="","",IF(COUNTIF($A$5:$A$1004,A219)&gt;1,"错误:重复成本规则ID",IF(OR(B219="",C219="",E219="",F219="",K219="",O219&lt;=0,P219&lt;=0,Q219&lt;=0,R219&lt;=0,S219&lt;0,T219&lt;=0,Y219=""),"错误:必填项",IF(D219="","警告:SKU待映射","OK"))))</x:f>
        <x:v>OK</x:v>
      </x:c>
    </x:row>
    <x:row r="220">
      <x:c r="A220" t="str">
        <x:v>COST-4STOKEN-R117-720-REQ-NOV</x:v>
      </x:c>
      <x:c r="B220" t="str">
        <x:v>CH-4STOKEN</x:v>
      </x:c>
      <x:c r="C220" t="str">
        <x:v>4sdance_fast431</x:v>
      </x:c>
      <x:c r="D220" t="str">
        <x:v>SKU-SD20-FAST-720</x:v>
      </x:c>
      <x:c r="E220" t="str">
        <x:v>no_video</x:v>
      </x:c>
      <x:c r="F220" t="str">
        <x:v>per_request</x:v>
      </x:c>
      <x:c r="G220"/>
      <x:c r="H220" t="str">
        <x:v>validated_request</x:v>
      </x:c>
      <x:c r="I220" t="str">
        <x:v>request_count</x:v>
      </x:c>
      <x:c r="J220" t="str">
        <x:v>task_succeeded</x:v>
      </x:c>
      <x:c r="K220" t="str">
        <x:v>CNY</x:v>
      </x:c>
      <x:c r="L220" t="n">
        <x:v>7.2</x:v>
      </x:c>
      <x:c r="M220"/>
      <x:c r="N220"/>
      <x:c r="O220" t="n">
        <x:f>IF(F220="per_request",L220,IF(F220="per_duration",M220,IF(F220="per_token",N220,0)))</x:f>
        <x:v>7.2</x:v>
      </x:c>
      <x:c r="P220" t="n">
        <x:v>1</x:v>
      </x:c>
      <x:c r="Q220" t="n">
        <x:v>1</x:v>
      </x:c>
      <x:c r="R220" t="n">
        <x:v>1</x:v>
      </x:c>
      <x:c r="S220" t="n">
        <x:v>0</x:v>
      </x:c>
      <x:c r="T220" t="n">
        <x:f>IF(K220="USD",1,'参数'!$B$6)</x:f>
        <x:v>0.136986301369863</x:v>
      </x:c>
      <x:c r="U220" t="n">
        <x:f>O220*P220*Q220/R220*(1+S220)*T220</x:f>
        <x:v>0.9863013698630136</x:v>
      </x:c>
      <x:c r="V220" t="str">
        <x:f>IF(F220="per_request","USD/次",IF(F220="per_duration","USD/秒",IF(F220="per_token","USD/1M Token","")))</x:f>
        <x:v>USD/次</x:v>
      </x:c>
      <x:c r="W220" t="n">
        <x:v>46229.393565162034</x:v>
      </x:c>
      <x:c r="X220"/>
      <x:c r="Y220" t="str">
        <x:v>draft</x:v>
      </x:c>
      <x:c r="Z220" t="str">
        <x:v>SRC-CH-09</x:v>
      </x:c>
      <x:c r="AA220" t="str">
        <x:v>源行=sd!117；原模型=4sdance_fast431；时长=4-15；比例=不限；视频输入=是；真人脸=是；超分=否；素材库=否；NSFW=否；协议=ARK API；素材限制=431；原表折扣 秒 无V=9.011（成本/官价参考比，不参与成本二次计算）；原表状态为空，已导入为draft</x:v>
      </x:c>
      <x:c r="AB220" t="str">
        <x:f>IF(A220="","",IF(COUNTIF($A$5:$A$1004,A220)&gt;1,"错误:重复成本规则ID",IF(OR(B220="",C220="",E220="",F220="",K220="",O220&lt;=0,P220&lt;=0,Q220&lt;=0,R220&lt;=0,S220&lt;0,T220&lt;=0,Y220=""),"错误:必填项",IF(D220="","警告:SKU待映射","OK"))))</x:f>
        <x:v>OK</x:v>
      </x:c>
    </x:row>
    <x:row r="221">
      <x:c r="A221" t="str">
        <x:v>COST-4STOKEN-R117-720-REQ-VID</x:v>
      </x:c>
      <x:c r="B221" t="str">
        <x:v>CH-4STOKEN</x:v>
      </x:c>
      <x:c r="C221" t="str">
        <x:v>4sdance_fast431</x:v>
      </x:c>
      <x:c r="D221" t="str">
        <x:v>SKU-SD20-FAST-720</x:v>
      </x:c>
      <x:c r="E221" t="str">
        <x:v>with_video</x:v>
      </x:c>
      <x:c r="F221" t="str">
        <x:v>per_request</x:v>
      </x:c>
      <x:c r="G221"/>
      <x:c r="H221" t="str">
        <x:v>validated_request</x:v>
      </x:c>
      <x:c r="I221" t="str">
        <x:v>request_count</x:v>
      </x:c>
      <x:c r="J221" t="str">
        <x:v>task_succeeded</x:v>
      </x:c>
      <x:c r="K221" t="str">
        <x:v>CNY</x:v>
      </x:c>
      <x:c r="L221" t="n">
        <x:v>7.2</x:v>
      </x:c>
      <x:c r="M221"/>
      <x:c r="N221"/>
      <x:c r="O221" t="n">
        <x:f>IF(F221="per_request",L221,IF(F221="per_duration",M221,IF(F221="per_token",N221,0)))</x:f>
        <x:v>7.2</x:v>
      </x:c>
      <x:c r="P221" t="n">
        <x:v>1</x:v>
      </x:c>
      <x:c r="Q221" t="n">
        <x:v>1</x:v>
      </x:c>
      <x:c r="R221" t="n">
        <x:v>1</x:v>
      </x:c>
      <x:c r="S221" t="n">
        <x:v>0</x:v>
      </x:c>
      <x:c r="T221" t="n">
        <x:f>IF(K221="USD",1,'参数'!$B$6)</x:f>
        <x:v>0.136986301369863</x:v>
      </x:c>
      <x:c r="U221" t="n">
        <x:f>O221*P221*Q221/R221*(1+S221)*T221</x:f>
        <x:v>0.9863013698630136</x:v>
      </x:c>
      <x:c r="V221" t="str">
        <x:f>IF(F221="per_request","USD/次",IF(F221="per_duration","USD/秒",IF(F221="per_token","USD/1M Token","")))</x:f>
        <x:v>USD/次</x:v>
      </x:c>
      <x:c r="W221" t="n">
        <x:v>46229.393565162034</x:v>
      </x:c>
      <x:c r="X221"/>
      <x:c r="Y221" t="str">
        <x:v>draft</x:v>
      </x:c>
      <x:c r="Z221" t="str">
        <x:v>SRC-CH-09</x:v>
      </x:c>
      <x:c r="AA221" t="str">
        <x:v>源行=sd!117；原模型=4sdance_fast431；时长=4-15；比例=不限；视频输入=是；真人脸=是；超分=否；素材库=否；NSFW=否；协议=ARK API；素材限制=431；原表折扣 秒 含V=15.158（成本/官价参考比，不参与成本二次计算）；原表状态为空，已导入为draft</x:v>
      </x:c>
      <x:c r="AB221" t="str">
        <x:f>IF(A221="","",IF(COUNTIF($A$5:$A$1004,A221)&gt;1,"错误:重复成本规则ID",IF(OR(B221="",C221="",E221="",F221="",K221="",O221&lt;=0,P221&lt;=0,Q221&lt;=0,R221&lt;=0,S221&lt;0,T221&lt;=0,Y221=""),"错误:必填项",IF(D221="","警告:SKU待映射","OK"))))</x:f>
        <x:v>OK</x:v>
      </x:c>
    </x:row>
    <x:row r="222">
      <x:c r="A222" t="str">
        <x:v>COST-4STOKEN-R118-1080-REQ-NOV</x:v>
      </x:c>
      <x:c r="B222" t="str">
        <x:v>CH-4STOKEN</x:v>
      </x:c>
      <x:c r="C222" t="str">
        <x:v>4sdance_fast431</x:v>
      </x:c>
      <x:c r="D222" t="str">
        <x:v>SKU-SD20-FAST-1080</x:v>
      </x:c>
      <x:c r="E222" t="str">
        <x:v>no_video</x:v>
      </x:c>
      <x:c r="F222" t="str">
        <x:v>per_request</x:v>
      </x:c>
      <x:c r="G222"/>
      <x:c r="H222" t="str">
        <x:v>validated_request</x:v>
      </x:c>
      <x:c r="I222" t="str">
        <x:v>request_count</x:v>
      </x:c>
      <x:c r="J222" t="str">
        <x:v>task_succeeded</x:v>
      </x:c>
      <x:c r="K222" t="str">
        <x:v>CNY</x:v>
      </x:c>
      <x:c r="L222" t="n">
        <x:v>7.2</x:v>
      </x:c>
      <x:c r="M222"/>
      <x:c r="N222"/>
      <x:c r="O222" t="n">
        <x:f>IF(F222="per_request",L222,IF(F222="per_duration",M222,IF(F222="per_token",N222,0)))</x:f>
        <x:v>7.2</x:v>
      </x:c>
      <x:c r="P222" t="n">
        <x:v>1</x:v>
      </x:c>
      <x:c r="Q222" t="n">
        <x:v>1</x:v>
      </x:c>
      <x:c r="R222" t="n">
        <x:v>1</x:v>
      </x:c>
      <x:c r="S222" t="n">
        <x:v>0</x:v>
      </x:c>
      <x:c r="T222" t="n">
        <x:f>IF(K222="USD",1,'参数'!$B$6)</x:f>
        <x:v>0.136986301369863</x:v>
      </x:c>
      <x:c r="U222" t="n">
        <x:f>O222*P222*Q222/R222*(1+S222)*T222</x:f>
        <x:v>0.9863013698630136</x:v>
      </x:c>
      <x:c r="V222" t="str">
        <x:f>IF(F222="per_request","USD/次",IF(F222="per_duration","USD/秒",IF(F222="per_token","USD/1M Token","")))</x:f>
        <x:v>USD/次</x:v>
      </x:c>
      <x:c r="W222" t="n">
        <x:v>46229.393565162034</x:v>
      </x:c>
      <x:c r="X222"/>
      <x:c r="Y222" t="str">
        <x:v>draft</x:v>
      </x:c>
      <x:c r="Z222" t="str">
        <x:v>SRC-CH-09</x:v>
      </x:c>
      <x:c r="AA222" t="str">
        <x:v>源行=sd!118；原模型=4sdance_fast431；时长=4-15；比例=不限；视频输入=是；真人脸=是；超分=否；素材库=否；NSFW=否；协议=ARK API；素材限制=431；原表状态为空，已导入为draft</x:v>
      </x:c>
      <x:c r="AB222" t="str">
        <x:f>IF(A222="","",IF(COUNTIF($A$5:$A$1004,A222)&gt;1,"错误:重复成本规则ID",IF(OR(B222="",C222="",E222="",F222="",K222="",O222&lt;=0,P222&lt;=0,Q222&lt;=0,R222&lt;=0,S222&lt;0,T222&lt;=0,Y222=""),"错误:必填项",IF(D222="","警告:SKU待映射","OK"))))</x:f>
        <x:v>OK</x:v>
      </x:c>
    </x:row>
    <x:row r="223">
      <x:c r="A223" t="str">
        <x:v>COST-4STOKEN-R118-1080-REQ-VID</x:v>
      </x:c>
      <x:c r="B223" t="str">
        <x:v>CH-4STOKEN</x:v>
      </x:c>
      <x:c r="C223" t="str">
        <x:v>4sdance_fast431</x:v>
      </x:c>
      <x:c r="D223" t="str">
        <x:v>SKU-SD20-FAST-1080</x:v>
      </x:c>
      <x:c r="E223" t="str">
        <x:v>with_video</x:v>
      </x:c>
      <x:c r="F223" t="str">
        <x:v>per_request</x:v>
      </x:c>
      <x:c r="G223"/>
      <x:c r="H223" t="str">
        <x:v>validated_request</x:v>
      </x:c>
      <x:c r="I223" t="str">
        <x:v>request_count</x:v>
      </x:c>
      <x:c r="J223" t="str">
        <x:v>task_succeeded</x:v>
      </x:c>
      <x:c r="K223" t="str">
        <x:v>CNY</x:v>
      </x:c>
      <x:c r="L223" t="n">
        <x:v>7.2</x:v>
      </x:c>
      <x:c r="M223"/>
      <x:c r="N223"/>
      <x:c r="O223" t="n">
        <x:f>IF(F223="per_request",L223,IF(F223="per_duration",M223,IF(F223="per_token",N223,0)))</x:f>
        <x:v>7.2</x:v>
      </x:c>
      <x:c r="P223" t="n">
        <x:v>1</x:v>
      </x:c>
      <x:c r="Q223" t="n">
        <x:v>1</x:v>
      </x:c>
      <x:c r="R223" t="n">
        <x:v>1</x:v>
      </x:c>
      <x:c r="S223" t="n">
        <x:v>0</x:v>
      </x:c>
      <x:c r="T223" t="n">
        <x:f>IF(K223="USD",1,'参数'!$B$6)</x:f>
        <x:v>0.136986301369863</x:v>
      </x:c>
      <x:c r="U223" t="n">
        <x:f>O223*P223*Q223/R223*(1+S223)*T223</x:f>
        <x:v>0.9863013698630136</x:v>
      </x:c>
      <x:c r="V223" t="str">
        <x:f>IF(F223="per_request","USD/次",IF(F223="per_duration","USD/秒",IF(F223="per_token","USD/1M Token","")))</x:f>
        <x:v>USD/次</x:v>
      </x:c>
      <x:c r="W223" t="n">
        <x:v>46229.393565162034</x:v>
      </x:c>
      <x:c r="X223"/>
      <x:c r="Y223" t="str">
        <x:v>draft</x:v>
      </x:c>
      <x:c r="Z223" t="str">
        <x:v>SRC-CH-09</x:v>
      </x:c>
      <x:c r="AA223" t="str">
        <x:v>源行=sd!118；原模型=4sdance_fast431；时长=4-15；比例=不限；视频输入=是；真人脸=是；超分=否；素材库=否；NSFW=否；协议=ARK API；素材限制=431；原表状态为空，已导入为draft</x:v>
      </x:c>
      <x:c r="AB223" t="str">
        <x:f>IF(A223="","",IF(COUNTIF($A$5:$A$1004,A223)&gt;1,"错误:重复成本规则ID",IF(OR(B223="",C223="",E223="",F223="",K223="",O223&lt;=0,P223&lt;=0,Q223&lt;=0,R223&lt;=0,S223&lt;0,T223&lt;=0,Y223=""),"错误:必填项",IF(D223="","警告:SKU待映射","OK"))))</x:f>
        <x:v>OK</x:v>
      </x:c>
    </x:row>
    <x:row r="224">
      <x:c r="A224" t="str">
        <x:v>COST-4STOKEN-R119-480-REQ-NOV</x:v>
      </x:c>
      <x:c r="B224" t="str">
        <x:v>CH-4STOKEN</x:v>
      </x:c>
      <x:c r="C224" t="str">
        <x:v>4sdance431</x:v>
      </x:c>
      <x:c r="D224" t="str">
        <x:v>SKU-SD20-STD-480</x:v>
      </x:c>
      <x:c r="E224" t="str">
        <x:v>no_video</x:v>
      </x:c>
      <x:c r="F224" t="str">
        <x:v>per_request</x:v>
      </x:c>
      <x:c r="G224"/>
      <x:c r="H224" t="str">
        <x:v>validated_request</x:v>
      </x:c>
      <x:c r="I224" t="str">
        <x:v>request_count</x:v>
      </x:c>
      <x:c r="J224" t="str">
        <x:v>task_succeeded</x:v>
      </x:c>
      <x:c r="K224" t="str">
        <x:v>CNY</x:v>
      </x:c>
      <x:c r="L224" t="n">
        <x:v>4.1</x:v>
      </x:c>
      <x:c r="M224"/>
      <x:c r="N224"/>
      <x:c r="O224" t="n">
        <x:f>IF(F224="per_request",L224,IF(F224="per_duration",M224,IF(F224="per_token",N224,0)))</x:f>
        <x:v>4.1</x:v>
      </x:c>
      <x:c r="P224" t="n">
        <x:v>1</x:v>
      </x:c>
      <x:c r="Q224" t="n">
        <x:v>1</x:v>
      </x:c>
      <x:c r="R224" t="n">
        <x:v>1</x:v>
      </x:c>
      <x:c r="S224" t="n">
        <x:v>0</x:v>
      </x:c>
      <x:c r="T224" t="n">
        <x:f>IF(K224="USD",1,'参数'!$B$6)</x:f>
        <x:v>0.136986301369863</x:v>
      </x:c>
      <x:c r="U224" t="n">
        <x:f>O224*P224*Q224/R224*(1+S224)*T224</x:f>
        <x:v>0.5616438356164383</x:v>
      </x:c>
      <x:c r="V224" t="str">
        <x:f>IF(F224="per_request","USD/次",IF(F224="per_duration","USD/秒",IF(F224="per_token","USD/1M Token","")))</x:f>
        <x:v>USD/次</x:v>
      </x:c>
      <x:c r="W224" t="n">
        <x:v>46229.393565162034</x:v>
      </x:c>
      <x:c r="X224"/>
      <x:c r="Y224" t="str">
        <x:v>draft</x:v>
      </x:c>
      <x:c r="Z224" t="str">
        <x:v>SRC-CH-09</x:v>
      </x:c>
      <x:c r="AA224" t="str">
        <x:v>源行=sd!119；原模型=4sdance431；时长=4-15；比例=不限；视频输入=是；真人脸=是；超分=否；素材库=否；NSFW=否；协议=ARK API；素材限制=431；原表折扣 秒 无V=8.874（成本/官价参考比，不参与成本二次计算）；原表状态为空，已导入为draft</x:v>
      </x:c>
      <x:c r="AB224" t="str">
        <x:f>IF(A224="","",IF(COUNTIF($A$5:$A$1004,A224)&gt;1,"错误:重复成本规则ID",IF(OR(B224="",C224="",E224="",F224="",K224="",O224&lt;=0,P224&lt;=0,Q224&lt;=0,R224&lt;=0,S224&lt;0,T224&lt;=0,Y224=""),"错误:必填项",IF(D224="","警告:SKU待映射","OK"))))</x:f>
        <x:v>OK</x:v>
      </x:c>
    </x:row>
    <x:row r="225">
      <x:c r="A225" t="str">
        <x:v>COST-4STOKEN-R119-480-REQ-VID</x:v>
      </x:c>
      <x:c r="B225" t="str">
        <x:v>CH-4STOKEN</x:v>
      </x:c>
      <x:c r="C225" t="str">
        <x:v>4sdance431</x:v>
      </x:c>
      <x:c r="D225" t="str">
        <x:v>SKU-SD20-STD-480</x:v>
      </x:c>
      <x:c r="E225" t="str">
        <x:v>with_video</x:v>
      </x:c>
      <x:c r="F225" t="str">
        <x:v>per_request</x:v>
      </x:c>
      <x:c r="G225"/>
      <x:c r="H225" t="str">
        <x:v>validated_request</x:v>
      </x:c>
      <x:c r="I225" t="str">
        <x:v>request_count</x:v>
      </x:c>
      <x:c r="J225" t="str">
        <x:v>task_succeeded</x:v>
      </x:c>
      <x:c r="K225" t="str">
        <x:v>CNY</x:v>
      </x:c>
      <x:c r="L225" t="n">
        <x:v>4.1</x:v>
      </x:c>
      <x:c r="M225"/>
      <x:c r="N225"/>
      <x:c r="O225" t="n">
        <x:f>IF(F225="per_request",L225,IF(F225="per_duration",M225,IF(F225="per_token",N225,0)))</x:f>
        <x:v>4.1</x:v>
      </x:c>
      <x:c r="P225" t="n">
        <x:v>1</x:v>
      </x:c>
      <x:c r="Q225" t="n">
        <x:v>1</x:v>
      </x:c>
      <x:c r="R225" t="n">
        <x:v>1</x:v>
      </x:c>
      <x:c r="S225" t="n">
        <x:v>0</x:v>
      </x:c>
      <x:c r="T225" t="n">
        <x:f>IF(K225="USD",1,'参数'!$B$6)</x:f>
        <x:v>0.136986301369863</x:v>
      </x:c>
      <x:c r="U225" t="n">
        <x:f>O225*P225*Q225/R225*(1+S225)*T225</x:f>
        <x:v>0.5616438356164383</x:v>
      </x:c>
      <x:c r="V225" t="str">
        <x:f>IF(F225="per_request","USD/次",IF(F225="per_duration","USD/秒",IF(F225="per_token","USD/1M Token","")))</x:f>
        <x:v>USD/次</x:v>
      </x:c>
      <x:c r="W225" t="n">
        <x:v>46229.393565162034</x:v>
      </x:c>
      <x:c r="X225"/>
      <x:c r="Y225" t="str">
        <x:v>draft</x:v>
      </x:c>
      <x:c r="Z225" t="str">
        <x:v>SRC-CH-09</x:v>
      </x:c>
      <x:c r="AA225" t="str">
        <x:v>源行=sd!119；原模型=4sdance431；时长=4-15；比例=不限；视频输入=是；真人脸=是；超分=否；素材库=否；NSFW=否；协议=ARK API；素材限制=431；原表折扣 秒 含V=14.591（成本/官价参考比，不参与成本二次计算）；原表状态为空，已导入为draft</x:v>
      </x:c>
      <x:c r="AB225" t="str">
        <x:f>IF(A225="","",IF(COUNTIF($A$5:$A$1004,A225)&gt;1,"错误:重复成本规则ID",IF(OR(B225="",C225="",E225="",F225="",K225="",O225&lt;=0,P225&lt;=0,Q225&lt;=0,R225&lt;=0,S225&lt;0,T225&lt;=0,Y225=""),"错误:必填项",IF(D225="","警告:SKU待映射","OK"))))</x:f>
        <x:v>OK</x:v>
      </x:c>
    </x:row>
    <x:row r="226">
      <x:c r="A226" t="str">
        <x:v>COST-4STOKEN-R120-720-REQ-NOV</x:v>
      </x:c>
      <x:c r="B226" t="str">
        <x:v>CH-4STOKEN</x:v>
      </x:c>
      <x:c r="C226" t="str">
        <x:v>4sdance431</x:v>
      </x:c>
      <x:c r="D226" t="str">
        <x:v>SKU-SD20-STD-720</x:v>
      </x:c>
      <x:c r="E226" t="str">
        <x:v>no_video</x:v>
      </x:c>
      <x:c r="F226" t="str">
        <x:v>per_request</x:v>
      </x:c>
      <x:c r="G226"/>
      <x:c r="H226" t="str">
        <x:v>validated_request</x:v>
      </x:c>
      <x:c r="I226" t="str">
        <x:v>request_count</x:v>
      </x:c>
      <x:c r="J226" t="str">
        <x:v>task_succeeded</x:v>
      </x:c>
      <x:c r="K226" t="str">
        <x:v>CNY</x:v>
      </x:c>
      <x:c r="L226" t="n">
        <x:v>8.9</x:v>
      </x:c>
      <x:c r="M226"/>
      <x:c r="N226"/>
      <x:c r="O226" t="n">
        <x:f>IF(F226="per_request",L226,IF(F226="per_duration",M226,IF(F226="per_token",N226,0)))</x:f>
        <x:v>8.9</x:v>
      </x:c>
      <x:c r="P226" t="n">
        <x:v>1</x:v>
      </x:c>
      <x:c r="Q226" t="n">
        <x:v>1</x:v>
      </x:c>
      <x:c r="R226" t="n">
        <x:v>1</x:v>
      </x:c>
      <x:c r="S226" t="n">
        <x:v>0</x:v>
      </x:c>
      <x:c r="T226" t="n">
        <x:f>IF(K226="USD",1,'参数'!$B$6)</x:f>
        <x:v>0.136986301369863</x:v>
      </x:c>
      <x:c r="U226" t="n">
        <x:f>O226*P226*Q226/R226*(1+S226)*T226</x:f>
        <x:v>1.2191780821917808</x:v>
      </x:c>
      <x:c r="V226" t="str">
        <x:f>IF(F226="per_request","USD/次",IF(F226="per_duration","USD/秒",IF(F226="per_token","USD/1M Token","")))</x:f>
        <x:v>USD/次</x:v>
      </x:c>
      <x:c r="W226" t="n">
        <x:v>46229.393565162034</x:v>
      </x:c>
      <x:c r="X226"/>
      <x:c r="Y226" t="str">
        <x:v>draft</x:v>
      </x:c>
      <x:c r="Z226" t="str">
        <x:v>SRC-CH-09</x:v>
      </x:c>
      <x:c r="AA226" t="str">
        <x:v>源行=sd!120；原模型=4sdance431；时长=4-15；比例=不限；视频输入=是；真人脸=是；超分=否；素材库=否；NSFW=否；协议=ARK API；素材限制=431；原表折扣 秒 无V=8.954（成本/官价参考比，不参与成本二次计算）；原表状态为空，已导入为draft</x:v>
      </x:c>
      <x:c r="AB226" t="str">
        <x:f>IF(A226="","",IF(COUNTIF($A$5:$A$1004,A226)&gt;1,"错误:重复成本规则ID",IF(OR(B226="",C226="",E226="",F226="",K226="",O226&lt;=0,P226&lt;=0,Q226&lt;=0,R226&lt;=0,S226&lt;0,T226&lt;=0,Y226=""),"错误:必填项",IF(D226="","警告:SKU待映射","OK"))))</x:f>
        <x:v>OK</x:v>
      </x:c>
    </x:row>
    <x:row r="227">
      <x:c r="A227" t="str">
        <x:v>COST-4STOKEN-R120-720-REQ-VID</x:v>
      </x:c>
      <x:c r="B227" t="str">
        <x:v>CH-4STOKEN</x:v>
      </x:c>
      <x:c r="C227" t="str">
        <x:v>4sdance431</x:v>
      </x:c>
      <x:c r="D227" t="str">
        <x:v>SKU-SD20-STD-720</x:v>
      </x:c>
      <x:c r="E227" t="str">
        <x:v>with_video</x:v>
      </x:c>
      <x:c r="F227" t="str">
        <x:v>per_request</x:v>
      </x:c>
      <x:c r="G227"/>
      <x:c r="H227" t="str">
        <x:v>validated_request</x:v>
      </x:c>
      <x:c r="I227" t="str">
        <x:v>request_count</x:v>
      </x:c>
      <x:c r="J227" t="str">
        <x:v>task_succeeded</x:v>
      </x:c>
      <x:c r="K227" t="str">
        <x:v>CNY</x:v>
      </x:c>
      <x:c r="L227" t="n">
        <x:v>8.9</x:v>
      </x:c>
      <x:c r="M227"/>
      <x:c r="N227"/>
      <x:c r="O227" t="n">
        <x:f>IF(F227="per_request",L227,IF(F227="per_duration",M227,IF(F227="per_token",N227,0)))</x:f>
        <x:v>8.9</x:v>
      </x:c>
      <x:c r="P227" t="n">
        <x:v>1</x:v>
      </x:c>
      <x:c r="Q227" t="n">
        <x:v>1</x:v>
      </x:c>
      <x:c r="R227" t="n">
        <x:v>1</x:v>
      </x:c>
      <x:c r="S227" t="n">
        <x:v>0</x:v>
      </x:c>
      <x:c r="T227" t="n">
        <x:f>IF(K227="USD",1,'参数'!$B$6)</x:f>
        <x:v>0.136986301369863</x:v>
      </x:c>
      <x:c r="U227" t="n">
        <x:f>O227*P227*Q227/R227*(1+S227)*T227</x:f>
        <x:v>1.2191780821917808</x:v>
      </x:c>
      <x:c r="V227" t="str">
        <x:f>IF(F227="per_request","USD/次",IF(F227="per_duration","USD/秒",IF(F227="per_token","USD/1M Token","")))</x:f>
        <x:v>USD/次</x:v>
      </x:c>
      <x:c r="W227" t="n">
        <x:v>46229.393565162034</x:v>
      </x:c>
      <x:c r="X227"/>
      <x:c r="Y227" t="str">
        <x:v>draft</x:v>
      </x:c>
      <x:c r="Z227" t="str">
        <x:v>SRC-CH-09</x:v>
      </x:c>
      <x:c r="AA227" t="str">
        <x:v>源行=sd!120；原模型=4sdance431；时长=4-15；比例=不限；视频输入=是；真人脸=是；超分=否；素材库=否；NSFW=否；协议=ARK API；素材限制=431；原表折扣 秒 含V=14.711（成本/官价参考比，不参与成本二次计算）；原表状态为空，已导入为draft</x:v>
      </x:c>
      <x:c r="AB227" t="str">
        <x:f>IF(A227="","",IF(COUNTIF($A$5:$A$1004,A227)&gt;1,"错误:重复成本规则ID",IF(OR(B227="",C227="",E227="",F227="",K227="",O227&lt;=0,P227&lt;=0,Q227&lt;=0,R227&lt;=0,S227&lt;0,T227&lt;=0,Y227=""),"错误:必填项",IF(D227="","警告:SKU待映射","OK"))))</x:f>
        <x:v>OK</x:v>
      </x:c>
    </x:row>
    <x:row r="228">
      <x:c r="A228" t="str">
        <x:v>COST-4STOKEN-R121-720-REQ-NOV</x:v>
      </x:c>
      <x:c r="B228" t="str">
        <x:v>CH-4STOKEN</x:v>
      </x:c>
      <x:c r="C228" t="str">
        <x:v>4sdance_v2.0_900</x:v>
      </x:c>
      <x:c r="D228" t="str">
        <x:v>SKU-SD20-STD-720</x:v>
      </x:c>
      <x:c r="E228" t="str">
        <x:v>no_video</x:v>
      </x:c>
      <x:c r="F228" t="str">
        <x:v>per_request</x:v>
      </x:c>
      <x:c r="G228"/>
      <x:c r="H228" t="str">
        <x:v>validated_request</x:v>
      </x:c>
      <x:c r="I228" t="str">
        <x:v>request_count</x:v>
      </x:c>
      <x:c r="J228" t="str">
        <x:v>task_succeeded</x:v>
      </x:c>
      <x:c r="K228" t="str">
        <x:v>CNY</x:v>
      </x:c>
      <x:c r="L228" t="n">
        <x:v>6</x:v>
      </x:c>
      <x:c r="M228"/>
      <x:c r="N228"/>
      <x:c r="O228" t="n">
        <x:f>IF(F228="per_request",L228,IF(F228="per_duration",M228,IF(F228="per_token",N228,0)))</x:f>
        <x:v>6</x:v>
      </x:c>
      <x:c r="P228" t="n">
        <x:v>1</x:v>
      </x:c>
      <x:c r="Q228" t="n">
        <x:v>1</x:v>
      </x:c>
      <x:c r="R228" t="n">
        <x:v>1</x:v>
      </x:c>
      <x:c r="S228" t="n">
        <x:v>0</x:v>
      </x:c>
      <x:c r="T228" t="n">
        <x:f>IF(K228="USD",1,'参数'!$B$6)</x:f>
        <x:v>0.136986301369863</x:v>
      </x:c>
      <x:c r="U228" t="n">
        <x:f>O228*P228*Q228/R228*(1+S228)*T228</x:f>
        <x:v>0.821917808219178</x:v>
      </x:c>
      <x:c r="V228" t="str">
        <x:f>IF(F228="per_request","USD/次",IF(F228="per_duration","USD/秒",IF(F228="per_token","USD/1M Token","")))</x:f>
        <x:v>USD/次</x:v>
      </x:c>
      <x:c r="W228" t="n">
        <x:v>46229.393565162034</x:v>
      </x:c>
      <x:c r="X228"/>
      <x:c r="Y228" t="str">
        <x:v>draft</x:v>
      </x:c>
      <x:c r="Z228" t="str">
        <x:v>SRC-CH-09</x:v>
      </x:c>
      <x:c r="AA228" t="str">
        <x:v>源行=sd!121；原模型=4sdance_v2.0_900；时长=4-15；比例=不限；视频输入=否；真人脸=是；超分=否；素材库=否；NSFW=否；协议=ARK API；素材限制=900；原表折扣 秒 无V=6.036（成本/官价参考比，不参与成本二次计算）；原表状态为空，已导入为draft</x:v>
      </x:c>
      <x:c r="AB228" t="str">
        <x:f>IF(A228="","",IF(COUNTIF($A$5:$A$1004,A228)&gt;1,"错误:重复成本规则ID",IF(OR(B228="",C228="",E228="",F228="",K228="",O228&lt;=0,P228&lt;=0,Q228&lt;=0,R228&lt;=0,S228&lt;0,T228&lt;=0,Y228=""),"错误:必填项",IF(D228="","警告:SKU待映射","OK"))))</x:f>
        <x:v>OK</x:v>
      </x:c>
    </x:row>
    <x:row r="229">
      <x:c r="A229" t="str">
        <x:v>COST-4STOKEN-R122-720-SEC-NOV</x:v>
      </x:c>
      <x:c r="B229" t="str">
        <x:v>CH-4STOKEN</x:v>
      </x:c>
      <x:c r="C229" t="str">
        <x:v>4sdance933_fast</x:v>
      </x:c>
      <x:c r="D229" t="str">
        <x:v>SKU-SD20-FAST-720</x:v>
      </x:c>
      <x:c r="E229" t="str">
        <x:v>no_video</x:v>
      </x:c>
      <x:c r="F229" t="str">
        <x:v>per_duration</x:v>
      </x:c>
      <x:c r="G229"/>
      <x:c r="H229" t="str">
        <x:v>validated_request</x:v>
      </x:c>
      <x:c r="I229" t="str">
        <x:v>billable_duration_seconds</x:v>
      </x:c>
      <x:c r="J229" t="str">
        <x:v>task_succeeded</x:v>
      </x:c>
      <x:c r="K229" t="str">
        <x:v>CNY</x:v>
      </x:c>
      <x:c r="L229"/>
      <x:c r="M229" t="n">
        <x:v>0.48</x:v>
      </x:c>
      <x:c r="N229"/>
      <x:c r="O229" t="n">
        <x:f>IF(F229="per_request",L229,IF(F229="per_duration",M229,IF(F229="per_token",N229,0)))</x:f>
        <x:v>0.48</x:v>
      </x:c>
      <x:c r="P229" t="n">
        <x:v>1</x:v>
      </x:c>
      <x:c r="Q229" t="n">
        <x:v>1</x:v>
      </x:c>
      <x:c r="R229" t="n">
        <x:v>1</x:v>
      </x:c>
      <x:c r="S229" t="n">
        <x:v>0</x:v>
      </x:c>
      <x:c r="T229" t="n">
        <x:f>IF(K229="USD",1,'参数'!$B$6)</x:f>
        <x:v>0.136986301369863</x:v>
      </x:c>
      <x:c r="U229" t="n">
        <x:f>O229*P229*Q229/R229*(1+S229)*T229</x:f>
        <x:v>0.06575342465753424</x:v>
      </x:c>
      <x:c r="V229" t="str">
        <x:f>IF(F229="per_request","USD/次",IF(F229="per_duration","USD/秒",IF(F229="per_token","USD/1M Token","")))</x:f>
        <x:v>USD/秒</x:v>
      </x:c>
      <x:c r="W229" t="n">
        <x:v>46229.393565162034</x:v>
      </x:c>
      <x:c r="X229"/>
      <x:c r="Y229" t="str">
        <x:v>draft</x:v>
      </x:c>
      <x:c r="Z229" t="str">
        <x:v>SRC-CH-09</x:v>
      </x:c>
      <x:c r="AA229" t="str">
        <x:v>源行=sd!122；原模型=4sdance933_fast；时长=4-15；比例=不限；视频输入=是；真人脸=否；超分=否；素材库=否；NSFW=否；协议=ARK API；素材限制=933；原表状态为空，已导入为draft</x:v>
      </x:c>
      <x:c r="AB229" t="str">
        <x:f>IF(A229="","",IF(COUNTIF($A$5:$A$1004,A229)&gt;1,"错误:重复成本规则ID",IF(OR(B229="",C229="",E229="",F229="",K229="",O229&lt;=0,P229&lt;=0,Q229&lt;=0,R229&lt;=0,S229&lt;0,T229&lt;=0,Y229=""),"错误:必填项",IF(D229="","警告:SKU待映射","OK"))))</x:f>
        <x:v>OK</x:v>
      </x:c>
    </x:row>
    <x:row r="230">
      <x:c r="A230" t="str">
        <x:v>COST-4STOKEN-R122-720-SEC-VID</x:v>
      </x:c>
      <x:c r="B230" t="str">
        <x:v>CH-4STOKEN</x:v>
      </x:c>
      <x:c r="C230" t="str">
        <x:v>4sdance933_fast</x:v>
      </x:c>
      <x:c r="D230" t="str">
        <x:v>SKU-SD20-FAST-720</x:v>
      </x:c>
      <x:c r="E230" t="str">
        <x:v>with_video</x:v>
      </x:c>
      <x:c r="F230" t="str">
        <x:v>per_duration</x:v>
      </x:c>
      <x:c r="G230"/>
      <x:c r="H230" t="str">
        <x:v>validated_request</x:v>
      </x:c>
      <x:c r="I230" t="str">
        <x:v>billable_duration_seconds</x:v>
      </x:c>
      <x:c r="J230" t="str">
        <x:v>task_succeeded</x:v>
      </x:c>
      <x:c r="K230" t="str">
        <x:v>CNY</x:v>
      </x:c>
      <x:c r="L230"/>
      <x:c r="M230" t="n">
        <x:v>0.48</x:v>
      </x:c>
      <x:c r="N230"/>
      <x:c r="O230" t="n">
        <x:f>IF(F230="per_request",L230,IF(F230="per_duration",M230,IF(F230="per_token",N230,0)))</x:f>
        <x:v>0.48</x:v>
      </x:c>
      <x:c r="P230" t="n">
        <x:v>1</x:v>
      </x:c>
      <x:c r="Q230" t="n">
        <x:v>1</x:v>
      </x:c>
      <x:c r="R230" t="n">
        <x:v>1</x:v>
      </x:c>
      <x:c r="S230" t="n">
        <x:v>0</x:v>
      </x:c>
      <x:c r="T230" t="n">
        <x:f>IF(K230="USD",1,'参数'!$B$6)</x:f>
        <x:v>0.136986301369863</x:v>
      </x:c>
      <x:c r="U230" t="n">
        <x:f>O230*P230*Q230/R230*(1+S230)*T230</x:f>
        <x:v>0.06575342465753424</x:v>
      </x:c>
      <x:c r="V230" t="str">
        <x:f>IF(F230="per_request","USD/次",IF(F230="per_duration","USD/秒",IF(F230="per_token","USD/1M Token","")))</x:f>
        <x:v>USD/秒</x:v>
      </x:c>
      <x:c r="W230" t="n">
        <x:v>46229.393565162034</x:v>
      </x:c>
      <x:c r="X230"/>
      <x:c r="Y230" t="str">
        <x:v>draft</x:v>
      </x:c>
      <x:c r="Z230" t="str">
        <x:v>SRC-CH-09</x:v>
      </x:c>
      <x:c r="AA230" t="str">
        <x:v>源行=sd!122；原模型=4sdance933_fast；时长=4-15；比例=不限；视频输入=是；真人脸=否；超分=否；素材库=否；NSFW=否；协议=ARK API；素材限制=933；原表状态为空，已导入为draft</x:v>
      </x:c>
      <x:c r="AB230" t="str">
        <x:f>IF(A230="","",IF(COUNTIF($A$5:$A$1004,A230)&gt;1,"错误:重复成本规则ID",IF(OR(B230="",C230="",E230="",F230="",K230="",O230&lt;=0,P230&lt;=0,Q230&lt;=0,R230&lt;=0,S230&lt;0,T230&lt;=0,Y230=""),"错误:必填项",IF(D230="","警告:SKU待映射","OK"))))</x:f>
        <x:v>OK</x:v>
      </x:c>
    </x:row>
    <x:row r="231">
      <x:c r="A231" t="str">
        <x:v>COST-4STOKEN-R123-720-SEC-NOV</x:v>
      </x:c>
      <x:c r="B231" t="str">
        <x:v>CH-4STOKEN</x:v>
      </x:c>
      <x:c r="C231" t="str">
        <x:v>4sdance_fast_933face</x:v>
      </x:c>
      <x:c r="D231" t="str">
        <x:v>SKU-SD20-FAST-720</x:v>
      </x:c>
      <x:c r="E231" t="str">
        <x:v>no_video</x:v>
      </x:c>
      <x:c r="F231" t="str">
        <x:v>per_duration</x:v>
      </x:c>
      <x:c r="G231"/>
      <x:c r="H231" t="str">
        <x:v>validated_request</x:v>
      </x:c>
      <x:c r="I231" t="str">
        <x:v>billable_duration_seconds</x:v>
      </x:c>
      <x:c r="J231" t="str">
        <x:v>task_succeeded</x:v>
      </x:c>
      <x:c r="K231" t="str">
        <x:v>CNY</x:v>
      </x:c>
      <x:c r="L231"/>
      <x:c r="M231" t="n">
        <x:v>0.48</x:v>
      </x:c>
      <x:c r="N231"/>
      <x:c r="O231" t="n">
        <x:f>IF(F231="per_request",L231,IF(F231="per_duration",M231,IF(F231="per_token",N231,0)))</x:f>
        <x:v>0.48</x:v>
      </x:c>
      <x:c r="P231" t="n">
        <x:v>1</x:v>
      </x:c>
      <x:c r="Q231" t="n">
        <x:v>1</x:v>
      </x:c>
      <x:c r="R231" t="n">
        <x:v>1</x:v>
      </x:c>
      <x:c r="S231" t="n">
        <x:v>0</x:v>
      </x:c>
      <x:c r="T231" t="n">
        <x:f>IF(K231="USD",1,'参数'!$B$6)</x:f>
        <x:v>0.136986301369863</x:v>
      </x:c>
      <x:c r="U231" t="n">
        <x:f>O231*P231*Q231/R231*(1+S231)*T231</x:f>
        <x:v>0.06575342465753424</x:v>
      </x:c>
      <x:c r="V231" t="str">
        <x:f>IF(F231="per_request","USD/次",IF(F231="per_duration","USD/秒",IF(F231="per_token","USD/1M Token","")))</x:f>
        <x:v>USD/秒</x:v>
      </x:c>
      <x:c r="W231" t="n">
        <x:v>46229.393565162034</x:v>
      </x:c>
      <x:c r="X231"/>
      <x:c r="Y231" t="str">
        <x:v>draft</x:v>
      </x:c>
      <x:c r="Z231" t="str">
        <x:v>SRC-CH-09</x:v>
      </x:c>
      <x:c r="AA231" t="str">
        <x:v>源行=sd!123；原模型=4sdance_fast_933face；时长=4-15；比例=不限；视频输入=是；真人脸=是；超分=否；素材库=否；NSFW=否；协议=ARK API；素材限制=933；原表状态为空，已导入为draft</x:v>
      </x:c>
      <x:c r="AB231" t="str">
        <x:f>IF(A231="","",IF(COUNTIF($A$5:$A$1004,A231)&gt;1,"错误:重复成本规则ID",IF(OR(B231="",C231="",E231="",F231="",K231="",O231&lt;=0,P231&lt;=0,Q231&lt;=0,R231&lt;=0,S231&lt;0,T231&lt;=0,Y231=""),"错误:必填项",IF(D231="","警告:SKU待映射","OK"))))</x:f>
        <x:v>OK</x:v>
      </x:c>
    </x:row>
    <x:row r="232">
      <x:c r="A232" t="str">
        <x:v>COST-4STOKEN-R123-720-SEC-VID</x:v>
      </x:c>
      <x:c r="B232" t="str">
        <x:v>CH-4STOKEN</x:v>
      </x:c>
      <x:c r="C232" t="str">
        <x:v>4sdance_fast_933face</x:v>
      </x:c>
      <x:c r="D232" t="str">
        <x:v>SKU-SD20-FAST-720</x:v>
      </x:c>
      <x:c r="E232" t="str">
        <x:v>with_video</x:v>
      </x:c>
      <x:c r="F232" t="str">
        <x:v>per_duration</x:v>
      </x:c>
      <x:c r="G232"/>
      <x:c r="H232" t="str">
        <x:v>validated_request</x:v>
      </x:c>
      <x:c r="I232" t="str">
        <x:v>billable_duration_seconds</x:v>
      </x:c>
      <x:c r="J232" t="str">
        <x:v>task_succeeded</x:v>
      </x:c>
      <x:c r="K232" t="str">
        <x:v>CNY</x:v>
      </x:c>
      <x:c r="L232"/>
      <x:c r="M232" t="n">
        <x:v>0.48</x:v>
      </x:c>
      <x:c r="N232"/>
      <x:c r="O232" t="n">
        <x:f>IF(F232="per_request",L232,IF(F232="per_duration",M232,IF(F232="per_token",N232,0)))</x:f>
        <x:v>0.48</x:v>
      </x:c>
      <x:c r="P232" t="n">
        <x:v>1</x:v>
      </x:c>
      <x:c r="Q232" t="n">
        <x:v>1</x:v>
      </x:c>
      <x:c r="R232" t="n">
        <x:v>1</x:v>
      </x:c>
      <x:c r="S232" t="n">
        <x:v>0</x:v>
      </x:c>
      <x:c r="T232" t="n">
        <x:f>IF(K232="USD",1,'参数'!$B$6)</x:f>
        <x:v>0.136986301369863</x:v>
      </x:c>
      <x:c r="U232" t="n">
        <x:f>O232*P232*Q232/R232*(1+S232)*T232</x:f>
        <x:v>0.06575342465753424</x:v>
      </x:c>
      <x:c r="V232" t="str">
        <x:f>IF(F232="per_request","USD/次",IF(F232="per_duration","USD/秒",IF(F232="per_token","USD/1M Token","")))</x:f>
        <x:v>USD/秒</x:v>
      </x:c>
      <x:c r="W232" t="n">
        <x:v>46229.393565162034</x:v>
      </x:c>
      <x:c r="X232"/>
      <x:c r="Y232" t="str">
        <x:v>draft</x:v>
      </x:c>
      <x:c r="Z232" t="str">
        <x:v>SRC-CH-09</x:v>
      </x:c>
      <x:c r="AA232" t="str">
        <x:v>源行=sd!123；原模型=4sdance_fast_933face；时长=4-15；比例=不限；视频输入=是；真人脸=是；超分=否；素材库=否；NSFW=否；协议=ARK API；素材限制=933；原表状态为空，已导入为draft</x:v>
      </x:c>
      <x:c r="AB232" t="str">
        <x:f>IF(A232="","",IF(COUNTIF($A$5:$A$1004,A232)&gt;1,"错误:重复成本规则ID",IF(OR(B232="",C232="",E232="",F232="",K232="",O232&lt;=0,P232&lt;=0,Q232&lt;=0,R232&lt;=0,S232&lt;0,T232&lt;=0,Y232=""),"错误:必填项",IF(D232="","警告:SKU待映射","OK"))))</x:f>
        <x:v>OK</x:v>
      </x:c>
    </x:row>
    <x:row r="233">
      <x:c r="A233" t="str">
        <x:v>COST-4STOKEN-R124-720-SEC-NOV</x:v>
      </x:c>
      <x:c r="B233" t="str">
        <x:v>CH-4STOKEN</x:v>
      </x:c>
      <x:c r="C233" t="str">
        <x:v>4sdance933</x:v>
      </x:c>
      <x:c r="D233" t="str">
        <x:v>SKU-SD20-STD-720</x:v>
      </x:c>
      <x:c r="E233" t="str">
        <x:v>no_video</x:v>
      </x:c>
      <x:c r="F233" t="str">
        <x:v>per_duration</x:v>
      </x:c>
      <x:c r="G233"/>
      <x:c r="H233" t="str">
        <x:v>validated_request</x:v>
      </x:c>
      <x:c r="I233" t="str">
        <x:v>billable_duration_seconds</x:v>
      </x:c>
      <x:c r="J233" t="str">
        <x:v>task_succeeded</x:v>
      </x:c>
      <x:c r="K233" t="str">
        <x:v>CNY</x:v>
      </x:c>
      <x:c r="L233"/>
      <x:c r="M233" t="n">
        <x:v>0.6</x:v>
      </x:c>
      <x:c r="N233"/>
      <x:c r="O233" t="n">
        <x:f>IF(F233="per_request",L233,IF(F233="per_duration",M233,IF(F233="per_token",N233,0)))</x:f>
        <x:v>0.6</x:v>
      </x:c>
      <x:c r="P233" t="n">
        <x:v>1</x:v>
      </x:c>
      <x:c r="Q233" t="n">
        <x:v>1</x:v>
      </x:c>
      <x:c r="R233" t="n">
        <x:v>1</x:v>
      </x:c>
      <x:c r="S233" t="n">
        <x:v>0</x:v>
      </x:c>
      <x:c r="T233" t="n">
        <x:f>IF(K233="USD",1,'参数'!$B$6)</x:f>
        <x:v>0.136986301369863</x:v>
      </x:c>
      <x:c r="U233" t="n">
        <x:f>O233*P233*Q233/R233*(1+S233)*T233</x:f>
        <x:v>0.0821917808219178</x:v>
      </x:c>
      <x:c r="V233" t="str">
        <x:f>IF(F233="per_request","USD/次",IF(F233="per_duration","USD/秒",IF(F233="per_token","USD/1M Token","")))</x:f>
        <x:v>USD/秒</x:v>
      </x:c>
      <x:c r="W233" t="n">
        <x:v>46229.393565162034</x:v>
      </x:c>
      <x:c r="X233"/>
      <x:c r="Y233" t="str">
        <x:v>draft</x:v>
      </x:c>
      <x:c r="Z233" t="str">
        <x:v>SRC-CH-09</x:v>
      </x:c>
      <x:c r="AA233" t="str">
        <x:v>源行=sd!124；原模型=4sdance933；时长=4-15；比例=不限；视频输入=是；真人脸=否；超分=否；素材库=否；NSFW=否；协议=ARK API；素材限制=933；原表状态为空，已导入为draft</x:v>
      </x:c>
      <x:c r="AB233" t="str">
        <x:f>IF(A233="","",IF(COUNTIF($A$5:$A$1004,A233)&gt;1,"错误:重复成本规则ID",IF(OR(B233="",C233="",E233="",F233="",K233="",O233&lt;=0,P233&lt;=0,Q233&lt;=0,R233&lt;=0,S233&lt;0,T233&lt;=0,Y233=""),"错误:必填项",IF(D233="","警告:SKU待映射","OK"))))</x:f>
        <x:v>OK</x:v>
      </x:c>
    </x:row>
    <x:row r="234">
      <x:c r="A234" t="str">
        <x:v>COST-4STOKEN-R124-720-SEC-VID</x:v>
      </x:c>
      <x:c r="B234" t="str">
        <x:v>CH-4STOKEN</x:v>
      </x:c>
      <x:c r="C234" t="str">
        <x:v>4sdance933</x:v>
      </x:c>
      <x:c r="D234" t="str">
        <x:v>SKU-SD20-STD-720</x:v>
      </x:c>
      <x:c r="E234" t="str">
        <x:v>with_video</x:v>
      </x:c>
      <x:c r="F234" t="str">
        <x:v>per_duration</x:v>
      </x:c>
      <x:c r="G234"/>
      <x:c r="H234" t="str">
        <x:v>validated_request</x:v>
      </x:c>
      <x:c r="I234" t="str">
        <x:v>billable_duration_seconds</x:v>
      </x:c>
      <x:c r="J234" t="str">
        <x:v>task_succeeded</x:v>
      </x:c>
      <x:c r="K234" t="str">
        <x:v>CNY</x:v>
      </x:c>
      <x:c r="L234"/>
      <x:c r="M234" t="n">
        <x:v>0.6</x:v>
      </x:c>
      <x:c r="N234"/>
      <x:c r="O234" t="n">
        <x:f>IF(F234="per_request",L234,IF(F234="per_duration",M234,IF(F234="per_token",N234,0)))</x:f>
        <x:v>0.6</x:v>
      </x:c>
      <x:c r="P234" t="n">
        <x:v>1</x:v>
      </x:c>
      <x:c r="Q234" t="n">
        <x:v>1</x:v>
      </x:c>
      <x:c r="R234" t="n">
        <x:v>1</x:v>
      </x:c>
      <x:c r="S234" t="n">
        <x:v>0</x:v>
      </x:c>
      <x:c r="T234" t="n">
        <x:f>IF(K234="USD",1,'参数'!$B$6)</x:f>
        <x:v>0.136986301369863</x:v>
      </x:c>
      <x:c r="U234" t="n">
        <x:f>O234*P234*Q234/R234*(1+S234)*T234</x:f>
        <x:v>0.0821917808219178</x:v>
      </x:c>
      <x:c r="V234" t="str">
        <x:f>IF(F234="per_request","USD/次",IF(F234="per_duration","USD/秒",IF(F234="per_token","USD/1M Token","")))</x:f>
        <x:v>USD/秒</x:v>
      </x:c>
      <x:c r="W234" t="n">
        <x:v>46229.393565162034</x:v>
      </x:c>
      <x:c r="X234"/>
      <x:c r="Y234" t="str">
        <x:v>draft</x:v>
      </x:c>
      <x:c r="Z234" t="str">
        <x:v>SRC-CH-09</x:v>
      </x:c>
      <x:c r="AA234" t="str">
        <x:v>源行=sd!124；原模型=4sdance933；时长=4-15；比例=不限；视频输入=是；真人脸=否；超分=否；素材库=否；NSFW=否；协议=ARK API；素材限制=933；原表状态为空，已导入为draft</x:v>
      </x:c>
      <x:c r="AB234" t="str">
        <x:f>IF(A234="","",IF(COUNTIF($A$5:$A$1004,A234)&gt;1,"错误:重复成本规则ID",IF(OR(B234="",C234="",E234="",F234="",K234="",O234&lt;=0,P234&lt;=0,Q234&lt;=0,R234&lt;=0,S234&lt;0,T234&lt;=0,Y234=""),"错误:必填项",IF(D234="","警告:SKU待映射","OK"))))</x:f>
        <x:v>OK</x:v>
      </x:c>
    </x:row>
    <x:row r="235">
      <x:c r="A235" t="str">
        <x:v>COST-4STOKEN-R125-480-REQ-NOV</x:v>
      </x:c>
      <x:c r="B235" t="str">
        <x:v>CH-4STOKEN</x:v>
      </x:c>
      <x:c r="C235" t="str">
        <x:v>4sdance_431_480p</x:v>
      </x:c>
      <x:c r="D235" t="str">
        <x:v>SKU-SD20-STD-480</x:v>
      </x:c>
      <x:c r="E235" t="str">
        <x:v>no_video</x:v>
      </x:c>
      <x:c r="F235" t="str">
        <x:v>per_request</x:v>
      </x:c>
      <x:c r="G235"/>
      <x:c r="H235" t="str">
        <x:v>validated_request</x:v>
      </x:c>
      <x:c r="I235" t="str">
        <x:v>request_count</x:v>
      </x:c>
      <x:c r="J235" t="str">
        <x:v>task_succeeded</x:v>
      </x:c>
      <x:c r="K235" t="str">
        <x:v>CNY</x:v>
      </x:c>
      <x:c r="L235" t="n">
        <x:v>4.1</x:v>
      </x:c>
      <x:c r="M235"/>
      <x:c r="N235"/>
      <x:c r="O235" t="n">
        <x:f>IF(F235="per_request",L235,IF(F235="per_duration",M235,IF(F235="per_token",N235,0)))</x:f>
        <x:v>4.1</x:v>
      </x:c>
      <x:c r="P235" t="n">
        <x:v>1</x:v>
      </x:c>
      <x:c r="Q235" t="n">
        <x:v>1</x:v>
      </x:c>
      <x:c r="R235" t="n">
        <x:v>1</x:v>
      </x:c>
      <x:c r="S235" t="n">
        <x:v>0</x:v>
      </x:c>
      <x:c r="T235" t="n">
        <x:f>IF(K235="USD",1,'参数'!$B$6)</x:f>
        <x:v>0.136986301369863</x:v>
      </x:c>
      <x:c r="U235" t="n">
        <x:f>O235*P235*Q235/R235*(1+S235)*T235</x:f>
        <x:v>0.5616438356164383</x:v>
      </x:c>
      <x:c r="V235" t="str">
        <x:f>IF(F235="per_request","USD/次",IF(F235="per_duration","USD/秒",IF(F235="per_token","USD/1M Token","")))</x:f>
        <x:v>USD/次</x:v>
      </x:c>
      <x:c r="W235" t="n">
        <x:v>46229.393565162034</x:v>
      </x:c>
      <x:c r="X235"/>
      <x:c r="Y235" t="str">
        <x:v>draft</x:v>
      </x:c>
      <x:c r="Z235" t="str">
        <x:v>SRC-CH-09</x:v>
      </x:c>
      <x:c r="AA235" t="str">
        <x:v>源行=sd!125；原模型=4sdance_431_480p；时长=4-15；比例=不限；视频输入=是；真人脸=否；超分=否；素材库=否；NSFW=否；协议=ARK API；素材限制=431；原表折扣 秒 无V=8.874（成本/官价参考比，不参与成本二次计算）；原表状态为空，已导入为draft</x:v>
      </x:c>
      <x:c r="AB235" t="str">
        <x:f>IF(A235="","",IF(COUNTIF($A$5:$A$1004,A235)&gt;1,"错误:重复成本规则ID",IF(OR(B235="",C235="",E235="",F235="",K235="",O235&lt;=0,P235&lt;=0,Q235&lt;=0,R235&lt;=0,S235&lt;0,T235&lt;=0,Y235=""),"错误:必填项",IF(D235="","警告:SKU待映射","OK"))))</x:f>
        <x:v>OK</x:v>
      </x:c>
    </x:row>
    <x:row r="236">
      <x:c r="A236" t="str">
        <x:v>COST-4STOKEN-R125-480-REQ-VID</x:v>
      </x:c>
      <x:c r="B236" t="str">
        <x:v>CH-4STOKEN</x:v>
      </x:c>
      <x:c r="C236" t="str">
        <x:v>4sdance_431_480p</x:v>
      </x:c>
      <x:c r="D236" t="str">
        <x:v>SKU-SD20-STD-480</x:v>
      </x:c>
      <x:c r="E236" t="str">
        <x:v>with_video</x:v>
      </x:c>
      <x:c r="F236" t="str">
        <x:v>per_request</x:v>
      </x:c>
      <x:c r="G236"/>
      <x:c r="H236" t="str">
        <x:v>validated_request</x:v>
      </x:c>
      <x:c r="I236" t="str">
        <x:v>request_count</x:v>
      </x:c>
      <x:c r="J236" t="str">
        <x:v>task_succeeded</x:v>
      </x:c>
      <x:c r="K236" t="str">
        <x:v>CNY</x:v>
      </x:c>
      <x:c r="L236" t="n">
        <x:v>4.1</x:v>
      </x:c>
      <x:c r="M236"/>
      <x:c r="N236"/>
      <x:c r="O236" t="n">
        <x:f>IF(F236="per_request",L236,IF(F236="per_duration",M236,IF(F236="per_token",N236,0)))</x:f>
        <x:v>4.1</x:v>
      </x:c>
      <x:c r="P236" t="n">
        <x:v>1</x:v>
      </x:c>
      <x:c r="Q236" t="n">
        <x:v>1</x:v>
      </x:c>
      <x:c r="R236" t="n">
        <x:v>1</x:v>
      </x:c>
      <x:c r="S236" t="n">
        <x:v>0</x:v>
      </x:c>
      <x:c r="T236" t="n">
        <x:f>IF(K236="USD",1,'参数'!$B$6)</x:f>
        <x:v>0.136986301369863</x:v>
      </x:c>
      <x:c r="U236" t="n">
        <x:f>O236*P236*Q236/R236*(1+S236)*T236</x:f>
        <x:v>0.5616438356164383</x:v>
      </x:c>
      <x:c r="V236" t="str">
        <x:f>IF(F236="per_request","USD/次",IF(F236="per_duration","USD/秒",IF(F236="per_token","USD/1M Token","")))</x:f>
        <x:v>USD/次</x:v>
      </x:c>
      <x:c r="W236" t="n">
        <x:v>46229.393565162034</x:v>
      </x:c>
      <x:c r="X236"/>
      <x:c r="Y236" t="str">
        <x:v>draft</x:v>
      </x:c>
      <x:c r="Z236" t="str">
        <x:v>SRC-CH-09</x:v>
      </x:c>
      <x:c r="AA236" t="str">
        <x:v>源行=sd!125；原模型=4sdance_431_480p；时长=4-15；比例=不限；视频输入=是；真人脸=否；超分=否；素材库=否；NSFW=否；协议=ARK API；素材限制=431；原表折扣 秒 含V=14.591（成本/官价参考比，不参与成本二次计算）；原表状态为空，已导入为draft</x:v>
      </x:c>
      <x:c r="AB236" t="str">
        <x:f>IF(A236="","",IF(COUNTIF($A$5:$A$1004,A236)&gt;1,"错误:重复成本规则ID",IF(OR(B236="",C236="",E236="",F236="",K236="",O236&lt;=0,P236&lt;=0,Q236&lt;=0,R236&lt;=0,S236&lt;0,T236&lt;=0,Y236=""),"错误:必填项",IF(D236="","警告:SKU待映射","OK"))))</x:f>
        <x:v>OK</x:v>
      </x:c>
    </x:row>
  </x:sheetData>
  <x:mergeCells>
    <x:mergeCell ref="A1:AB1"/>
    <x:mergeCell ref="A2:AB2"/>
  </x:mergeCells>
  <x:conditionalFormatting sqref="Y5:Y216">
    <x:cfRule type="containsText" dxfId="10" priority="1" operator="containsText" text="draft"/>
    <x:cfRule type="containsText" dxfId="9" priority="2" operator="containsText" text="invalid"/>
  </x:conditionalFormatting>
  <x:conditionalFormatting sqref="AB5:AB216">
    <x:cfRule type="containsText" dxfId="8" priority="3" operator="containsText" text="警告"/>
  </x:conditionalFormatting>
  <x:dataValidations count="7">
    <x:dataValidation type="list" sqref="E5:E1004">
      <x:formula1>"no_video,with_video"</x:formula1>
    </x:dataValidation>
    <x:dataValidation type="list" sqref="F5:F1004">
      <x:formula1>"per_request,per_duration,per_token"</x:formula1>
    </x:dataValidation>
    <x:dataValidation type="list" sqref="G5:G1004">
      <x:formula1>"total,input_output"</x:formula1>
    </x:dataValidation>
    <x:dataValidation type="list" sqref="H5:H1004">
      <x:formula1>"validated_request,upstream_actual,upstream_usage,local_usage,video_pixel_tokens"</x:formula1>
    </x:dataValidation>
    <x:dataValidation type="list" sqref="J5:J1004">
      <x:formula1>"task_succeeded,submit_accepted"</x:formula1>
    </x:dataValidation>
    <x:dataValidation type="list" sqref="K5:K1004">
      <x:formula1>"CNY,USD"</x:formula1>
    </x:dataValidation>
    <x:dataValidation type="list" sqref="Y5:Y1004">
      <x:formula1>"draft,active,inactive,invalid"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000000000000021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3.5"/>
  <x:cols>
    <x:col min="1" max="1" width="40" customWidth="1"/>
    <x:col min="2" max="2" width="30.6875" customWidth="1"/>
    <x:col min="3" max="3" width="16" customWidth="1"/>
    <x:col min="4" max="4" width="27" customWidth="1"/>
    <x:col min="5" max="5" width="24" customWidth="1"/>
    <x:col min="6" max="6" width="17" customWidth="1"/>
    <x:col min="7" max="7" width="10" customWidth="1"/>
    <x:col min="8" max="10" width="14" customWidth="1"/>
    <x:col min="11" max="11" width="48" customWidth="1"/>
    <x:col min="12" max="12" width="22" customWidth="1"/>
  </x:cols>
  <x:sheetData>
    <x:row r="1" ht="34.04999923706055" customHeight="1">
      <x:c r="A1" s="33" t="s">
        <x:v>47</x:v>
      </x:c>
      <x:c r="B1" s="33"/>
      <x:c r="C1" s="33"/>
      <x:c r="D1" s="33"/>
      <x:c r="E1" s="33"/>
      <x:c r="F1" s="33"/>
      <x:c r="G1" s="33"/>
      <x:c r="H1" s="33"/>
      <x:c r="I1" s="33"/>
      <x:c r="J1" s="33"/>
      <x:c r="K1" s="33"/>
      <x:c r="L1" s="33"/>
    </x:row>
    <x:row r="2" ht="32" customHeight="1">
      <x:c r="A2" s="34" t="s">
        <x:v>184</x:v>
      </x:c>
      <x:c r="B2" s="34"/>
      <x:c r="C2" s="34"/>
      <x:c r="D2" s="34"/>
      <x:c r="E2" s="34"/>
      <x:c r="F2" s="34"/>
      <x:c r="G2" s="34"/>
      <x:c r="H2" s="34"/>
      <x:c r="I2" s="34"/>
      <x:c r="J2" s="34"/>
      <x:c r="K2" s="34"/>
      <x:c r="L2" s="34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 ht="34.04999923706055" customHeight="1">
      <x:c r="A4" s="1" t="s">
        <x:v>49</x:v>
      </x:c>
      <x:c r="B4" s="1" t="s">
        <x:v>160</x:v>
      </x:c>
      <x:c r="C4" s="1" t="s">
        <x:v>20</x:v>
      </x:c>
      <x:c r="D4" s="1" t="s">
        <x:v>172</x:v>
      </x:c>
      <x:c r="E4" s="1" t="s">
        <x:v>28</x:v>
      </x:c>
      <x:c r="F4" s="1" t="s">
        <x:v>185</x:v>
      </x:c>
      <x:c r="G4" s="1" t="s">
        <x:v>186</x:v>
      </x:c>
      <x:c r="H4" s="1" t="s">
        <x:v>169</x:v>
      </x:c>
      <x:c r="I4" s="1" t="s">
        <x:v>170</x:v>
      </x:c>
      <x:c r="J4" s="1" t="s">
        <x:v>62</x:v>
      </x:c>
      <x:c r="K4" s="1" t="s">
        <x:v>9</x:v>
      </x:c>
      <x:c r="L4" s="1" t="s">
        <x:v>67</x:v>
      </x:c>
    </x:row>
    <x:row r="5" ht="39.599998474121094" hidden="1" customHeight="1">
      <x:c r="A5" s="2" t="str">
        <x:v>MAP-CLMM-R3-720</x:v>
      </x:c>
      <x:c r="B5" s="2" t="str">
        <x:v>seedance 720p-fast</x:v>
      </x:c>
      <x:c r="C5" s="2" t="str">
        <x:v>CH-CLMM</x:v>
      </x:c>
      <x:c r="D5" s="2" t="str">
        <x:v>seedance 720p-fast</x:v>
      </x:c>
      <x:c r="E5" s="2" t="str">
        <x:v>SKU-SD20-FAST-720</x:v>
      </x:c>
      <x:c r="F5" s="2" t="str">
        <x:v>no_video</x:v>
      </x:c>
      <x:c r="G5" s="2" t="str">
        <x:v>是</x:v>
      </x:c>
      <x:c r="H5" s="20" t="n">
        <x:v>46229.393565162034</x:v>
      </x:c>
      <x:c r="I5" s="20"/>
      <x:c r="J5" s="2" t="str">
        <x:v>SRC-CH-01</x:v>
      </x:c>
      <x:c r="K5" s="7" t="str">
        <x:v>源行=sd!3；时长=4-15；比例=9:16；视频输入=是；真人脸=是；超分=否；素材库=否；NSFW=是；协议=自有；原状态=正常；素材限制=933；破甲,破限,无审核,除了版权都能过</x:v>
      </x:c>
      <x:c r="L5" s="23" t="str">
        <x:f t="shared" ref="L5:L36" si="0">IF(A5="","",IF(COUNTIF($A$5:$A$1004,A5)&gt;1,"错误:重复映射ID",IF(OR(B5="",C5="",D5="",G5=""),"错误:必填项",IF(E5="","警告:SKU待映射","OK"))))</x:f>
        <x:v>OK</x:v>
      </x:c>
    </x:row>
    <x:row r="6" ht="39.599998474121094" hidden="1" customHeight="1">
      <x:c r="A6" s="2" t="str">
        <x:v>MAP-CLMM-R4-1080</x:v>
      </x:c>
      <x:c r="B6" s="2" t="str">
        <x:v>bb-seedance2.0 1080p-pro-gz-15s</x:v>
      </x:c>
      <x:c r="C6" s="2" t="str">
        <x:v>CH-CLMM</x:v>
      </x:c>
      <x:c r="D6" s="2" t="str">
        <x:v>bb-seedance2.0 1080p-pro-gz-15s</x:v>
      </x:c>
      <x:c r="E6" s="2" t="str">
        <x:v>SKU-SD20-STD-1080</x:v>
      </x:c>
      <x:c r="F6" s="2" t="str">
        <x:v>no_video</x:v>
      </x:c>
      <x:c r="G6" s="2" t="str">
        <x:v>是</x:v>
      </x:c>
      <x:c r="H6" s="20" t="n">
        <x:v>46229.393565162034</x:v>
      </x:c>
      <x:c r="I6" s="20"/>
      <x:c r="J6" s="2" t="str">
        <x:v>SRC-CH-01</x:v>
      </x:c>
      <x:c r="K6" s="7" t="str">
        <x:v>源行=sd!4；时长=15；比例=9:16；视频输入=是；真人脸=否；超分=否；素材库=否；NSFW=否；协议=自有；原状态=正常；素材限制=933</x:v>
      </x:c>
      <x:c r="L6" s="23" t="str">
        <x:f t="shared" si="0">IF(A6="","",IF(COUNTIF($A$5:$A$1004,A6)&gt;1,"错误:重复映射ID",IF(OR(B6="",C6="",D6="",G6=""),"错误:必填项",IF(E6="","警告:SKU待映射","OK"))))</x:f>
        <x:v>OK</x:v>
      </x:c>
    </x:row>
    <x:row r="7" ht="39.599998474121094" hidden="1" customHeight="1">
      <x:c r="A7" s="2" t="str">
        <x:v>MAP-CLMM-R5-720</x:v>
      </x:c>
      <x:c r="B7" s="2" t="str">
        <x:v>bb-seedance2.0 720p-fast-gz-15s</x:v>
      </x:c>
      <x:c r="C7" s="2" t="str">
        <x:v>CH-CLMM</x:v>
      </x:c>
      <x:c r="D7" s="2" t="str">
        <x:v>bb-seedance2.0 720p-fast-gz-15s</x:v>
      </x:c>
      <x:c r="E7" s="2" t="str">
        <x:v>SKU-SD20-FAST-720</x:v>
      </x:c>
      <x:c r="F7" s="2" t="str">
        <x:v>no_video</x:v>
      </x:c>
      <x:c r="G7" s="2" t="str">
        <x:v>是</x:v>
      </x:c>
      <x:c r="H7" s="20" t="n">
        <x:v>46229.393565162034</x:v>
      </x:c>
      <x:c r="I7" s="20"/>
      <x:c r="J7" s="2" t="str">
        <x:v>SRC-CH-01</x:v>
      </x:c>
      <x:c r="K7" s="7" t="str">
        <x:v>源行=sd!5；时长=15；比例=9:16；视频输入=是；真人脸=否；超分=否；素材库=否；NSFW=否；协议=自有；原状态=正常；素材限制=933</x:v>
      </x:c>
      <x:c r="L7" s="23" t="str">
        <x:f t="shared" si="0">IF(A7="","",IF(COUNTIF($A$5:$A$1004,A7)&gt;1,"错误:重复映射ID",IF(OR(B7="",C7="",D7="",G7=""),"错误:必填项",IF(E7="","警告:SKU待映射","OK"))))</x:f>
        <x:v>OK</x:v>
      </x:c>
    </x:row>
    <x:row r="8" ht="39.599998474121094" hidden="1" customHeight="1">
      <x:c r="A8" s="2" t="str">
        <x:v>MAP-CLMM-R6-720</x:v>
      </x:c>
      <x:c r="B8" s="2" t="str">
        <x:v>bb-seedance2.0 720p-pro-gz-15s</x:v>
      </x:c>
      <x:c r="C8" s="2" t="str">
        <x:v>CH-CLMM</x:v>
      </x:c>
      <x:c r="D8" s="2" t="str">
        <x:v>bb-seedance2.0 720p-pro-gz-15s</x:v>
      </x:c>
      <x:c r="E8" s="2" t="str">
        <x:v>SKU-SD20-STD-720</x:v>
      </x:c>
      <x:c r="F8" s="2" t="str">
        <x:v>no_video</x:v>
      </x:c>
      <x:c r="G8" s="2" t="str">
        <x:v>是</x:v>
      </x:c>
      <x:c r="H8" s="20" t="n">
        <x:v>46229.393565162034</x:v>
      </x:c>
      <x:c r="I8" s="20"/>
      <x:c r="J8" s="2" t="str">
        <x:v>SRC-CH-01</x:v>
      </x:c>
      <x:c r="K8" s="7" t="str">
        <x:v>源行=sd!6；时长=15；比例=9:16；视频输入=是；真人脸=否；超分=否；素材库=否；NSFW=否；协议=自有；原状态=正常；素材限制=933</x:v>
      </x:c>
      <x:c r="L8" s="23" t="str">
        <x:f t="shared" si="0">IF(A8="","",IF(COUNTIF($A$5:$A$1004,A8)&gt;1,"错误:重复映射ID",IF(OR(B8="",C8="",D8="",G8=""),"错误:必填项",IF(E8="","警告:SKU待映射","OK"))))</x:f>
        <x:v>OK</x:v>
      </x:c>
    </x:row>
    <x:row r="9" ht="39.599998474121094" hidden="1" customHeight="1">
      <x:c r="A9" s="2" t="str">
        <x:v>MAP-CLMM-R7-480</x:v>
      </x:c>
      <x:c r="B9" s="2" t="str">
        <x:v>mg-seedance2.0 -480p</x:v>
      </x:c>
      <x:c r="C9" s="2" t="str">
        <x:v>CH-CLMM</x:v>
      </x:c>
      <x:c r="D9" s="2" t="str">
        <x:v>mg-seedance2.0 -480p</x:v>
      </x:c>
      <x:c r="E9" s="2" t="str">
        <x:v>SKU-SD20-STD-480</x:v>
      </x:c>
      <x:c r="F9" s="2" t="str">
        <x:v>no_video</x:v>
      </x:c>
      <x:c r="G9" s="2" t="str">
        <x:v>是</x:v>
      </x:c>
      <x:c r="H9" s="20" t="n">
        <x:v>46229.393565162034</x:v>
      </x:c>
      <x:c r="I9" s="20"/>
      <x:c r="J9" s="2" t="str">
        <x:v>SRC-CH-01</x:v>
      </x:c>
      <x:c r="K9" s="7" t="str">
        <x:v>源行=sd!7；时长=4-15；比例=不限；视频输入=是；真人脸=是；超分=否；素材库=否；NSFW=否；协议=自有；原状态=正常；素材限制=431</x:v>
      </x:c>
      <x:c r="L9" s="23" t="str">
        <x:f t="shared" si="0">IF(A9="","",IF(COUNTIF($A$5:$A$1004,A9)&gt;1,"错误:重复映射ID",IF(OR(B9="",C9="",D9="",G9=""),"错误:必填项",IF(E9="","警告:SKU待映射","OK"))))</x:f>
        <x:v>OK</x:v>
      </x:c>
    </x:row>
    <x:row r="10" ht="39.599998474121094" hidden="1" customHeight="1">
      <x:c r="A10" s="2" t="str">
        <x:v>MAP-CLMM-R8-480</x:v>
      </x:c>
      <x:c r="B10" s="2" t="str">
        <x:v>mg-seedance2.0 -480p fast</x:v>
      </x:c>
      <x:c r="C10" s="2" t="str">
        <x:v>CH-CLMM</x:v>
      </x:c>
      <x:c r="D10" s="2" t="str">
        <x:v>mg-seedance2.0 -480p fast</x:v>
      </x:c>
      <x:c r="E10" s="2" t="str">
        <x:v>SKU-SD20-FAST-480</x:v>
      </x:c>
      <x:c r="F10" s="2" t="str">
        <x:v>no_video</x:v>
      </x:c>
      <x:c r="G10" s="2" t="str">
        <x:v>是</x:v>
      </x:c>
      <x:c r="H10" s="20" t="n">
        <x:v>46229.393565162034</x:v>
      </x:c>
      <x:c r="I10" s="20"/>
      <x:c r="J10" s="2" t="str">
        <x:v>SRC-CH-01</x:v>
      </x:c>
      <x:c r="K10" s="7" t="str">
        <x:v>源行=sd!8；时长=4-15；比例=不限；视频输入=是；真人脸=是；超分=否；素材库=否；NSFW=否；协议=自有；原状态=正常；素材限制=431</x:v>
      </x:c>
      <x:c r="L10" s="23" t="str">
        <x:f t="shared" si="0">IF(A10="","",IF(COUNTIF($A$5:$A$1004,A10)&gt;1,"错误:重复映射ID",IF(OR(B10="",C10="",D10="",G10=""),"错误:必填项",IF(E10="","警告:SKU待映射","OK"))))</x:f>
        <x:v>OK</x:v>
      </x:c>
    </x:row>
    <x:row r="11" ht="39.599998474121094" hidden="1" customHeight="1">
      <x:c r="A11" s="2" t="str">
        <x:v>MAP-CLMM-R9-480</x:v>
      </x:c>
      <x:c r="B11" s="2" t="str">
        <x:v>mg-seedance2.0 -480p mini</x:v>
      </x:c>
      <x:c r="C11" s="2" t="str">
        <x:v>CH-CLMM</x:v>
      </x:c>
      <x:c r="D11" s="2" t="str">
        <x:v>mg-seedance2.0 -480p mini</x:v>
      </x:c>
      <x:c r="E11" s="2" t="str">
        <x:v>SKU-SD20-MINI-480</x:v>
      </x:c>
      <x:c r="F11" s="2" t="str">
        <x:v>no_video</x:v>
      </x:c>
      <x:c r="G11" s="2" t="str">
        <x:v>是</x:v>
      </x:c>
      <x:c r="H11" s="20" t="n">
        <x:v>46229.393565162034</x:v>
      </x:c>
      <x:c r="I11" s="20"/>
      <x:c r="J11" s="2" t="str">
        <x:v>SRC-CH-01</x:v>
      </x:c>
      <x:c r="K11" s="7" t="str">
        <x:v>源行=sd!9；时长=4-15；比例=不限；视频输入=是；真人脸=是；超分=否；素材库=否；NSFW=否；协议=自有；原状态=正常；素材限制=431</x:v>
      </x:c>
      <x:c r="L11" s="23" t="str">
        <x:f t="shared" si="0">IF(A11="","",IF(COUNTIF($A$5:$A$1004,A11)&gt;1,"错误:重复映射ID",IF(OR(B11="",C11="",D11="",G11=""),"错误:必填项",IF(E11="","警告:SKU待映射","OK"))))</x:f>
        <x:v>OK</x:v>
      </x:c>
    </x:row>
    <x:row r="12" ht="39.599998474121094" hidden="1" customHeight="1">
      <x:c r="A12" s="2" t="str">
        <x:v>MAP-CLMM-R10-720</x:v>
      </x:c>
      <x:c r="B12" s="2" t="str">
        <x:v>mg-seedance2.0 -720p fast</x:v>
      </x:c>
      <x:c r="C12" s="2" t="str">
        <x:v>CH-CLMM</x:v>
      </x:c>
      <x:c r="D12" s="2" t="str">
        <x:v>mg-seedance2.0 -720p fast</x:v>
      </x:c>
      <x:c r="E12" s="2" t="str">
        <x:v>SKU-SD20-FAST-720</x:v>
      </x:c>
      <x:c r="F12" s="2" t="str">
        <x:v>no_video</x:v>
      </x:c>
      <x:c r="G12" s="2" t="str">
        <x:v>是</x:v>
      </x:c>
      <x:c r="H12" s="20" t="n">
        <x:v>46229.393565162034</x:v>
      </x:c>
      <x:c r="I12" s="20"/>
      <x:c r="J12" s="2" t="str">
        <x:v>SRC-CH-01</x:v>
      </x:c>
      <x:c r="K12" s="7" t="str">
        <x:v>源行=sd!10；时长=4-15；比例=不限；视频输入=是；真人脸=是；超分=否；素材库=否；NSFW=否；协议=自有；原状态=正常；素材限制=431</x:v>
      </x:c>
      <x:c r="L12" s="23" t="str">
        <x:f t="shared" si="0">IF(A12="","",IF(COUNTIF($A$5:$A$1004,A12)&gt;1,"错误:重复映射ID",IF(OR(B12="",C12="",D12="",G12=""),"错误:必填项",IF(E12="","警告:SKU待映射","OK"))))</x:f>
        <x:v>OK</x:v>
      </x:c>
    </x:row>
    <x:row r="13" ht="39.599998474121094" hidden="1" customHeight="1">
      <x:c r="A13" s="2" t="str">
        <x:v>MAP-CLMM-R11-720</x:v>
      </x:c>
      <x:c r="B13" s="2" t="str">
        <x:v>mg-seedance2.0 -720p mini</x:v>
      </x:c>
      <x:c r="C13" s="2" t="str">
        <x:v>CH-CLMM</x:v>
      </x:c>
      <x:c r="D13" s="2" t="str">
        <x:v>mg-seedance2.0 -720p mini</x:v>
      </x:c>
      <x:c r="E13" s="2" t="str">
        <x:v>SKU-SD20-MINI-720</x:v>
      </x:c>
      <x:c r="F13" s="2" t="str">
        <x:v>no_video</x:v>
      </x:c>
      <x:c r="G13" s="2" t="str">
        <x:v>是</x:v>
      </x:c>
      <x:c r="H13" s="20" t="n">
        <x:v>46229.393565162034</x:v>
      </x:c>
      <x:c r="I13" s="20"/>
      <x:c r="J13" s="2" t="str">
        <x:v>SRC-CH-01</x:v>
      </x:c>
      <x:c r="K13" s="7" t="str">
        <x:v>源行=sd!11；时长=4-15；比例=不限；视频输入=是；真人脸=是；超分=否；素材库=否；NSFW=否；协议=自有；原状态=正常；素材限制=431</x:v>
      </x:c>
      <x:c r="L13" s="23" t="str">
        <x:f t="shared" si="0">IF(A13="","",IF(COUNTIF($A$5:$A$1004,A13)&gt;1,"错误:重复映射ID",IF(OR(B13="",C13="",D13="",G13=""),"错误:必填项",IF(E13="","警告:SKU待映射","OK"))))</x:f>
        <x:v>OK</x:v>
      </x:c>
    </x:row>
    <x:row r="14" ht="39.599998474121094" hidden="1" customHeight="1">
      <x:c r="A14" s="2" t="str">
        <x:v>MAP-CLMM-R12-720</x:v>
      </x:c>
      <x:c r="B14" s="2" t="str">
        <x:v>mg-seedance2.0 -720p pro</x:v>
      </x:c>
      <x:c r="C14" s="2" t="str">
        <x:v>CH-CLMM</x:v>
      </x:c>
      <x:c r="D14" s="2" t="str">
        <x:v>mg-seedance2.0 -720p pro</x:v>
      </x:c>
      <x:c r="E14" s="2" t="str">
        <x:v>SKU-SD20-STD-720</x:v>
      </x:c>
      <x:c r="F14" s="2" t="str">
        <x:v>no_video</x:v>
      </x:c>
      <x:c r="G14" s="2" t="str">
        <x:v>是</x:v>
      </x:c>
      <x:c r="H14" s="20" t="n">
        <x:v>46229.393565162034</x:v>
      </x:c>
      <x:c r="I14" s="20"/>
      <x:c r="J14" s="2" t="str">
        <x:v>SRC-CH-01</x:v>
      </x:c>
      <x:c r="K14" s="7" t="str">
        <x:v>源行=sd!12；时长=4-15；比例=不限；视频输入=是；真人脸=是；超分=否；素材库=否；NSFW=否；协议=自有；原状态=正常；素材限制=431</x:v>
      </x:c>
      <x:c r="L14" s="23" t="str">
        <x:f t="shared" si="0">IF(A14="","",IF(COUNTIF($A$5:$A$1004,A14)&gt;1,"错误:重复映射ID",IF(OR(B14="",C14="",D14="",G14=""),"错误:必填项",IF(E14="","警告:SKU待映射","OK"))))</x:f>
        <x:v>OK</x:v>
      </x:c>
    </x:row>
    <x:row r="15" ht="26.350000381469727" hidden="1" customHeight="1">
      <x:c r="A15" s="2" t="str">
        <x:v>MAP-PAIPU-R14-720</x:v>
      </x:c>
      <x:c r="B15" s="2" t="str">
        <x:v>lec-seedance-2-0</x:v>
      </x:c>
      <x:c r="C15" s="2" t="str">
        <x:v>CH-PAIPU</x:v>
      </x:c>
      <x:c r="D15" s="2" t="str">
        <x:v>lec-seedance-2-0</x:v>
      </x:c>
      <x:c r="E15" s="2" t="str">
        <x:v>SKU-SD20-STD-720</x:v>
      </x:c>
      <x:c r="F15" s="2" t="str">
        <x:v>no_video</x:v>
      </x:c>
      <x:c r="G15" s="2" t="str">
        <x:v>是</x:v>
      </x:c>
      <x:c r="H15" s="20" t="n">
        <x:v>46229.393565162034</x:v>
      </x:c>
      <x:c r="I15" s="20"/>
      <x:c r="J15" s="2" t="str">
        <x:v>SRC-CH-02</x:v>
      </x:c>
      <x:c r="K15" s="7" t="str">
        <x:v>源行=sd!14；时长=5,10,15；比例=不限；视频输入=否；真人脸=是；超分=否；素材库=否；NSFW=否；协议=自有；原状态=正常；素材限制=900</x:v>
      </x:c>
      <x:c r="L15" s="23" t="str">
        <x:f t="shared" si="0">IF(A15="","",IF(COUNTIF($A$5:$A$1004,A15)&gt;1,"错误:重复映射ID",IF(OR(B15="",C15="",D15="",G15=""),"错误:必填项",IF(E15="","警告:SKU待映射","OK"))))</x:f>
        <x:v>OK</x:v>
      </x:c>
    </x:row>
    <x:row r="16" ht="39.599998474121094" hidden="1" customHeight="1">
      <x:c r="A16" s="2" t="str">
        <x:v>MAP-PAIPU-R15-720</x:v>
      </x:c>
      <x:c r="B16" s="2" t="str">
        <x:v>lec-seedance-fast-ht-720p</x:v>
      </x:c>
      <x:c r="C16" s="2" t="str">
        <x:v>CH-PAIPU</x:v>
      </x:c>
      <x:c r="D16" s="2" t="str">
        <x:v>lec-seedance-fast-ht-720p</x:v>
      </x:c>
      <x:c r="E16" s="2" t="str">
        <x:v>SKU-SD20-FAST-720</x:v>
      </x:c>
      <x:c r="F16" s="2" t="str">
        <x:v>no_video</x:v>
      </x:c>
      <x:c r="G16" s="2" t="str">
        <x:v>是</x:v>
      </x:c>
      <x:c r="H16" s="20" t="n">
        <x:v>46229.393565162034</x:v>
      </x:c>
      <x:c r="I16" s="20"/>
      <x:c r="J16" s="2" t="str">
        <x:v>SRC-CH-02</x:v>
      </x:c>
      <x:c r="K16" s="7" t="str">
        <x:v>源行=sd!15；时长=10,15；比例=不限；视频输入=否；真人脸=否；超分=否；素材库=否；NSFW=否；协议=自有；原状态=正常；素材限制=900</x:v>
      </x:c>
      <x:c r="L16" s="23" t="str">
        <x:f t="shared" si="0">IF(A16="","",IF(COUNTIF($A$5:$A$1004,A16)&gt;1,"错误:重复映射ID",IF(OR(B16="",C16="",D16="",G16=""),"错误:必填项",IF(E16="","警告:SKU待映射","OK"))))</x:f>
        <x:v>OK</x:v>
      </x:c>
    </x:row>
    <x:row r="17" ht="39.599998474121094" hidden="1" customHeight="1">
      <x:c r="A17" s="2" t="str">
        <x:v>MAP-PAIPU-R16-720</x:v>
      </x:c>
      <x:c r="B17" s="2" t="str">
        <x:v>lec-feituo-seedance-2-0-hn-fast-720p</x:v>
      </x:c>
      <x:c r="C17" s="2" t="str">
        <x:v>CH-PAIPU</x:v>
      </x:c>
      <x:c r="D17" s="2" t="str">
        <x:v>lec-feituo-seedance-2-0-hn-fast-720p</x:v>
      </x:c>
      <x:c r="E17" s="2" t="str">
        <x:v>SKU-SD20-FAST-720</x:v>
      </x:c>
      <x:c r="F17" s="2" t="str">
        <x:v>no_video</x:v>
      </x:c>
      <x:c r="G17" s="2" t="str">
        <x:v>否</x:v>
      </x:c>
      <x:c r="H17" s="20" t="n">
        <x:v>46229.393565162034</x:v>
      </x:c>
      <x:c r="I17" s="20"/>
      <x:c r="J17" s="2" t="str">
        <x:v>SRC-CH-02</x:v>
      </x:c>
      <x:c r="K17" s="7" t="str">
        <x:v>源行=sd!16；时长=5,10,15；比例=16:9, 9:16；视频输入=是；真人脸=待确认；超分=否；素材库=否；NSFW=否；协议=自有；原状态=异常；素材限制=431；原表状态异常，默认停用</x:v>
      </x:c>
      <x:c r="L17" s="23" t="str">
        <x:f t="shared" si="0">IF(A17="","",IF(COUNTIF($A$5:$A$1004,A17)&gt;1,"错误:重复映射ID",IF(OR(B17="",C17="",D17="",G17=""),"错误:必填项",IF(E17="","警告:SKU待映射","OK"))))</x:f>
        <x:v>OK</x:v>
      </x:c>
    </x:row>
    <x:row r="18" ht="39.599998474121094" hidden="1" customHeight="1">
      <x:c r="A18" s="2" t="str">
        <x:v>MAP-PAIPU-R17-720</x:v>
      </x:c>
      <x:c r="B18" s="2" t="str">
        <x:v>lec-feituo-seedance-2-0-hn-720p</x:v>
      </x:c>
      <x:c r="C18" s="2" t="str">
        <x:v>CH-PAIPU</x:v>
      </x:c>
      <x:c r="D18" s="2" t="str">
        <x:v>lec-feituo-seedance-2-0-hn-720p</x:v>
      </x:c>
      <x:c r="E18" s="2" t="str">
        <x:v>SKU-SD20-STD-720</x:v>
      </x:c>
      <x:c r="F18" s="2" t="str">
        <x:v>no_video</x:v>
      </x:c>
      <x:c r="G18" s="2" t="str">
        <x:v>否</x:v>
      </x:c>
      <x:c r="H18" s="20" t="n">
        <x:v>46229.393565162034</x:v>
      </x:c>
      <x:c r="I18" s="20"/>
      <x:c r="J18" s="2" t="str">
        <x:v>SRC-CH-02</x:v>
      </x:c>
      <x:c r="K18" s="7" t="str">
        <x:v>源行=sd!17；时长=5,10,15；比例=9:16, 16:9；视频输入=是；真人脸=待确认；超分=否；素材库=否；NSFW=否；协议=自有；原状态=异常；素材限制=431；原表状态异常，默认停用</x:v>
      </x:c>
      <x:c r="L18" s="23" t="str">
        <x:f t="shared" si="0">IF(A18="","",IF(COUNTIF($A$5:$A$1004,A18)&gt;1,"错误:重复映射ID",IF(OR(B18="",C18="",D18="",G18=""),"错误:必填项",IF(E18="","警告:SKU待映射","OK"))))</x:f>
        <x:v>OK</x:v>
      </x:c>
    </x:row>
    <x:row r="19" ht="26.350000381469727" hidden="1" customHeight="1">
      <x:c r="A19" s="2" t="str">
        <x:v>MAP-PAIPU-R18-720</x:v>
      </x:c>
      <x:c r="B19" s="2" t="str">
        <x:v>lec-feituo-seedance-2-0-ld-cvk-2</x:v>
      </x:c>
      <x:c r="C19" s="2" t="str">
        <x:v>CH-PAIPU</x:v>
      </x:c>
      <x:c r="D19" s="2" t="str">
        <x:v>lec-feituo-seedance-2-0-ld-cvk-2</x:v>
      </x:c>
      <x:c r="E19" s="2" t="str">
        <x:v>SKU-SD20-STD-720</x:v>
      </x:c>
      <x:c r="F19" s="2" t="str">
        <x:v>no_video</x:v>
      </x:c>
      <x:c r="G19" s="2" t="str">
        <x:v>否</x:v>
      </x:c>
      <x:c r="H19" s="20" t="n">
        <x:v>46229.393565162034</x:v>
      </x:c>
      <x:c r="I19" s="20"/>
      <x:c r="J19" s="2" t="str">
        <x:v>SRC-CH-02</x:v>
      </x:c>
      <x:c r="K19" s="7" t="str">
        <x:v>源行=sd!18；时长=5-15；比例=不限；视频输入=是；真人脸=待确认；超分=否；素材库=否；NSFW=否；协议=自有；原状态=异常；素材限制=933；原表状态异常，默认停用</x:v>
      </x:c>
      <x:c r="L19" s="23" t="str">
        <x:f t="shared" si="0">IF(A19="","",IF(COUNTIF($A$5:$A$1004,A19)&gt;1,"错误:重复映射ID",IF(OR(B19="",C19="",D19="",G19=""),"错误:必填项",IF(E19="","警告:SKU待映射","OK"))))</x:f>
        <x:v>OK</x:v>
      </x:c>
    </x:row>
    <x:row r="20" ht="26.350000381469727" hidden="1" customHeight="1">
      <x:c r="A20" s="2" t="str">
        <x:v>MAP-PAIPU-R19-720</x:v>
      </x:c>
      <x:c r="B20" s="2" t="str">
        <x:v>lec-feituo-seedance-2-0-limited-720p</x:v>
      </x:c>
      <x:c r="C20" s="2" t="str">
        <x:v>CH-PAIPU</x:v>
      </x:c>
      <x:c r="D20" s="2" t="str">
        <x:v>lec-feituo-seedance-2-0-limited-720p</x:v>
      </x:c>
      <x:c r="E20" s="2" t="str">
        <x:v>SKU-SD20-STD-720</x:v>
      </x:c>
      <x:c r="F20" s="2" t="str">
        <x:v>no_video</x:v>
      </x:c>
      <x:c r="G20" s="2" t="str">
        <x:v>否</x:v>
      </x:c>
      <x:c r="H20" s="20" t="n">
        <x:v>46229.393565162034</x:v>
      </x:c>
      <x:c r="I20" s="20"/>
      <x:c r="J20" s="2" t="str">
        <x:v>SRC-CH-02</x:v>
      </x:c>
      <x:c r="K20" s="7" t="str">
        <x:v>源行=sd!19；时长=4-15；比例=不限；视频输入=否；真人脸=待确认；超分=否；素材库=否；NSFW=否；协议=自有；原状态=异常；素材限制=900；原表状态异常，默认停用</x:v>
      </x:c>
      <x:c r="L20" s="23" t="str">
        <x:f t="shared" si="0">IF(A20="","",IF(COUNTIF($A$5:$A$1004,A20)&gt;1,"错误:重复映射ID",IF(OR(B20="",C20="",D20="",G20=""),"错误:必填项",IF(E20="","警告:SKU待映射","OK"))))</x:f>
        <x:v>OK</x:v>
      </x:c>
    </x:row>
    <x:row r="21" ht="26.350000381469727" hidden="1" customHeight="1">
      <x:c r="A21" s="2" t="str">
        <x:v>MAP-PAIPU-R20-720</x:v>
      </x:c>
      <x:c r="B21" s="2" t="str">
        <x:v>lec-feituo-seedance-2-0-lg-720p</x:v>
      </x:c>
      <x:c r="C21" s="2" t="str">
        <x:v>CH-PAIPU</x:v>
      </x:c>
      <x:c r="D21" s="2" t="str">
        <x:v>lec-feituo-seedance-2-0-lg-720p</x:v>
      </x:c>
      <x:c r="E21" s="2" t="str">
        <x:v>SKU-SD20-STD-720</x:v>
      </x:c>
      <x:c r="F21" s="2" t="str">
        <x:v>no_video</x:v>
      </x:c>
      <x:c r="G21" s="2" t="str">
        <x:v>否</x:v>
      </x:c>
      <x:c r="H21" s="20" t="n">
        <x:v>46229.393565162034</x:v>
      </x:c>
      <x:c r="I21" s="20"/>
      <x:c r="J21" s="2" t="str">
        <x:v>SRC-CH-02</x:v>
      </x:c>
      <x:c r="K21" s="7" t="str">
        <x:v>源行=sd!20；时长=4-15；比例=不限；视频输入=是；真人脸=待确认；超分=否；素材库=否；NSFW=否；协议=自有；原状态=异常；素材限制=933；原表状态异常，默认停用</x:v>
      </x:c>
      <x:c r="L21" s="23" t="str">
        <x:f t="shared" si="0">IF(A21="","",IF(COUNTIF($A$5:$A$1004,A21)&gt;1,"错误:重复映射ID",IF(OR(B21="",C21="",D21="",G21=""),"错误:必填项",IF(E21="","警告:SKU待映射","OK"))))</x:f>
        <x:v>OK</x:v>
      </x:c>
    </x:row>
    <x:row r="22" ht="39.599998474121094" hidden="1" customHeight="1">
      <x:c r="A22" s="2" t="str">
        <x:v>MAP-PAIPU-R21-1080</x:v>
      </x:c>
      <x:c r="B22" s="2" t="str">
        <x:v>lec-feituo-seedance-2-0-my-fast-upscaled-1080p</x:v>
      </x:c>
      <x:c r="C22" s="2" t="str">
        <x:v>CH-PAIPU</x:v>
      </x:c>
      <x:c r="D22" s="2" t="str">
        <x:v>lec-feituo-seedance-2-0-my-fast-upscaled-1080p</x:v>
      </x:c>
      <x:c r="E22" s="2" t="str">
        <x:v>SKU-SD20-FAST-1080</x:v>
      </x:c>
      <x:c r="F22" s="2" t="str">
        <x:v>no_video</x:v>
      </x:c>
      <x:c r="G22" s="2" t="str">
        <x:v>否</x:v>
      </x:c>
      <x:c r="H22" s="20" t="n">
        <x:v>46229.393565162034</x:v>
      </x:c>
      <x:c r="I22" s="20"/>
      <x:c r="J22" s="2" t="str">
        <x:v>SRC-CH-02</x:v>
      </x:c>
      <x:c r="K22" s="7" t="str">
        <x:v>源行=sd!21；时长=4-15；比例=不限；视频输入=是；真人脸=待确认；超分=720；素材库=否；NSFW=否；协议=自有；原状态=异常；素材限制=431；原表状态异常，默认停用</x:v>
      </x:c>
      <x:c r="L22" s="23" t="str">
        <x:f t="shared" si="0">IF(A22="","",IF(COUNTIF($A$5:$A$1004,A22)&gt;1,"错误:重复映射ID",IF(OR(B22="",C22="",D22="",G22=""),"错误:必填项",IF(E22="","警告:SKU待映射","OK"))))</x:f>
        <x:v>OK</x:v>
      </x:c>
    </x:row>
    <x:row r="23" ht="39.599998474121094" hidden="1" customHeight="1">
      <x:c r="A23" s="2" t="str">
        <x:v>MAP-PAIPU-R22-1080</x:v>
      </x:c>
      <x:c r="B23" s="2" t="str">
        <x:v>lec-feituo-seedance-2-0-my-upscaled-1080p</x:v>
      </x:c>
      <x:c r="C23" s="2" t="str">
        <x:v>CH-PAIPU</x:v>
      </x:c>
      <x:c r="D23" s="2" t="str">
        <x:v>lec-feituo-seedance-2-0-my-upscaled-1080p</x:v>
      </x:c>
      <x:c r="E23" s="2" t="str">
        <x:v>SKU-SD20-STD-1080</x:v>
      </x:c>
      <x:c r="F23" s="2" t="str">
        <x:v>no_video</x:v>
      </x:c>
      <x:c r="G23" s="2" t="str">
        <x:v>否</x:v>
      </x:c>
      <x:c r="H23" s="20" t="n">
        <x:v>46229.393565162034</x:v>
      </x:c>
      <x:c r="I23" s="20"/>
      <x:c r="J23" s="2" t="str">
        <x:v>SRC-CH-02</x:v>
      </x:c>
      <x:c r="K23" s="7" t="str">
        <x:v>源行=sd!22；时长=4-15；比例=不限；视频输入=是；真人脸=待确认；超分=720；素材库=否；NSFW=否；协议=自有；原状态=异常；素材限制=431；原表状态异常，默认停用</x:v>
      </x:c>
      <x:c r="L23" s="23" t="str">
        <x:f t="shared" si="0">IF(A23="","",IF(COUNTIF($A$5:$A$1004,A23)&gt;1,"错误:重复映射ID",IF(OR(B23="",C23="",D23="",G23=""),"错误:必填项",IF(E23="","警告:SKU待映射","OK"))))</x:f>
        <x:v>OK</x:v>
      </x:c>
    </x:row>
    <x:row r="24" ht="39.599998474121094" hidden="1" customHeight="1">
      <x:c r="A24" s="2" t="str">
        <x:v>MAP-PAIPU-R23-480</x:v>
      </x:c>
      <x:c r="B24" s="2" t="str">
        <x:v>lec-seedance-videos-standard</x:v>
      </x:c>
      <x:c r="C24" s="2" t="str">
        <x:v>CH-PAIPU</x:v>
      </x:c>
      <x:c r="D24" s="2" t="str">
        <x:v>lec-seedance-videos-standard</x:v>
      </x:c>
      <x:c r="E24" s="2" t="str">
        <x:v>SKU-SD20-STD-480</x:v>
      </x:c>
      <x:c r="F24" s="2" t="str">
        <x:v>no_video</x:v>
      </x:c>
      <x:c r="G24" s="2" t="str">
        <x:v>是</x:v>
      </x:c>
      <x:c r="H24" s="20" t="n">
        <x:v>46229.393565162034</x:v>
      </x:c>
      <x:c r="I24" s="20"/>
      <x:c r="J24" s="2" t="str">
        <x:v>SRC-CH-02</x:v>
      </x:c>
      <x:c r="K24" s="7" t="str">
        <x:v>源行=sd!23；时长=4-15；比例=9:16, 16:9, 1:1；视频输入=是；真人脸=是；超分=否；素材库=否；NSFW=否；协议=自有；原状态=正常；素材限制=933</x:v>
      </x:c>
      <x:c r="L24" s="23" t="str">
        <x:f t="shared" si="0">IF(A24="","",IF(COUNTIF($A$5:$A$1004,A24)&gt;1,"错误:重复映射ID",IF(OR(B24="",C24="",D24="",G24=""),"错误:必填项",IF(E24="","警告:SKU待映射","OK"))))</x:f>
        <x:v>OK</x:v>
      </x:c>
    </x:row>
    <x:row r="25" ht="39.599998474121094" hidden="1" customHeight="1">
      <x:c r="A25" s="2" t="str">
        <x:v>MAP-PAIPU-R24-720</x:v>
      </x:c>
      <x:c r="B25" s="2" t="str">
        <x:v>lec-seedance-videos-standard</x:v>
      </x:c>
      <x:c r="C25" s="2" t="str">
        <x:v>CH-PAIPU</x:v>
      </x:c>
      <x:c r="D25" s="2" t="str">
        <x:v>lec-seedance-videos-standard</x:v>
      </x:c>
      <x:c r="E25" s="2" t="str">
        <x:v>SKU-SD20-STD-720</x:v>
      </x:c>
      <x:c r="F25" s="2" t="str">
        <x:v>no_video</x:v>
      </x:c>
      <x:c r="G25" s="2" t="str">
        <x:v>是</x:v>
      </x:c>
      <x:c r="H25" s="20" t="n">
        <x:v>46229.393565162034</x:v>
      </x:c>
      <x:c r="I25" s="20"/>
      <x:c r="J25" s="2" t="str">
        <x:v>SRC-CH-02</x:v>
      </x:c>
      <x:c r="K25" s="7" t="str">
        <x:v>源行=sd!24；时长=4-15；比例=9:16, 16:9, 1:1；视频输入=是；真人脸=是；超分=否；素材库=否；NSFW=否；协议=自有；原状态=正常；素材限制=933</x:v>
      </x:c>
      <x:c r="L25" s="23" t="str">
        <x:f t="shared" si="0">IF(A25="","",IF(COUNTIF($A$5:$A$1004,A25)&gt;1,"错误:重复映射ID",IF(OR(B25="",C25="",D25="",G25=""),"错误:必填项",IF(E25="","警告:SKU待映射","OK"))))</x:f>
        <x:v>OK</x:v>
      </x:c>
    </x:row>
    <x:row r="26" ht="39.599998474121094" hidden="1" customHeight="1">
      <x:c r="A26" s="2" t="str">
        <x:v>MAP-PAIPU-R25-1080</x:v>
      </x:c>
      <x:c r="B26" s="2" t="str">
        <x:v>lec-seedance-videos-standard</x:v>
      </x:c>
      <x:c r="C26" s="2" t="str">
        <x:v>CH-PAIPU</x:v>
      </x:c>
      <x:c r="D26" s="2" t="str">
        <x:v>lec-seedance-videos-standard</x:v>
      </x:c>
      <x:c r="E26" s="2" t="str">
        <x:v>SKU-SD20-STD-1080</x:v>
      </x:c>
      <x:c r="F26" s="2" t="str">
        <x:v>no_video</x:v>
      </x:c>
      <x:c r="G26" s="2" t="str">
        <x:v>是</x:v>
      </x:c>
      <x:c r="H26" s="20" t="n">
        <x:v>46229.393565162034</x:v>
      </x:c>
      <x:c r="I26" s="20"/>
      <x:c r="J26" s="2" t="str">
        <x:v>SRC-CH-02</x:v>
      </x:c>
      <x:c r="K26" s="7" t="str">
        <x:v>源行=sd!25；时长=4-15；比例=9:16, 16:9, 1:1；视频输入=是；真人脸=是；超分=否；素材库=否；NSFW=否；协议=自有；原状态=正常；素材限制=933</x:v>
      </x:c>
      <x:c r="L26" s="23" t="str">
        <x:f t="shared" si="0">IF(A26="","",IF(COUNTIF($A$5:$A$1004,A26)&gt;1,"错误:重复映射ID",IF(OR(B26="",C26="",D26="",G26=""),"错误:必填项",IF(E26="","警告:SKU待映射","OK"))))</x:f>
        <x:v>OK</x:v>
      </x:c>
    </x:row>
    <x:row r="27" ht="39.599998474121094" hidden="1" customHeight="1">
      <x:c r="A27" s="2" t="str">
        <x:v>MAP-PAIPU-R26-4K</x:v>
      </x:c>
      <x:c r="B27" s="2" t="str">
        <x:v>lec-seedance-videos-standard</x:v>
      </x:c>
      <x:c r="C27" s="2" t="str">
        <x:v>CH-PAIPU</x:v>
      </x:c>
      <x:c r="D27" s="2" t="str">
        <x:v>lec-seedance-videos-standard</x:v>
      </x:c>
      <x:c r="E27" s="2" t="str">
        <x:v>SKU-SD20-STD-4K</x:v>
      </x:c>
      <x:c r="F27" s="2" t="str">
        <x:v>no_video</x:v>
      </x:c>
      <x:c r="G27" s="2" t="str">
        <x:v>是</x:v>
      </x:c>
      <x:c r="H27" s="20" t="n">
        <x:v>46229.393565162034</x:v>
      </x:c>
      <x:c r="I27" s="20"/>
      <x:c r="J27" s="2" t="str">
        <x:v>SRC-CH-02</x:v>
      </x:c>
      <x:c r="K27" s="7" t="str">
        <x:v>源行=sd!26；时长=4-15；比例=9:16, 16:9, 1:1；视频输入=是；真人脸=是；超分=否；素材库=否；NSFW=否；协议=自有；原状态=正常；素材限制=933</x:v>
      </x:c>
      <x:c r="L27" s="23" t="str">
        <x:f t="shared" si="0">IF(A27="","",IF(COUNTIF($A$5:$A$1004,A27)&gt;1,"错误:重复映射ID",IF(OR(B27="",C27="",D27="",G27=""),"错误:必填项",IF(E27="","警告:SKU待映射","OK"))))</x:f>
        <x:v>OK</x:v>
      </x:c>
    </x:row>
    <x:row r="28" ht="39.599998474121094" hidden="1" customHeight="1">
      <x:c r="A28" s="2" t="str">
        <x:v>MAP-PAIPU-R27-480</x:v>
      </x:c>
      <x:c r="B28" s="2" t="str">
        <x:v>lec-seedance-videos-fast</x:v>
      </x:c>
      <x:c r="C28" s="2" t="str">
        <x:v>CH-PAIPU</x:v>
      </x:c>
      <x:c r="D28" s="2" t="str">
        <x:v>lec-seedance-videos-fast</x:v>
      </x:c>
      <x:c r="E28" s="2" t="str">
        <x:v>SKU-SD20-FAST-480</x:v>
      </x:c>
      <x:c r="F28" s="2" t="str">
        <x:v>no_video</x:v>
      </x:c>
      <x:c r="G28" s="2" t="str">
        <x:v>是</x:v>
      </x:c>
      <x:c r="H28" s="20" t="n">
        <x:v>46229.393565162034</x:v>
      </x:c>
      <x:c r="I28" s="20"/>
      <x:c r="J28" s="2" t="str">
        <x:v>SRC-CH-02</x:v>
      </x:c>
      <x:c r="K28" s="7" t="str">
        <x:v>源行=sd!27；时长=4-15；比例=9:16, 16:9, 1:1；视频输入=是；真人脸=是；超分=否；素材库=否；NSFW=否；协议=自有；原状态=正常；素材限制=933</x:v>
      </x:c>
      <x:c r="L28" s="23" t="str">
        <x:f t="shared" si="0">IF(A28="","",IF(COUNTIF($A$5:$A$1004,A28)&gt;1,"错误:重复映射ID",IF(OR(B28="",C28="",D28="",G28=""),"错误:必填项",IF(E28="","警告:SKU待映射","OK"))))</x:f>
        <x:v>OK</x:v>
      </x:c>
    </x:row>
    <x:row r="29" ht="39.599998474121094" hidden="1" customHeight="1">
      <x:c r="A29" s="2" t="str">
        <x:v>MAP-PAIPU-R28-720</x:v>
      </x:c>
      <x:c r="B29" s="2" t="str">
        <x:v>lec-seedance-videos-fast</x:v>
      </x:c>
      <x:c r="C29" s="2" t="str">
        <x:v>CH-PAIPU</x:v>
      </x:c>
      <x:c r="D29" s="2" t="str">
        <x:v>lec-seedance-videos-fast</x:v>
      </x:c>
      <x:c r="E29" s="2" t="str">
        <x:v>SKU-SD20-FAST-720</x:v>
      </x:c>
      <x:c r="F29" s="2" t="str">
        <x:v>no_video</x:v>
      </x:c>
      <x:c r="G29" s="2" t="str">
        <x:v>是</x:v>
      </x:c>
      <x:c r="H29" s="20" t="n">
        <x:v>46229.393565162034</x:v>
      </x:c>
      <x:c r="I29" s="20"/>
      <x:c r="J29" s="2" t="str">
        <x:v>SRC-CH-02</x:v>
      </x:c>
      <x:c r="K29" s="7" t="str">
        <x:v>源行=sd!28；时长=4-15；比例=9:16, 16:9, 1:1；视频输入=是；真人脸=是；超分=否；素材库=否；NSFW=否；协议=自有；原状态=正常；素材限制=933</x:v>
      </x:c>
      <x:c r="L29" s="23" t="str">
        <x:f t="shared" si="0">IF(A29="","",IF(COUNTIF($A$5:$A$1004,A29)&gt;1,"错误:重复映射ID",IF(OR(B29="",C29="",D29="",G29=""),"错误:必填项",IF(E29="","警告:SKU待映射","OK"))))</x:f>
        <x:v>OK</x:v>
      </x:c>
    </x:row>
    <x:row r="30" ht="39.599998474121094" hidden="1" customHeight="1">
      <x:c r="A30" s="2" t="str">
        <x:v>MAP-PAIPU-R29-480</x:v>
      </x:c>
      <x:c r="B30" s="2" t="str">
        <x:v>lec-seedance-videos-mini</x:v>
      </x:c>
      <x:c r="C30" s="2" t="str">
        <x:v>CH-PAIPU</x:v>
      </x:c>
      <x:c r="D30" s="2" t="str">
        <x:v>lec-seedance-videos-mini</x:v>
      </x:c>
      <x:c r="E30" s="2" t="str">
        <x:v>SKU-SD20-MINI-480</x:v>
      </x:c>
      <x:c r="F30" s="2" t="str">
        <x:v>no_video</x:v>
      </x:c>
      <x:c r="G30" s="2" t="str">
        <x:v>是</x:v>
      </x:c>
      <x:c r="H30" s="20" t="n">
        <x:v>46229.393565162034</x:v>
      </x:c>
      <x:c r="I30" s="20"/>
      <x:c r="J30" s="2" t="str">
        <x:v>SRC-CH-02</x:v>
      </x:c>
      <x:c r="K30" s="7" t="str">
        <x:v>源行=sd!29；时长=4-15；比例=9:16, 16:9, 1:1；视频输入=是；真人脸=是；超分=否；素材库=否；NSFW=否；协议=自有；原状态=正常；素材限制=933</x:v>
      </x:c>
      <x:c r="L30" s="23" t="str">
        <x:f t="shared" si="0">IF(A30="","",IF(COUNTIF($A$5:$A$1004,A30)&gt;1,"错误:重复映射ID",IF(OR(B30="",C30="",D30="",G30=""),"错误:必填项",IF(E30="","警告:SKU待映射","OK"))))</x:f>
        <x:v>OK</x:v>
      </x:c>
    </x:row>
    <x:row r="31" ht="39.599998474121094" hidden="1" customHeight="1">
      <x:c r="A31" s="2" t="str">
        <x:v>MAP-PAIPU-R30-720</x:v>
      </x:c>
      <x:c r="B31" s="2" t="str">
        <x:v>lec-seedance-videos-mini</x:v>
      </x:c>
      <x:c r="C31" s="2" t="str">
        <x:v>CH-PAIPU</x:v>
      </x:c>
      <x:c r="D31" s="2" t="str">
        <x:v>lec-seedance-videos-mini</x:v>
      </x:c>
      <x:c r="E31" s="2" t="str">
        <x:v>SKU-SD20-MINI-720</x:v>
      </x:c>
      <x:c r="F31" s="2" t="str">
        <x:v>no_video</x:v>
      </x:c>
      <x:c r="G31" s="2" t="str">
        <x:v>是</x:v>
      </x:c>
      <x:c r="H31" s="20" t="n">
        <x:v>46229.393565162034</x:v>
      </x:c>
      <x:c r="I31" s="20"/>
      <x:c r="J31" s="2" t="str">
        <x:v>SRC-CH-02</x:v>
      </x:c>
      <x:c r="K31" s="7" t="str">
        <x:v>源行=sd!30；时长=4-15；比例=9:16, 16:9, 1:1；视频输入=是；真人脸=是；超分=否；素材库=否；NSFW=否；协议=自有；原状态=正常；素材限制=933</x:v>
      </x:c>
      <x:c r="L31" s="23" t="str">
        <x:f t="shared" si="0">IF(A31="","",IF(COUNTIF($A$5:$A$1004,A31)&gt;1,"错误:重复映射ID",IF(OR(B31="",C31="",D31="",G31=""),"错误:必填项",IF(E31="","警告:SKU待映射","OK"))))</x:f>
        <x:v>OK</x:v>
      </x:c>
    </x:row>
    <x:row r="32" ht="39.599998474121094" hidden="1" customHeight="1">
      <x:c r="A32" s="2" t="str">
        <x:v>MAP-PAIPU-R31-480</x:v>
      </x:c>
      <x:c r="B32" s="2" t="str">
        <x:v>lec-seedance-videos-stable</x:v>
      </x:c>
      <x:c r="C32" s="2" t="str">
        <x:v>CH-PAIPU</x:v>
      </x:c>
      <x:c r="D32" s="2" t="str">
        <x:v>lec-seedance-videos-stable</x:v>
      </x:c>
      <x:c r="E32" s="2" t="str">
        <x:v>SKU-SD20-STD-480</x:v>
      </x:c>
      <x:c r="F32" s="2" t="str">
        <x:v>no_video</x:v>
      </x:c>
      <x:c r="G32" s="2" t="str">
        <x:v>是</x:v>
      </x:c>
      <x:c r="H32" s="20" t="n">
        <x:v>46229.393565162034</x:v>
      </x:c>
      <x:c r="I32" s="20"/>
      <x:c r="J32" s="2" t="str">
        <x:v>SRC-CH-02</x:v>
      </x:c>
      <x:c r="K32" s="7" t="str">
        <x:v>源行=sd!31；时长=4-15；比例=9:16, 16:9, 1:1；视频输入=是；真人脸=是；超分=否；素材库=否；NSFW=否；协议=自有；原状态=正常；素材限制=431</x:v>
      </x:c>
      <x:c r="L32" s="23" t="str">
        <x:f t="shared" si="0">IF(A32="","",IF(COUNTIF($A$5:$A$1004,A32)&gt;1,"错误:重复映射ID",IF(OR(B32="",C32="",D32="",G32=""),"错误:必填项",IF(E32="","警告:SKU待映射","OK"))))</x:f>
        <x:v>OK</x:v>
      </x:c>
    </x:row>
    <x:row r="33" ht="39.599998474121094" hidden="1" customHeight="1">
      <x:c r="A33" s="2" t="str">
        <x:v>MAP-PAIPU-R32-720</x:v>
      </x:c>
      <x:c r="B33" s="2" t="str">
        <x:v>lec-seedance-videos-stable</x:v>
      </x:c>
      <x:c r="C33" s="2" t="str">
        <x:v>CH-PAIPU</x:v>
      </x:c>
      <x:c r="D33" s="2" t="str">
        <x:v>lec-seedance-videos-stable</x:v>
      </x:c>
      <x:c r="E33" s="2" t="str">
        <x:v>SKU-SD20-STD-720</x:v>
      </x:c>
      <x:c r="F33" s="2" t="str">
        <x:v>no_video</x:v>
      </x:c>
      <x:c r="G33" s="2" t="str">
        <x:v>是</x:v>
      </x:c>
      <x:c r="H33" s="20" t="n">
        <x:v>46229.393565162034</x:v>
      </x:c>
      <x:c r="I33" s="20"/>
      <x:c r="J33" s="2" t="str">
        <x:v>SRC-CH-02</x:v>
      </x:c>
      <x:c r="K33" s="7" t="str">
        <x:v>源行=sd!32；时长=4-15；比例=9:16, 16:9, 1:1；视频输入=是；真人脸=是；超分=否；素材库=否；NSFW=否；协议=自有；原状态=正常；素材限制=431</x:v>
      </x:c>
      <x:c r="L33" s="23" t="str">
        <x:f t="shared" si="0">IF(A33="","",IF(COUNTIF($A$5:$A$1004,A33)&gt;1,"错误:重复映射ID",IF(OR(B33="",C33="",D33="",G33=""),"错误:必填项",IF(E33="","警告:SKU待映射","OK"))))</x:f>
        <x:v>OK</x:v>
      </x:c>
    </x:row>
    <x:row r="34" ht="39.599998474121094" hidden="1" customHeight="1">
      <x:c r="A34" s="2" t="str">
        <x:v>MAP-PAIPU-R33-480</x:v>
      </x:c>
      <x:c r="B34" s="2" t="str">
        <x:v>lec-seedance-videos-stable-fast</x:v>
      </x:c>
      <x:c r="C34" s="2" t="str">
        <x:v>CH-PAIPU</x:v>
      </x:c>
      <x:c r="D34" s="2" t="str">
        <x:v>lec-seedance-videos-stable-fast</x:v>
      </x:c>
      <x:c r="E34" s="2" t="str">
        <x:v>SKU-SD20-FAST-480</x:v>
      </x:c>
      <x:c r="F34" s="2" t="str">
        <x:v>no_video</x:v>
      </x:c>
      <x:c r="G34" s="2" t="str">
        <x:v>是</x:v>
      </x:c>
      <x:c r="H34" s="20" t="n">
        <x:v>46229.393565162034</x:v>
      </x:c>
      <x:c r="I34" s="20"/>
      <x:c r="J34" s="2" t="str">
        <x:v>SRC-CH-02</x:v>
      </x:c>
      <x:c r="K34" s="7" t="str">
        <x:v>源行=sd!33；时长=4-15；比例=9:16, 16:9, 1:1；视频输入=是；真人脸=是；超分=否；素材库=否；NSFW=否；协议=自有；原状态=正常；素材限制=431</x:v>
      </x:c>
      <x:c r="L34" s="23" t="str">
        <x:f t="shared" si="0">IF(A34="","",IF(COUNTIF($A$5:$A$1004,A34)&gt;1,"错误:重复映射ID",IF(OR(B34="",C34="",D34="",G34=""),"错误:必填项",IF(E34="","警告:SKU待映射","OK"))))</x:f>
        <x:v>OK</x:v>
      </x:c>
    </x:row>
    <x:row r="35" ht="39.599998474121094" hidden="1" customHeight="1">
      <x:c r="A35" s="2" t="str">
        <x:v>MAP-PAIPU-R34-720</x:v>
      </x:c>
      <x:c r="B35" s="2" t="str">
        <x:v>lec-seedance-videos-stable-fast</x:v>
      </x:c>
      <x:c r="C35" s="2" t="str">
        <x:v>CH-PAIPU</x:v>
      </x:c>
      <x:c r="D35" s="2" t="str">
        <x:v>lec-seedance-videos-stable-fast</x:v>
      </x:c>
      <x:c r="E35" s="2" t="str">
        <x:v>SKU-SD20-FAST-720</x:v>
      </x:c>
      <x:c r="F35" s="2" t="str">
        <x:v>no_video</x:v>
      </x:c>
      <x:c r="G35" s="2" t="str">
        <x:v>是</x:v>
      </x:c>
      <x:c r="H35" s="20" t="n">
        <x:v>46229.393565162034</x:v>
      </x:c>
      <x:c r="I35" s="20"/>
      <x:c r="J35" s="2" t="str">
        <x:v>SRC-CH-02</x:v>
      </x:c>
      <x:c r="K35" s="7" t="str">
        <x:v>源行=sd!34；时长=4-15；比例=9:16, 16:9, 1:1；视频输入=是；真人脸=是；超分=否；素材库=否；NSFW=否；协议=自有；原状态=正常；素材限制=431</x:v>
      </x:c>
      <x:c r="L35" s="23" t="str">
        <x:f t="shared" si="0">IF(A35="","",IF(COUNTIF($A$5:$A$1004,A35)&gt;1,"错误:重复映射ID",IF(OR(B35="",C35="",D35="",G35=""),"错误:必填项",IF(E35="","警告:SKU待映射","OK"))))</x:f>
        <x:v>OK</x:v>
      </x:c>
    </x:row>
    <x:row r="36" ht="39.599998474121094" hidden="1" customHeight="1">
      <x:c r="A36" s="2" t="str">
        <x:v>MAP-PAIPU-R35-480</x:v>
      </x:c>
      <x:c r="B36" s="2" t="str">
        <x:v>lec-seedance-videos-stable-mini</x:v>
      </x:c>
      <x:c r="C36" s="2" t="str">
        <x:v>CH-PAIPU</x:v>
      </x:c>
      <x:c r="D36" s="2" t="str">
        <x:v>lec-seedance-videos-stable-mini</x:v>
      </x:c>
      <x:c r="E36" s="2" t="str">
        <x:v>SKU-SD20-MINI-480</x:v>
      </x:c>
      <x:c r="F36" s="2" t="str">
        <x:v>no_video</x:v>
      </x:c>
      <x:c r="G36" s="2" t="str">
        <x:v>是</x:v>
      </x:c>
      <x:c r="H36" s="20" t="n">
        <x:v>46229.393565162034</x:v>
      </x:c>
      <x:c r="I36" s="20"/>
      <x:c r="J36" s="2" t="str">
        <x:v>SRC-CH-02</x:v>
      </x:c>
      <x:c r="K36" s="7" t="str">
        <x:v>源行=sd!35；时长=4-15；比例=9:16, 16:9, 1:1；视频输入=是；真人脸=是；超分=否；素材库=否；NSFW=否；协议=自有；原状态=正常；素材限制=431</x:v>
      </x:c>
      <x:c r="L36" s="23" t="str">
        <x:f t="shared" si="0">IF(A36="","",IF(COUNTIF($A$5:$A$1004,A36)&gt;1,"错误:重复映射ID",IF(OR(B36="",C36="",D36="",G36=""),"错误:必填项",IF(E36="","警告:SKU待映射","OK"))))</x:f>
        <x:v>OK</x:v>
      </x:c>
    </x:row>
    <x:row r="37" ht="39.599998474121094" hidden="1" customHeight="1">
      <x:c r="A37" s="2" t="str">
        <x:v>MAP-PAIPU-R36-720</x:v>
      </x:c>
      <x:c r="B37" s="2" t="str">
        <x:v>lec-seedance-videos-stable-mini</x:v>
      </x:c>
      <x:c r="C37" s="2" t="str">
        <x:v>CH-PAIPU</x:v>
      </x:c>
      <x:c r="D37" s="2" t="str">
        <x:v>lec-seedance-videos-stable-mini</x:v>
      </x:c>
      <x:c r="E37" s="2" t="str">
        <x:v>SKU-SD20-MINI-720</x:v>
      </x:c>
      <x:c r="F37" s="2" t="str">
        <x:v>no_video</x:v>
      </x:c>
      <x:c r="G37" s="2" t="str">
        <x:v>是</x:v>
      </x:c>
      <x:c r="H37" s="20" t="n">
        <x:v>46229.393565162034</x:v>
      </x:c>
      <x:c r="I37" s="20"/>
      <x:c r="J37" s="2" t="str">
        <x:v>SRC-CH-02</x:v>
      </x:c>
      <x:c r="K37" s="7" t="str">
        <x:v>源行=sd!36；时长=4-15；比例=9:16, 16:9, 1:1；视频输入=是；真人脸=是；超分=否；素材库=否；NSFW=否；协议=自有；原状态=正常；素材限制=431</x:v>
      </x:c>
      <x:c r="L37" s="23" t="str">
        <x:f t="shared" ref="L37:L68" si="1">IF(A37="","",IF(COUNTIF($A$5:$A$1004,A37)&gt;1,"错误:重复映射ID",IF(OR(B37="",C37="",D37="",G37=""),"错误:必填项",IF(E37="","警告:SKU待映射","OK"))))</x:f>
        <x:v>OK</x:v>
      </x:c>
    </x:row>
    <x:row r="38" ht="39.599998474121094" hidden="1" customHeight="1">
      <x:c r="A38" s="2" t="str">
        <x:v>MAP-PAIPU-R37-720</x:v>
      </x:c>
      <x:c r="B38" s="2" t="str">
        <x:v>lec-seedance-videos-stable-720p</x:v>
      </x:c>
      <x:c r="C38" s="2" t="str">
        <x:v>CH-PAIPU</x:v>
      </x:c>
      <x:c r="D38" s="2" t="str">
        <x:v>lec-seedance-videos-stable-720p</x:v>
      </x:c>
      <x:c r="E38" s="2" t="str">
        <x:v>SKU-SD20-STD-720</x:v>
      </x:c>
      <x:c r="F38" s="2" t="str">
        <x:v>no_video</x:v>
      </x:c>
      <x:c r="G38" s="2" t="str">
        <x:v>否</x:v>
      </x:c>
      <x:c r="H38" s="20" t="n">
        <x:v>46229.393565162034</x:v>
      </x:c>
      <x:c r="I38" s="20"/>
      <x:c r="J38" s="2" t="str">
        <x:v>SRC-CH-02</x:v>
      </x:c>
      <x:c r="K38" s="7" t="str">
        <x:v>源行=sd!37；时长=4-15；比例=9:16, 16:9, 1:1；视频输入=是；真人脸=是；超分=否；素材库=否；NSFW=否；协议=自有；原状态=异常；素材限制=933；原表状态异常，默认停用</x:v>
      </x:c>
      <x:c r="L38" s="23" t="str">
        <x:f t="shared" si="1">IF(A38="","",IF(COUNTIF($A$5:$A$1004,A38)&gt;1,"错误:重复映射ID",IF(OR(B38="",C38="",D38="",G38=""),"错误:必填项",IF(E38="","警告:SKU待映射","OK"))))</x:f>
        <x:v>OK</x:v>
      </x:c>
    </x:row>
    <x:row r="39" ht="39.599998474121094" hidden="1" customHeight="1">
      <x:c r="A39" s="2" t="str">
        <x:v>MAP-PAIPU-R38-720</x:v>
      </x:c>
      <x:c r="B39" s="2" t="str">
        <x:v>lec-seedance-videos-fast-720p</x:v>
      </x:c>
      <x:c r="C39" s="2" t="str">
        <x:v>CH-PAIPU</x:v>
      </x:c>
      <x:c r="D39" s="2" t="str">
        <x:v>lec-seedance-videos-fast-720p</x:v>
      </x:c>
      <x:c r="E39" s="2" t="str">
        <x:v>SKU-SD20-FAST-720</x:v>
      </x:c>
      <x:c r="F39" s="2" t="str">
        <x:v>no_video</x:v>
      </x:c>
      <x:c r="G39" s="2" t="str">
        <x:v>否</x:v>
      </x:c>
      <x:c r="H39" s="20" t="n">
        <x:v>46229.393565162034</x:v>
      </x:c>
      <x:c r="I39" s="20"/>
      <x:c r="J39" s="2" t="str">
        <x:v>SRC-CH-02</x:v>
      </x:c>
      <x:c r="K39" s="7" t="str">
        <x:v>源行=sd!38；时长=4-15；比例=9:16, 16:9, 1:1；视频输入=是；真人脸=是；超分=否；素材库=否；NSFW=否；协议=自有；原状态=异常；素材限制=933；原表状态异常，默认停用</x:v>
      </x:c>
      <x:c r="L39" s="23" t="str">
        <x:f t="shared" si="1">IF(A39="","",IF(COUNTIF($A$5:$A$1004,A39)&gt;1,"错误:重复映射ID",IF(OR(B39="",C39="",D39="",G39=""),"错误:必填项",IF(E39="","警告:SKU待映射","OK"))))</x:f>
        <x:v>OK</x:v>
      </x:c>
    </x:row>
    <x:row r="40" ht="39.599998474121094" hidden="1" customHeight="1">
      <x:c r="A40" s="2" t="str">
        <x:v>MAP-PAIPU-R39-720</x:v>
      </x:c>
      <x:c r="B40" s="2" t="str">
        <x:v>lec-seedance-videos-mini-720p</x:v>
      </x:c>
      <x:c r="C40" s="2" t="str">
        <x:v>CH-PAIPU</x:v>
      </x:c>
      <x:c r="D40" s="2" t="str">
        <x:v>lec-seedance-videos-mini-720p</x:v>
      </x:c>
      <x:c r="E40" s="2" t="str">
        <x:v>SKU-SD20-MINI-720</x:v>
      </x:c>
      <x:c r="F40" s="2" t="str">
        <x:v>no_video</x:v>
      </x:c>
      <x:c r="G40" s="2" t="str">
        <x:v>否</x:v>
      </x:c>
      <x:c r="H40" s="20" t="n">
        <x:v>46229.393565162034</x:v>
      </x:c>
      <x:c r="I40" s="20"/>
      <x:c r="J40" s="2" t="str">
        <x:v>SRC-CH-02</x:v>
      </x:c>
      <x:c r="K40" s="7" t="str">
        <x:v>源行=sd!39；时长=4-15；比例=9:16, 16:9, 1:1；视频输入=是；真人脸=是；超分=否；素材库=否；NSFW=否；协议=自有；原状态=异常；素材限制=933；原表状态异常，默认停用</x:v>
      </x:c>
      <x:c r="L40" s="23" t="str">
        <x:f t="shared" si="1">IF(A40="","",IF(COUNTIF($A$5:$A$1004,A40)&gt;1,"错误:重复映射ID",IF(OR(B40="",C40="",D40="",G40=""),"错误:必填项",IF(E40="","警告:SKU待映射","OK"))))</x:f>
        <x:v>OK</x:v>
      </x:c>
    </x:row>
    <x:row r="41" ht="39.599998474121094" hidden="1" customHeight="1">
      <x:c r="A41" s="2" t="str">
        <x:v>MAP-PAIPU-R40-480</x:v>
      </x:c>
      <x:c r="B41" s="2" t="str">
        <x:v>lec-seedance-videos-face-standard</x:v>
      </x:c>
      <x:c r="C41" s="2" t="str">
        <x:v>CH-PAIPU</x:v>
      </x:c>
      <x:c r="D41" s="2" t="str">
        <x:v>lec-seedance-videos-face-standard</x:v>
      </x:c>
      <x:c r="E41" s="2" t="str">
        <x:v>SKU-SD20-STD-480</x:v>
      </x:c>
      <x:c r="F41" s="2" t="str">
        <x:v>no_video</x:v>
      </x:c>
      <x:c r="G41" s="2" t="str">
        <x:v>否</x:v>
      </x:c>
      <x:c r="H41" s="20" t="n">
        <x:v>46229.393565162034</x:v>
      </x:c>
      <x:c r="I41" s="20"/>
      <x:c r="J41" s="2" t="str">
        <x:v>SRC-CH-02</x:v>
      </x:c>
      <x:c r="K41" s="7" t="str">
        <x:v>源行=sd!40；时长=4-15；比例=9:16, 16:9, 1:1；视频输入=是；真人脸=否；超分=否；素材库=否；NSFW=否；协议=自有；原状态=异常；素材限制=933；原表状态异常，默认停用</x:v>
      </x:c>
      <x:c r="L41" s="23" t="str">
        <x:f t="shared" si="1">IF(A41="","",IF(COUNTIF($A$5:$A$1004,A41)&gt;1,"错误:重复映射ID",IF(OR(B41="",C41="",D41="",G41=""),"错误:必填项",IF(E41="","警告:SKU待映射","OK"))))</x:f>
        <x:v>OK</x:v>
      </x:c>
    </x:row>
    <x:row r="42" ht="39.599998474121094" hidden="1" customHeight="1">
      <x:c r="A42" s="2" t="str">
        <x:v>MAP-PAIPU-R41-720</x:v>
      </x:c>
      <x:c r="B42" s="2" t="str">
        <x:v>lec-seedance-videos-face-standard</x:v>
      </x:c>
      <x:c r="C42" s="2" t="str">
        <x:v>CH-PAIPU</x:v>
      </x:c>
      <x:c r="D42" s="2" t="str">
        <x:v>lec-seedance-videos-face-standard</x:v>
      </x:c>
      <x:c r="E42" s="2" t="str">
        <x:v>SKU-SD20-STD-720</x:v>
      </x:c>
      <x:c r="F42" s="2" t="str">
        <x:v>no_video</x:v>
      </x:c>
      <x:c r="G42" s="2" t="str">
        <x:v>否</x:v>
      </x:c>
      <x:c r="H42" s="20" t="n">
        <x:v>46229.393565162034</x:v>
      </x:c>
      <x:c r="I42" s="20"/>
      <x:c r="J42" s="2" t="str">
        <x:v>SRC-CH-02</x:v>
      </x:c>
      <x:c r="K42" s="7" t="str">
        <x:v>源行=sd!41；时长=4-15；比例=9:16, 16:9, 1:1；视频输入=是；真人脸=否；超分=否；素材库=否；NSFW=否；协议=自有；原状态=异常；素材限制=933；原表状态异常，默认停用</x:v>
      </x:c>
      <x:c r="L42" s="23" t="str">
        <x:f t="shared" si="1">IF(A42="","",IF(COUNTIF($A$5:$A$1004,A42)&gt;1,"错误:重复映射ID",IF(OR(B42="",C42="",D42="",G42=""),"错误:必填项",IF(E42="","警告:SKU待映射","OK"))))</x:f>
        <x:v>OK</x:v>
      </x:c>
    </x:row>
    <x:row r="43" ht="39.599998474121094" hidden="1" customHeight="1">
      <x:c r="A43" s="2" t="str">
        <x:v>MAP-PAIPU-R42-1080</x:v>
      </x:c>
      <x:c r="B43" s="2" t="str">
        <x:v>lec-seedance-videos-face-standard</x:v>
      </x:c>
      <x:c r="C43" s="2" t="str">
        <x:v>CH-PAIPU</x:v>
      </x:c>
      <x:c r="D43" s="2" t="str">
        <x:v>lec-seedance-videos-face-standard</x:v>
      </x:c>
      <x:c r="E43" s="2" t="str">
        <x:v>SKU-SD20-STD-1080</x:v>
      </x:c>
      <x:c r="F43" s="2" t="str">
        <x:v>no_video</x:v>
      </x:c>
      <x:c r="G43" s="2" t="str">
        <x:v>否</x:v>
      </x:c>
      <x:c r="H43" s="20" t="n">
        <x:v>46229.393565162034</x:v>
      </x:c>
      <x:c r="I43" s="20"/>
      <x:c r="J43" s="2" t="str">
        <x:v>SRC-CH-02</x:v>
      </x:c>
      <x:c r="K43" s="7" t="str">
        <x:v>源行=sd!42；时长=4-15；比例=9:16, 16:9, 1:1；视频输入=是；真人脸=否；超分=否；素材库=否；NSFW=否；协议=自有；原状态=异常；素材限制=933；原表状态异常，默认停用</x:v>
      </x:c>
      <x:c r="L43" s="23" t="str">
        <x:f t="shared" si="1">IF(A43="","",IF(COUNTIF($A$5:$A$1004,A43)&gt;1,"错误:重复映射ID",IF(OR(B43="",C43="",D43="",G43=""),"错误:必填项",IF(E43="","警告:SKU待映射","OK"))))</x:f>
        <x:v>OK</x:v>
      </x:c>
    </x:row>
    <x:row r="44" ht="39.599998474121094" hidden="1" customHeight="1">
      <x:c r="A44" s="2" t="str">
        <x:v>MAP-PAIPU-R43-480</x:v>
      </x:c>
      <x:c r="B44" s="2" t="str">
        <x:v>lec-seedance-videos-face-fast</x:v>
      </x:c>
      <x:c r="C44" s="2" t="str">
        <x:v>CH-PAIPU</x:v>
      </x:c>
      <x:c r="D44" s="2" t="str">
        <x:v>lec-seedance-videos-face-fast</x:v>
      </x:c>
      <x:c r="E44" s="2" t="str">
        <x:v>SKU-SD20-FAST-480</x:v>
      </x:c>
      <x:c r="F44" s="2" t="str">
        <x:v>no_video</x:v>
      </x:c>
      <x:c r="G44" s="2" t="str">
        <x:v>否</x:v>
      </x:c>
      <x:c r="H44" s="20" t="n">
        <x:v>46229.393565162034</x:v>
      </x:c>
      <x:c r="I44" s="20"/>
      <x:c r="J44" s="2" t="str">
        <x:v>SRC-CH-02</x:v>
      </x:c>
      <x:c r="K44" s="7" t="str">
        <x:v>源行=sd!43；时长=4-15；比例=9:16, 16:9, 1:1；视频输入=是；真人脸=否；超分=否；素材库=否；NSFW=否；协议=自有；原状态=异常；素材限制=933；原表状态异常，默认停用</x:v>
      </x:c>
      <x:c r="L44" s="23" t="str">
        <x:f t="shared" si="1">IF(A44="","",IF(COUNTIF($A$5:$A$1004,A44)&gt;1,"错误:重复映射ID",IF(OR(B44="",C44="",D44="",G44=""),"错误:必填项",IF(E44="","警告:SKU待映射","OK"))))</x:f>
        <x:v>OK</x:v>
      </x:c>
    </x:row>
    <x:row r="45" ht="39.599998474121094" hidden="1" customHeight="1">
      <x:c r="A45" s="2" t="str">
        <x:v>MAP-PAIPU-R44-720</x:v>
      </x:c>
      <x:c r="B45" s="2" t="str">
        <x:v>lec-seedance-videos-face-fast</x:v>
      </x:c>
      <x:c r="C45" s="2" t="str">
        <x:v>CH-PAIPU</x:v>
      </x:c>
      <x:c r="D45" s="2" t="str">
        <x:v>lec-seedance-videos-face-fast</x:v>
      </x:c>
      <x:c r="E45" s="2" t="str">
        <x:v>SKU-SD20-FAST-720</x:v>
      </x:c>
      <x:c r="F45" s="2" t="str">
        <x:v>no_video</x:v>
      </x:c>
      <x:c r="G45" s="2" t="str">
        <x:v>否</x:v>
      </x:c>
      <x:c r="H45" s="20" t="n">
        <x:v>46229.393565162034</x:v>
      </x:c>
      <x:c r="I45" s="20"/>
      <x:c r="J45" s="2" t="str">
        <x:v>SRC-CH-02</x:v>
      </x:c>
      <x:c r="K45" s="7" t="str">
        <x:v>源行=sd!44；时长=4-15；比例=9:16, 16:9, 1:1；视频输入=是；真人脸=否；超分=否；素材库=否；NSFW=否；协议=自有；原状态=异常；素材限制=933；原表状态异常，默认停用</x:v>
      </x:c>
      <x:c r="L45" s="23" t="str">
        <x:f t="shared" si="1">IF(A45="","",IF(COUNTIF($A$5:$A$1004,A45)&gt;1,"错误:重复映射ID",IF(OR(B45="",C45="",D45="",G45=""),"错误:必填项",IF(E45="","警告:SKU待映射","OK"))))</x:f>
        <x:v>OK</x:v>
      </x:c>
    </x:row>
    <x:row r="46" ht="39.599998474121094" customHeight="1">
      <x:c r="A46" s="2" t="str">
        <x:v>MAP-PAIPU-R45-720</x:v>
      </x:c>
      <x:c r="B46" s="2" t="str">
        <x:v>lec-fd-seedance-2-0-933-720p</x:v>
      </x:c>
      <x:c r="C46" s="2" t="str">
        <x:v>CH-PAIPU</x:v>
      </x:c>
      <x:c r="D46" s="2" t="str">
        <x:v>lec-fd-seedance-2-0-933-720p</x:v>
      </x:c>
      <x:c r="E46" s="2" t="str">
        <x:v>SKU-SD20-STD-720</x:v>
      </x:c>
      <x:c r="F46" s="2" t="str">
        <x:v>no_video</x:v>
      </x:c>
      <x:c r="G46" s="2" t="str">
        <x:v>是</x:v>
      </x:c>
      <x:c r="H46" s="20" t="n">
        <x:v>46229.393565162034</x:v>
      </x:c>
      <x:c r="I46" s="20"/>
      <x:c r="J46" s="2" t="str">
        <x:v>SRC-CH-02</x:v>
      </x:c>
      <x:c r="K46" s="7" t="str">
        <x:v>源行=sd!45；时长=4-15；比例=9:16, 16:9, 1:1；视频输入=是；真人脸=是；超分=否；素材库=否；NSFW=否；协议=自有；原状态=正常；素材限制=933</x:v>
      </x:c>
      <x:c r="L46" s="23" t="str">
        <x:f t="shared" si="1">IF(A46="","",IF(COUNTIF($A$5:$A$1004,A46)&gt;1,"错误:重复映射ID",IF(OR(B46="",C46="",D46="",G46=""),"错误:必填项",IF(E46="","警告:SKU待映射","OK"))))</x:f>
        <x:v>OK</x:v>
      </x:c>
    </x:row>
    <x:row r="47" ht="39.599998474121094" customHeight="1">
      <x:c r="A47" s="2" t="str">
        <x:v>MAP-LUCEN-R47-720</x:v>
      </x:c>
      <x:c r="B47" s="2" t="str">
        <x:v>seedance-720p-5s</x:v>
      </x:c>
      <x:c r="C47" s="2" t="str">
        <x:v>CH-LUCEN</x:v>
      </x:c>
      <x:c r="D47" s="2" t="str">
        <x:v>seedance-720p-5s</x:v>
      </x:c>
      <x:c r="E47" s="2" t="str">
        <x:v>SKU-SD20-STD-720</x:v>
      </x:c>
      <x:c r="F47" s="2" t="str">
        <x:v>no_video</x:v>
      </x:c>
      <x:c r="G47" s="2" t="str">
        <x:v>否</x:v>
      </x:c>
      <x:c r="H47" s="20" t="n">
        <x:v>46229.393565162034</x:v>
      </x:c>
      <x:c r="I47" s="20"/>
      <x:c r="J47" s="2" t="str">
        <x:v>SRC-CH-03</x:v>
      </x:c>
      <x:c r="K47" s="7" t="str">
        <x:v>源行=sd!47；时长=5；比例=不限；视频输入=是；真人脸=否；超分=否；素材库=否；NSFW=否；协议=new-api；原状态=正常；素材限制=933；未继承已验证映射，默认停用待确认；火山URL</x:v>
      </x:c>
      <x:c r="L47" s="23" t="str">
        <x:f t="shared" si="1">IF(A47="","",IF(COUNTIF($A$5:$A$1004,A47)&gt;1,"错误:重复映射ID",IF(OR(B47="",C47="",D47="",G47=""),"错误:必填项",IF(E47="","警告:SKU待映射","OK"))))</x:f>
        <x:v>OK</x:v>
      </x:c>
    </x:row>
    <x:row r="48" ht="39.599998474121094" customHeight="1">
      <x:c r="A48" s="2" t="str">
        <x:v>MAP-LUCEN-R48-720</x:v>
      </x:c>
      <x:c r="B48" s="2" t="str">
        <x:v>seedance-720p-10s</x:v>
      </x:c>
      <x:c r="C48" s="2" t="str">
        <x:v>CH-LUCEN</x:v>
      </x:c>
      <x:c r="D48" s="2" t="str">
        <x:v>seedance-720p-10s</x:v>
      </x:c>
      <x:c r="E48" s="2" t="str">
        <x:v>SKU-SD20-STD-720</x:v>
      </x:c>
      <x:c r="F48" s="2" t="str">
        <x:v>no_video</x:v>
      </x:c>
      <x:c r="G48" s="2" t="str">
        <x:v>否</x:v>
      </x:c>
      <x:c r="H48" s="20" t="n">
        <x:v>46229.393565162034</x:v>
      </x:c>
      <x:c r="I48" s="20"/>
      <x:c r="J48" s="2" t="str">
        <x:v>SRC-CH-03</x:v>
      </x:c>
      <x:c r="K48" s="7" t="str">
        <x:v>源行=sd!48；时长=10；比例=不限；视频输入=是；真人脸=否；超分=否；素材库=否；NSFW=否；协议=new-api；原状态=正常；素材限制=933；未继承已验证映射，默认停用待确认；火山URL</x:v>
      </x:c>
      <x:c r="L48" s="23" t="str">
        <x:f t="shared" si="1">IF(A48="","",IF(COUNTIF($A$5:$A$1004,A48)&gt;1,"错误:重复映射ID",IF(OR(B48="",C48="",D48="",G48=""),"错误:必填项",IF(E48="","警告:SKU待映射","OK"))))</x:f>
        <x:v>OK</x:v>
      </x:c>
    </x:row>
    <x:row r="49" ht="39.599998474121094" customHeight="1">
      <x:c r="A49" s="2" t="str">
        <x:v>MAP-LUCEN-R49-720</x:v>
      </x:c>
      <x:c r="B49" s="2" t="str">
        <x:v>seedance-720p-15s</x:v>
      </x:c>
      <x:c r="C49" s="2" t="str">
        <x:v>CH-LUCEN</x:v>
      </x:c>
      <x:c r="D49" s="2" t="str">
        <x:v>seedance-720p-15s</x:v>
      </x:c>
      <x:c r="E49" s="2" t="str">
        <x:v>SKU-SD20-STD-720</x:v>
      </x:c>
      <x:c r="F49" s="2" t="str">
        <x:v>no_video</x:v>
      </x:c>
      <x:c r="G49" s="2" t="str">
        <x:v>否</x:v>
      </x:c>
      <x:c r="H49" s="20" t="n">
        <x:v>46229.393565162034</x:v>
      </x:c>
      <x:c r="I49" s="20"/>
      <x:c r="J49" s="2" t="str">
        <x:v>SRC-CH-03</x:v>
      </x:c>
      <x:c r="K49" s="7" t="str">
        <x:v>源行=sd!49；时长=15；比例=不限；视频输入=是；真人脸=否；超分=否；素材库=否；NSFW=否；协议=new-api；原状态=正常；素材限制=933；未继承已验证映射，默认停用待确认；火山URL</x:v>
      </x:c>
      <x:c r="L49" s="23" t="str">
        <x:f t="shared" si="1">IF(A49="","",IF(COUNTIF($A$5:$A$1004,A49)&gt;1,"错误:重复映射ID",IF(OR(B49="",C49="",D49="",G49=""),"错误:必填项",IF(E49="","警告:SKU待映射","OK"))))</x:f>
        <x:v>OK</x:v>
      </x:c>
    </x:row>
    <x:row r="50" ht="39.599998474121094" customHeight="1">
      <x:c r="A50" s="2" t="str">
        <x:v>MAP-LUCEN-R50-480</x:v>
      </x:c>
      <x:c r="B50" s="2" t="str">
        <x:v>seedance-480p-5s</x:v>
      </x:c>
      <x:c r="C50" s="2" t="str">
        <x:v>CH-LUCEN</x:v>
      </x:c>
      <x:c r="D50" s="2" t="str">
        <x:v>seedance-480p-5s</x:v>
      </x:c>
      <x:c r="E50" s="2" t="str">
        <x:v>SKU-SD20-STD-480</x:v>
      </x:c>
      <x:c r="F50" s="2" t="str">
        <x:v>no_video</x:v>
      </x:c>
      <x:c r="G50" s="2" t="str">
        <x:v>否</x:v>
      </x:c>
      <x:c r="H50" s="20" t="n">
        <x:v>46229.393565162034</x:v>
      </x:c>
      <x:c r="I50" s="20"/>
      <x:c r="J50" s="2" t="str">
        <x:v>SRC-CH-03</x:v>
      </x:c>
      <x:c r="K50" s="7" t="str">
        <x:v>源行=sd!50；时长=5；比例=不限；视频输入=是；真人脸=否；超分=否；素材库=否；NSFW=否；协议=new-api；原状态=正常；素材限制=933；未继承已验证映射，默认停用待确认；火山URL</x:v>
      </x:c>
      <x:c r="L50" s="23" t="str">
        <x:f t="shared" si="1">IF(A50="","",IF(COUNTIF($A$5:$A$1004,A50)&gt;1,"错误:重复映射ID",IF(OR(B50="",C50="",D50="",G50=""),"错误:必填项",IF(E50="","警告:SKU待映射","OK"))))</x:f>
        <x:v>OK</x:v>
      </x:c>
    </x:row>
    <x:row r="51" ht="39.599998474121094" customHeight="1">
      <x:c r="A51" s="2" t="str">
        <x:v>MAP-LUCEN-R51-480</x:v>
      </x:c>
      <x:c r="B51" s="2" t="str">
        <x:v>seedance-480p-10s</x:v>
      </x:c>
      <x:c r="C51" s="2" t="str">
        <x:v>CH-LUCEN</x:v>
      </x:c>
      <x:c r="D51" s="2" t="str">
        <x:v>seedance-480p-10s</x:v>
      </x:c>
      <x:c r="E51" s="2" t="str">
        <x:v>SKU-SD20-STD-480</x:v>
      </x:c>
      <x:c r="F51" s="2" t="str">
        <x:v>no_video</x:v>
      </x:c>
      <x:c r="G51" s="2" t="str">
        <x:v>否</x:v>
      </x:c>
      <x:c r="H51" s="20" t="n">
        <x:v>46229.393565162034</x:v>
      </x:c>
      <x:c r="I51" s="20"/>
      <x:c r="J51" s="2" t="str">
        <x:v>SRC-CH-03</x:v>
      </x:c>
      <x:c r="K51" s="7" t="str">
        <x:v>源行=sd!51；时长=10；比例=不限；视频输入=是；真人脸=否；超分=否；素材库=否；NSFW=否；协议=new-api；原状态=正常；素材限制=933；未继承已验证映射，默认停用待确认；火山URL</x:v>
      </x:c>
      <x:c r="L51" s="23" t="str">
        <x:f t="shared" si="1">IF(A51="","",IF(COUNTIF($A$5:$A$1004,A51)&gt;1,"错误:重复映射ID",IF(OR(B51="",C51="",D51="",G51=""),"错误:必填项",IF(E51="","警告:SKU待映射","OK"))))</x:f>
        <x:v>OK</x:v>
      </x:c>
    </x:row>
    <x:row r="52" ht="39.599998474121094" customHeight="1">
      <x:c r="A52" s="2" t="str">
        <x:v>MAP-LUCEN-R52-480</x:v>
      </x:c>
      <x:c r="B52" s="2" t="str">
        <x:v>seedance-480p-15s</x:v>
      </x:c>
      <x:c r="C52" s="2" t="str">
        <x:v>CH-LUCEN</x:v>
      </x:c>
      <x:c r="D52" s="2" t="str">
        <x:v>seedance-480p-15s</x:v>
      </x:c>
      <x:c r="E52" s="2" t="str">
        <x:v>SKU-SD20-STD-480</x:v>
      </x:c>
      <x:c r="F52" s="2" t="str">
        <x:v>no_video</x:v>
      </x:c>
      <x:c r="G52" s="2" t="str">
        <x:v>否</x:v>
      </x:c>
      <x:c r="H52" s="20" t="n">
        <x:v>46229.393565162034</x:v>
      </x:c>
      <x:c r="I52" s="20"/>
      <x:c r="J52" s="2" t="str">
        <x:v>SRC-CH-03</x:v>
      </x:c>
      <x:c r="K52" s="7" t="str">
        <x:v>源行=sd!52；时长=15；比例=不限；视频输入=是；真人脸=否；超分=否；素材库=否；NSFW=否；协议=new-api；原状态=正常；素材限制=933；未继承已验证映射，默认停用待确认；火山URL</x:v>
      </x:c>
      <x:c r="L52" s="23" t="str">
        <x:f t="shared" si="1">IF(A52="","",IF(COUNTIF($A$5:$A$1004,A52)&gt;1,"错误:重复映射ID",IF(OR(B52="",C52="",D52="",G52=""),"错误:必填项",IF(E52="","警告:SKU待映射","OK"))))</x:f>
        <x:v>OK</x:v>
      </x:c>
    </x:row>
    <x:row r="53" ht="39.599998474121094" customHeight="1">
      <x:c r="A53" s="2" t="str">
        <x:v>MAP-LUCEN-R53-1080</x:v>
      </x:c>
      <x:c r="B53" s="2" t="str">
        <x:v>seedance-1080p-5s</x:v>
      </x:c>
      <x:c r="C53" s="2" t="str">
        <x:v>CH-LUCEN</x:v>
      </x:c>
      <x:c r="D53" s="2" t="str">
        <x:v>seedance-1080p-5s</x:v>
      </x:c>
      <x:c r="E53" s="2" t="str">
        <x:v>SKU-SD20-STD-1080</x:v>
      </x:c>
      <x:c r="F53" s="2" t="str">
        <x:v>no_video</x:v>
      </x:c>
      <x:c r="G53" s="2" t="str">
        <x:v>否</x:v>
      </x:c>
      <x:c r="H53" s="20" t="n">
        <x:v>46229.393565162034</x:v>
      </x:c>
      <x:c r="I53" s="20"/>
      <x:c r="J53" s="2" t="str">
        <x:v>SRC-CH-03</x:v>
      </x:c>
      <x:c r="K53" s="7" t="str">
        <x:v>源行=sd!53；时长=5；比例=不限；视频输入=是；真人脸=否；超分=否；素材库=否；NSFW=否；协议=new-api；原状态=正常；素材限制=933；未继承已验证映射，默认停用待确认；火山URL</x:v>
      </x:c>
      <x:c r="L53" s="23" t="str">
        <x:f t="shared" si="1">IF(A53="","",IF(COUNTIF($A$5:$A$1004,A53)&gt;1,"错误:重复映射ID",IF(OR(B53="",C53="",D53="",G53=""),"错误:必填项",IF(E53="","警告:SKU待映射","OK"))))</x:f>
        <x:v>OK</x:v>
      </x:c>
    </x:row>
    <x:row r="54" ht="39.599998474121094" customHeight="1">
      <x:c r="A54" s="2" t="str">
        <x:v>MAP-LUCEN-R54-1080</x:v>
      </x:c>
      <x:c r="B54" s="2" t="str">
        <x:v>seedance-1080p-10s</x:v>
      </x:c>
      <x:c r="C54" s="2" t="str">
        <x:v>CH-LUCEN</x:v>
      </x:c>
      <x:c r="D54" s="2" t="str">
        <x:v>seedance-1080p-10s</x:v>
      </x:c>
      <x:c r="E54" s="2" t="str">
        <x:v>SKU-SD20-STD-1080</x:v>
      </x:c>
      <x:c r="F54" s="2" t="str">
        <x:v>no_video</x:v>
      </x:c>
      <x:c r="G54" s="2" t="str">
        <x:v>否</x:v>
      </x:c>
      <x:c r="H54" s="20" t="n">
        <x:v>46229.393565162034</x:v>
      </x:c>
      <x:c r="I54" s="20"/>
      <x:c r="J54" s="2" t="str">
        <x:v>SRC-CH-03</x:v>
      </x:c>
      <x:c r="K54" s="7" t="str">
        <x:v>源行=sd!54；时长=10；比例=不限；视频输入=是；真人脸=否；超分=否；素材库=否；NSFW=否；协议=new-api；原状态=正常；素材限制=933；未继承已验证映射，默认停用待确认；火山URL</x:v>
      </x:c>
      <x:c r="L54" s="23" t="str">
        <x:f t="shared" si="1">IF(A54="","",IF(COUNTIF($A$5:$A$1004,A54)&gt;1,"错误:重复映射ID",IF(OR(B54="",C54="",D54="",G54=""),"错误:必填项",IF(E54="","警告:SKU待映射","OK"))))</x:f>
        <x:v>OK</x:v>
      </x:c>
    </x:row>
    <x:row r="55" ht="39.599998474121094" customHeight="1">
      <x:c r="A55" s="2" t="str">
        <x:v>MAP-LUCEN-R55-1080</x:v>
      </x:c>
      <x:c r="B55" s="2" t="str">
        <x:v>seedance-1080p-15s</x:v>
      </x:c>
      <x:c r="C55" s="2" t="str">
        <x:v>CH-LUCEN</x:v>
      </x:c>
      <x:c r="D55" s="2" t="str">
        <x:v>seedance-1080p-15s</x:v>
      </x:c>
      <x:c r="E55" s="2" t="str">
        <x:v>SKU-SD20-STD-1080</x:v>
      </x:c>
      <x:c r="F55" s="2" t="str">
        <x:v>no_video</x:v>
      </x:c>
      <x:c r="G55" s="2" t="str">
        <x:v>否</x:v>
      </x:c>
      <x:c r="H55" s="20" t="n">
        <x:v>46229.393565162034</x:v>
      </x:c>
      <x:c r="I55" s="20"/>
      <x:c r="J55" s="2" t="str">
        <x:v>SRC-CH-03</x:v>
      </x:c>
      <x:c r="K55" s="7" t="str">
        <x:v>源行=sd!55；时长=15；比例=不限；视频输入=是；真人脸=否；超分=否；素材库=否；NSFW=否；协议=new-api；原状态=正常；素材限制=933；未继承已验证映射，默认停用待确认；火山URL</x:v>
      </x:c>
      <x:c r="L55" s="23" t="str">
        <x:f t="shared" si="1">IF(A55="","",IF(COUNTIF($A$5:$A$1004,A55)&gt;1,"错误:重复映射ID",IF(OR(B55="",C55="",D55="",G55=""),"错误:必填项",IF(E55="","警告:SKU待映射","OK"))))</x:f>
        <x:v>OK</x:v>
      </x:c>
    </x:row>
    <x:row r="56" ht="39.599998474121094" customHeight="1">
      <x:c r="A56" s="2" t="str">
        <x:v>MAP-LUCEN-R56-480</x:v>
      </x:c>
      <x:c r="B56" s="2" t="str">
        <x:v>seedance-480p-token</x:v>
      </x:c>
      <x:c r="C56" s="2" t="str">
        <x:v>CH-LUCEN</x:v>
      </x:c>
      <x:c r="D56" s="2" t="str">
        <x:v>seedance-480p-token</x:v>
      </x:c>
      <x:c r="E56" s="2" t="str">
        <x:v>SKU-SD20-STD-480</x:v>
      </x:c>
      <x:c r="F56" s="2" t="str">
        <x:v>no_video</x:v>
      </x:c>
      <x:c r="G56" s="2" t="str">
        <x:v>否</x:v>
      </x:c>
      <x:c r="H56" s="20" t="n">
        <x:v>46229.393565162034</x:v>
      </x:c>
      <x:c r="I56" s="20"/>
      <x:c r="J56" s="2" t="str">
        <x:v>SRC-CH-03</x:v>
      </x:c>
      <x:c r="K56" s="7" t="str">
        <x:v>源行=sd!56；时长=4-15；比例=不限；视频输入=是；真人脸=否；超分=否；素材库=否；NSFW=否；协议=new-api；原状态=正常；素材限制=933；未继承已验证映射，默认停用待确认；火山URL</x:v>
      </x:c>
      <x:c r="L56" s="23" t="str">
        <x:f t="shared" si="1">IF(A56="","",IF(COUNTIF($A$5:$A$1004,A56)&gt;1,"错误:重复映射ID",IF(OR(B56="",C56="",D56="",G56=""),"错误:必填项",IF(E56="","警告:SKU待映射","OK"))))</x:f>
        <x:v>OK</x:v>
      </x:c>
    </x:row>
    <x:row r="57" ht="39.599998474121094" customHeight="1">
      <x:c r="A57" s="2" t="str">
        <x:v>MAP-LUCEN-R57-720</x:v>
      </x:c>
      <x:c r="B57" s="2" t="str">
        <x:v>seedance-720p-token</x:v>
      </x:c>
      <x:c r="C57" s="2" t="str">
        <x:v>CH-LUCEN</x:v>
      </x:c>
      <x:c r="D57" s="2" t="str">
        <x:v>seedance-720p-token</x:v>
      </x:c>
      <x:c r="E57" s="2" t="str">
        <x:v>SKU-SD20-STD-720</x:v>
      </x:c>
      <x:c r="F57" s="2" t="str">
        <x:v>no_video</x:v>
      </x:c>
      <x:c r="G57" s="2" t="str">
        <x:v>否</x:v>
      </x:c>
      <x:c r="H57" s="20" t="n">
        <x:v>46229.393565162034</x:v>
      </x:c>
      <x:c r="I57" s="20"/>
      <x:c r="J57" s="2" t="str">
        <x:v>SRC-CH-03</x:v>
      </x:c>
      <x:c r="K57" s="7" t="str">
        <x:v>源行=sd!57；时长=4-15；比例=不限；视频输入=是；真人脸=否；超分=否；素材库=否；NSFW=否；协议=new-api；原状态=正常；素材限制=933；未继承已验证映射，默认停用待确认；火山URL</x:v>
      </x:c>
      <x:c r="L57" s="23" t="str">
        <x:f t="shared" si="1">IF(A57="","",IF(COUNTIF($A$5:$A$1004,A57)&gt;1,"错误:重复映射ID",IF(OR(B57="",C57="",D57="",G57=""),"错误:必填项",IF(E57="","警告:SKU待映射","OK"))))</x:f>
        <x:v>OK</x:v>
      </x:c>
    </x:row>
    <x:row r="58" ht="39.599998474121094" hidden="1" customHeight="1">
      <x:c r="A58" s="2" t="str">
        <x:v>MAP-LUCEN-R58-1080</x:v>
      </x:c>
      <x:c r="B58" s="2" t="str">
        <x:v>seedance-1080p-token</x:v>
      </x:c>
      <x:c r="C58" s="2" t="str">
        <x:v>CH-LUCEN</x:v>
      </x:c>
      <x:c r="D58" s="2" t="str">
        <x:v>seedance-1080p-token</x:v>
      </x:c>
      <x:c r="E58" s="2" t="str">
        <x:v>SKU-SD20-STD-1080</x:v>
      </x:c>
      <x:c r="F58" s="2" t="str">
        <x:v>no_video</x:v>
      </x:c>
      <x:c r="G58" s="2" t="str">
        <x:v>否</x:v>
      </x:c>
      <x:c r="H58" s="20" t="n">
        <x:v>46229.393565162034</x:v>
      </x:c>
      <x:c r="I58" s="20"/>
      <x:c r="J58" s="2" t="str">
        <x:v>SRC-CH-03</x:v>
      </x:c>
      <x:c r="K58" s="7" t="str">
        <x:v>源行=sd!58；时长=4-15；比例=不限；视频输入=是；真人脸=否；超分=否；素材库=否；NSFW=否；协议=new-api；原状态=正常；素材限制=933；未继承已验证映射，默认停用待确认；火山URL</x:v>
      </x:c>
      <x:c r="L58" s="23" t="str">
        <x:f t="shared" si="1">IF(A58="","",IF(COUNTIF($A$5:$A$1004,A58)&gt;1,"错误:重复映射ID",IF(OR(B58="",C58="",D58="",G58=""),"错误:必填项",IF(E58="","警告:SKU待映射","OK"))))</x:f>
        <x:v>OK</x:v>
      </x:c>
    </x:row>
    <x:row r="59" ht="39.599998474121094" hidden="1" customHeight="1">
      <x:c r="A59" s="2" t="str">
        <x:v>MAP-8YES-R60-480</x:v>
      </x:c>
      <x:c r="B59" s="2" t="str">
        <x:v>seedance-2.0</x:v>
      </x:c>
      <x:c r="C59" s="2" t="str">
        <x:v>CH-8YES</x:v>
      </x:c>
      <x:c r="D59" s="2" t="str">
        <x:v>seedance-2.0</x:v>
      </x:c>
      <x:c r="E59" s="2" t="str">
        <x:v>SKU-SD20-STD-480</x:v>
      </x:c>
      <x:c r="F59" s="2" t="str">
        <x:v>no_video</x:v>
      </x:c>
      <x:c r="G59" s="2" t="str">
        <x:v>否</x:v>
      </x:c>
      <x:c r="H59" s="20" t="n">
        <x:v>46229.393565162034</x:v>
      </x:c>
      <x:c r="I59" s="20"/>
      <x:c r="J59" s="2" t="str">
        <x:v>SRC-CH-04</x:v>
      </x:c>
      <x:c r="K59" s="7" t="str">
        <x:v>源行=sd!60；时长=4-15；比例=不限；视频输入=是；真人脸=否；超分=否；素材库=否；NSFW=否；协议=待确认；原状态=空；原表状态为空，默认停用待确认</x:v>
      </x:c>
      <x:c r="L59" s="23" t="str">
        <x:f t="shared" si="1">IF(A59="","",IF(COUNTIF($A$5:$A$1004,A59)&gt;1,"错误:重复映射ID",IF(OR(B59="",C59="",D59="",G59=""),"错误:必填项",IF(E59="","警告:SKU待映射","OK"))))</x:f>
        <x:v>OK</x:v>
      </x:c>
    </x:row>
    <x:row r="60" ht="39.599998474121094" hidden="1" customHeight="1">
      <x:c r="A60" s="2" t="str">
        <x:v>MAP-8YES-R60-720</x:v>
      </x:c>
      <x:c r="B60" s="2" t="str">
        <x:v>seedance-2.0</x:v>
      </x:c>
      <x:c r="C60" s="2" t="str">
        <x:v>CH-8YES</x:v>
      </x:c>
      <x:c r="D60" s="2" t="str">
        <x:v>seedance-2.0</x:v>
      </x:c>
      <x:c r="E60" s="2" t="str">
        <x:v>SKU-SD20-STD-720</x:v>
      </x:c>
      <x:c r="F60" s="2" t="str">
        <x:v>no_video</x:v>
      </x:c>
      <x:c r="G60" s="2" t="str">
        <x:v>否</x:v>
      </x:c>
      <x:c r="H60" s="20" t="n">
        <x:v>46229.393565162034</x:v>
      </x:c>
      <x:c r="I60" s="20"/>
      <x:c r="J60" s="2" t="str">
        <x:v>SRC-CH-04</x:v>
      </x:c>
      <x:c r="K60" s="7" t="str">
        <x:v>源行=sd!60；时长=4-15；比例=不限；视频输入=是；真人脸=否；超分=否；素材库=否；NSFW=否；协议=待确认；原状态=空；原表状态为空，默认停用待确认</x:v>
      </x:c>
      <x:c r="L60" s="23" t="str">
        <x:f t="shared" si="1">IF(A60="","",IF(COUNTIF($A$5:$A$1004,A60)&gt;1,"错误:重复映射ID",IF(OR(B60="",C60="",D60="",G60=""),"错误:必填项",IF(E60="","警告:SKU待映射","OK"))))</x:f>
        <x:v>OK</x:v>
      </x:c>
    </x:row>
    <x:row r="61" ht="39.599998474121094" hidden="1" customHeight="1">
      <x:c r="A61" s="2" t="str">
        <x:v>MAP-8YES-R61-1080</x:v>
      </x:c>
      <x:c r="B61" s="2" t="str">
        <x:v>seedance-2.0-1080p</x:v>
      </x:c>
      <x:c r="C61" s="2" t="str">
        <x:v>CH-8YES</x:v>
      </x:c>
      <x:c r="D61" s="2" t="str">
        <x:v>seedance-2.0-1080p</x:v>
      </x:c>
      <x:c r="E61" s="2" t="str">
        <x:v>SKU-SD20-STD-1080</x:v>
      </x:c>
      <x:c r="F61" s="2" t="str">
        <x:v>no_video</x:v>
      </x:c>
      <x:c r="G61" s="2" t="str">
        <x:v>否</x:v>
      </x:c>
      <x:c r="H61" s="20" t="n">
        <x:v>46229.393565162034</x:v>
      </x:c>
      <x:c r="I61" s="20"/>
      <x:c r="J61" s="2" t="str">
        <x:v>SRC-CH-04</x:v>
      </x:c>
      <x:c r="K61" s="7" t="str">
        <x:v>源行=sd!61；时长=4-15；比例=不限；视频输入=是；真人脸=否；超分=否；素材库=否；NSFW=否；协议=待确认；原状态=空；原表状态为空，默认停用待确认</x:v>
      </x:c>
      <x:c r="L61" s="23" t="str">
        <x:f t="shared" si="1">IF(A61="","",IF(COUNTIF($A$5:$A$1004,A61)&gt;1,"错误:重复映射ID",IF(OR(B61="",C61="",D61="",G61=""),"错误:必填项",IF(E61="","警告:SKU待映射","OK"))))</x:f>
        <x:v>OK</x:v>
      </x:c>
    </x:row>
    <x:row r="62" ht="39.599998474121094" hidden="1" customHeight="1">
      <x:c r="A62" s="2" t="str">
        <x:v>MAP-8YES-R62-480</x:v>
      </x:c>
      <x:c r="B62" s="2" t="str">
        <x:v>seedance-2.0-480p</x:v>
      </x:c>
      <x:c r="C62" s="2" t="str">
        <x:v>CH-8YES</x:v>
      </x:c>
      <x:c r="D62" s="2" t="str">
        <x:v>seedance-2.0-480p</x:v>
      </x:c>
      <x:c r="E62" s="2" t="str">
        <x:v>SKU-SD20-STD-480</x:v>
      </x:c>
      <x:c r="F62" s="2" t="str">
        <x:v>no_video</x:v>
      </x:c>
      <x:c r="G62" s="2" t="str">
        <x:v>否</x:v>
      </x:c>
      <x:c r="H62" s="20" t="n">
        <x:v>46229.393565162034</x:v>
      </x:c>
      <x:c r="I62" s="20"/>
      <x:c r="J62" s="2" t="str">
        <x:v>SRC-CH-04</x:v>
      </x:c>
      <x:c r="K62" s="7" t="str">
        <x:v>源行=sd!62；时长=4-15；比例=不限；视频输入=是；真人脸=否；超分=否；素材库=否；NSFW=否；协议=待确认；原状态=空；原表状态为空，默认停用待确认</x:v>
      </x:c>
      <x:c r="L62" s="23" t="str">
        <x:f t="shared" si="1">IF(A62="","",IF(COUNTIF($A$5:$A$1004,A62)&gt;1,"错误:重复映射ID",IF(OR(B62="",C62="",D62="",G62=""),"错误:必填项",IF(E62="","警告:SKU待映射","OK"))))</x:f>
        <x:v>OK</x:v>
      </x:c>
    </x:row>
    <x:row r="63" ht="39.599998474121094" hidden="1" customHeight="1">
      <x:c r="A63" s="2" t="str">
        <x:v>MAP-8YES-R63-4K</x:v>
      </x:c>
      <x:c r="B63" s="2" t="str">
        <x:v>seedance-2.0-4k</x:v>
      </x:c>
      <x:c r="C63" s="2" t="str">
        <x:v>CH-8YES</x:v>
      </x:c>
      <x:c r="D63" s="2" t="str">
        <x:v>seedance-2.0-4k</x:v>
      </x:c>
      <x:c r="E63" s="2" t="str">
        <x:v>SKU-SD20-STD-4K</x:v>
      </x:c>
      <x:c r="F63" s="2" t="str">
        <x:v>no_video</x:v>
      </x:c>
      <x:c r="G63" s="2" t="str">
        <x:v>否</x:v>
      </x:c>
      <x:c r="H63" s="20" t="n">
        <x:v>46229.393565162034</x:v>
      </x:c>
      <x:c r="I63" s="20"/>
      <x:c r="J63" s="2" t="str">
        <x:v>SRC-CH-04</x:v>
      </x:c>
      <x:c r="K63" s="7" t="str">
        <x:v>源行=sd!63；时长=4-15；比例=不限；视频输入=是；真人脸=否；超分=否；素材库=否；NSFW=否；协议=待确认；原状态=空；原表状态为空，默认停用待确认</x:v>
      </x:c>
      <x:c r="L63" s="23" t="str">
        <x:f t="shared" si="1">IF(A63="","",IF(COUNTIF($A$5:$A$1004,A63)&gt;1,"错误:重复映射ID",IF(OR(B63="",C63="",D63="",G63=""),"错误:必填项",IF(E63="","警告:SKU待映射","OK"))))</x:f>
        <x:v>OK</x:v>
      </x:c>
    </x:row>
    <x:row r="64" ht="39.599998474121094" hidden="1" customHeight="1">
      <x:c r="A64" s="2" t="str">
        <x:v>MAP-8YES-R64-720</x:v>
      </x:c>
      <x:c r="B64" s="2" t="str">
        <x:v>seedance-2.0-720p</x:v>
      </x:c>
      <x:c r="C64" s="2" t="str">
        <x:v>CH-8YES</x:v>
      </x:c>
      <x:c r="D64" s="2" t="str">
        <x:v>seedance-2.0-720p</x:v>
      </x:c>
      <x:c r="E64" s="2" t="str">
        <x:v>SKU-SD20-STD-720</x:v>
      </x:c>
      <x:c r="F64" s="2" t="str">
        <x:v>no_video</x:v>
      </x:c>
      <x:c r="G64" s="2" t="str">
        <x:v>否</x:v>
      </x:c>
      <x:c r="H64" s="20" t="n">
        <x:v>46229.393565162034</x:v>
      </x:c>
      <x:c r="I64" s="20"/>
      <x:c r="J64" s="2" t="str">
        <x:v>SRC-CH-04</x:v>
      </x:c>
      <x:c r="K64" s="7" t="str">
        <x:v>源行=sd!64；时长=4-15；比例=不限；视频输入=是；真人脸=否；超分=否；素材库=否；NSFW=否；协议=待确认；原状态=空；原表状态为空，默认停用待确认</x:v>
      </x:c>
      <x:c r="L64" s="23" t="str">
        <x:f t="shared" si="1">IF(A64="","",IF(COUNTIF($A$5:$A$1004,A64)&gt;1,"错误:重复映射ID",IF(OR(B64="",C64="",D64="",G64=""),"错误:必填项",IF(E64="","警告:SKU待映射","OK"))))</x:f>
        <x:v>OK</x:v>
      </x:c>
    </x:row>
    <x:row r="65" ht="39.599998474121094" hidden="1" customHeight="1">
      <x:c r="A65" s="2" t="str">
        <x:v>MAP-SECURE-R66-720</x:v>
      </x:c>
      <x:c r="B65" s="2" t="str">
        <x:v>video-2.0-pro</x:v>
      </x:c>
      <x:c r="C65" s="2" t="str">
        <x:v>CH-SECURE</x:v>
      </x:c>
      <x:c r="D65" s="2" t="str">
        <x:v>video-2.0-pro</x:v>
      </x:c>
      <x:c r="E65" s="2" t="str">
        <x:v>SKU-SD20-STD-720</x:v>
      </x:c>
      <x:c r="F65" s="2" t="str">
        <x:v>no_video</x:v>
      </x:c>
      <x:c r="G65" s="2" t="str">
        <x:v>否</x:v>
      </x:c>
      <x:c r="H65" s="20" t="n">
        <x:v>46229.393565162034</x:v>
      </x:c>
      <x:c r="I65" s="20"/>
      <x:c r="J65" s="2" t="str">
        <x:v>SRC-CH-05</x:v>
      </x:c>
      <x:c r="K65" s="7" t="str">
        <x:v>源行=sd!66；时长=4-15；比例=不限；视频输入=否；真人脸=是；超分=否；素材库=否；NSFW=否；协议=待确认；原状态=空；素材限制=903；原表状态为空，默认停用待确认；火山URL，500并发</x:v>
      </x:c>
      <x:c r="L65" s="23" t="str">
        <x:f t="shared" si="1">IF(A65="","",IF(COUNTIF($A$5:$A$1004,A65)&gt;1,"错误:重复映射ID",IF(OR(B65="",C65="",D65="",G65=""),"错误:必填项",IF(E65="","警告:SKU待映射","OK"))))</x:f>
        <x:v>OK</x:v>
      </x:c>
    </x:row>
    <x:row r="66" ht="39.599998474121094" hidden="1" customHeight="1">
      <x:c r="A66" s="2" t="str">
        <x:v>MAP-SECURE-R67-720</x:v>
      </x:c>
      <x:c r="B66" s="2" t="str">
        <x:v>video-2.0-pro</x:v>
      </x:c>
      <x:c r="C66" s="2" t="str">
        <x:v>CH-SECURE</x:v>
      </x:c>
      <x:c r="D66" s="2" t="str">
        <x:v>video-2.0-pro</x:v>
      </x:c>
      <x:c r="E66" s="2" t="str">
        <x:v>SKU-SD20-STD-720</x:v>
      </x:c>
      <x:c r="F66" s="2" t="str">
        <x:v>no_video</x:v>
      </x:c>
      <x:c r="G66" s="2" t="str">
        <x:v>否</x:v>
      </x:c>
      <x:c r="H66" s="20" t="n">
        <x:v>46229.393565162034</x:v>
      </x:c>
      <x:c r="I66" s="20"/>
      <x:c r="J66" s="2" t="str">
        <x:v>SRC-CH-05</x:v>
      </x:c>
      <x:c r="K66" s="7" t="str">
        <x:v>源行=sd!67；时长=4-15；比例=不限；视频输入=否；真人脸=是；超分=否；素材库=否；NSFW=否；协议=待确认；原状态=空；素材限制=933；原表状态为空，默认停用待确认</x:v>
      </x:c>
      <x:c r="L66" s="23" t="str">
        <x:f t="shared" si="1">IF(A66="","",IF(COUNTIF($A$5:$A$1004,A66)&gt;1,"错误:重复映射ID",IF(OR(B66="",C66="",D66="",G66=""),"错误:必填项",IF(E66="","警告:SKU待映射","OK"))))</x:f>
        <x:v>OK</x:v>
      </x:c>
    </x:row>
    <x:row r="67" ht="39.599998474121094" hidden="1" customHeight="1">
      <x:c r="A67" s="2" t="str">
        <x:v>MAP-SECURE-R68-1080</x:v>
      </x:c>
      <x:c r="B67" s="2" t="str">
        <x:v>video-2.0-pro</x:v>
      </x:c>
      <x:c r="C67" s="2" t="str">
        <x:v>CH-SECURE</x:v>
      </x:c>
      <x:c r="D67" s="2" t="str">
        <x:v>video-2.0-pro</x:v>
      </x:c>
      <x:c r="E67" s="2" t="str">
        <x:v>SKU-SD20-STD-1080</x:v>
      </x:c>
      <x:c r="F67" s="2" t="str">
        <x:v>no_video</x:v>
      </x:c>
      <x:c r="G67" s="2" t="str">
        <x:v>否</x:v>
      </x:c>
      <x:c r="H67" s="20" t="n">
        <x:v>46229.393565162034</x:v>
      </x:c>
      <x:c r="I67" s="20"/>
      <x:c r="J67" s="2" t="str">
        <x:v>SRC-CH-05</x:v>
      </x:c>
      <x:c r="K67" s="7" t="str">
        <x:v>源行=sd!68；时长=4-15；比例=不限；视频输入=否；真人脸=否；超分=否；素材库=否；NSFW=否；协议=待确认；原状态=空；素材限制=933；原表状态为空，默认停用待确认</x:v>
      </x:c>
      <x:c r="L67" s="23" t="str">
        <x:f t="shared" si="1">IF(A67="","",IF(COUNTIF($A$5:$A$1004,A67)&gt;1,"错误:重复映射ID",IF(OR(B67="",C67="",D67="",G67=""),"错误:必填项",IF(E67="","警告:SKU待映射","OK"))))</x:f>
        <x:v>OK</x:v>
      </x:c>
    </x:row>
    <x:row r="68" ht="39.599998474121094" hidden="1" customHeight="1">
      <x:c r="A68" s="2" t="str">
        <x:v>MAP-SECURE-R69-4K</x:v>
      </x:c>
      <x:c r="B68" s="2" t="str">
        <x:v>video-2.0-pro</x:v>
      </x:c>
      <x:c r="C68" s="2" t="str">
        <x:v>CH-SECURE</x:v>
      </x:c>
      <x:c r="D68" s="2" t="str">
        <x:v>video-2.0-pro</x:v>
      </x:c>
      <x:c r="E68" s="2" t="str">
        <x:v>SKU-SD20-STD-4K</x:v>
      </x:c>
      <x:c r="F68" s="2" t="str">
        <x:v>no_video</x:v>
      </x:c>
      <x:c r="G68" s="2" t="str">
        <x:v>否</x:v>
      </x:c>
      <x:c r="H68" s="20" t="n">
        <x:v>46229.393565162034</x:v>
      </x:c>
      <x:c r="I68" s="20"/>
      <x:c r="J68" s="2" t="str">
        <x:v>SRC-CH-05</x:v>
      </x:c>
      <x:c r="K68" s="7" t="str">
        <x:v>源行=sd!69；时长=4-15；比例=不限；视频输入=否；真人脸=否；超分=否；素材库=否；NSFW=否；协议=待确认；原状态=空；素材限制=933；原表状态为空，默认停用待确认</x:v>
      </x:c>
      <x:c r="L68" s="23" t="str">
        <x:f t="shared" si="1">IF(A68="","",IF(COUNTIF($A$5:$A$1004,A68)&gt;1,"错误:重复映射ID",IF(OR(B68="",C68="",D68="",G68=""),"错误:必填项",IF(E68="","警告:SKU待映射","OK"))))</x:f>
        <x:v>OK</x:v>
      </x:c>
    </x:row>
    <x:row r="69" ht="39.599998474121094" hidden="1" customHeight="1">
      <x:c r="A69" s="2" t="str">
        <x:v>MAP-SECURE-R70-720</x:v>
      </x:c>
      <x:c r="B69" s="2" t="str">
        <x:v>video-2.0-fast</x:v>
      </x:c>
      <x:c r="C69" s="2" t="str">
        <x:v>CH-SECURE</x:v>
      </x:c>
      <x:c r="D69" s="2" t="str">
        <x:v>video-2.0-fast</x:v>
      </x:c>
      <x:c r="E69" s="2" t="str">
        <x:v>SKU-SD20-FAST-720</x:v>
      </x:c>
      <x:c r="F69" s="2" t="str">
        <x:v>no_video</x:v>
      </x:c>
      <x:c r="G69" s="2" t="str">
        <x:v>否</x:v>
      </x:c>
      <x:c r="H69" s="20" t="n">
        <x:v>46229.393565162034</x:v>
      </x:c>
      <x:c r="I69" s="20"/>
      <x:c r="J69" s="2" t="str">
        <x:v>SRC-CH-05</x:v>
      </x:c>
      <x:c r="K69" s="7" t="str">
        <x:v>源行=sd!70；时长=4-15；比例=不限；视频输入=否；真人脸=否；超分=否；素材库=否；NSFW=否；协议=待确认；原状态=空；素材限制=933；原表状态为空，默认停用待确认</x:v>
      </x:c>
      <x:c r="L69" s="23" t="str">
        <x:f t="shared" ref="L69:L100" si="2">IF(A69="","",IF(COUNTIF($A$5:$A$1004,A69)&gt;1,"错误:重复映射ID",IF(OR(B69="",C69="",D69="",G69=""),"错误:必填项",IF(E69="","警告:SKU待映射","OK"))))</x:f>
        <x:v>OK</x:v>
      </x:c>
    </x:row>
    <x:row r="70" ht="39.599998474121094" hidden="1" customHeight="1">
      <x:c r="A70" s="2" t="str">
        <x:v>MAP-SECURE-R70-480</x:v>
      </x:c>
      <x:c r="B70" s="2" t="str">
        <x:v>video-2.0-fast</x:v>
      </x:c>
      <x:c r="C70" s="2" t="str">
        <x:v>CH-SECURE</x:v>
      </x:c>
      <x:c r="D70" s="2" t="str">
        <x:v>video-2.0-fast</x:v>
      </x:c>
      <x:c r="E70" s="2" t="str">
        <x:v>SKU-SD20-FAST-480</x:v>
      </x:c>
      <x:c r="F70" s="2" t="str">
        <x:v>no_video</x:v>
      </x:c>
      <x:c r="G70" s="2" t="str">
        <x:v>否</x:v>
      </x:c>
      <x:c r="H70" s="20" t="n">
        <x:v>46229.393565162034</x:v>
      </x:c>
      <x:c r="I70" s="20"/>
      <x:c r="J70" s="2" t="str">
        <x:v>SRC-CH-05</x:v>
      </x:c>
      <x:c r="K70" s="7" t="str">
        <x:v>源行=sd!70；时长=4-15；比例=不限；视频输入=否；真人脸=否；超分=否；素材库=否；NSFW=否；协议=待确认；原状态=空；素材限制=933；原表状态为空，默认停用待确认</x:v>
      </x:c>
      <x:c r="L70" s="23" t="str">
        <x:f t="shared" si="2">IF(A70="","",IF(COUNTIF($A$5:$A$1004,A70)&gt;1,"错误:重复映射ID",IF(OR(B70="",C70="",D70="",G70=""),"错误:必填项",IF(E70="","警告:SKU待映射","OK"))))</x:f>
        <x:v>OK</x:v>
      </x:c>
    </x:row>
    <x:row r="71" ht="39.599998474121094" hidden="1" customHeight="1">
      <x:c r="A71" s="2" t="str">
        <x:v>MAP-SECURE-R71-720</x:v>
      </x:c>
      <x:c r="B71" s="2" t="str">
        <x:v>video-2.0-mini</x:v>
      </x:c>
      <x:c r="C71" s="2" t="str">
        <x:v>CH-SECURE</x:v>
      </x:c>
      <x:c r="D71" s="2" t="str">
        <x:v>video-2.0-mini</x:v>
      </x:c>
      <x:c r="E71" s="2" t="str">
        <x:v>SKU-SD20-MINI-720</x:v>
      </x:c>
      <x:c r="F71" s="2" t="str">
        <x:v>no_video</x:v>
      </x:c>
      <x:c r="G71" s="2" t="str">
        <x:v>否</x:v>
      </x:c>
      <x:c r="H71" s="20" t="n">
        <x:v>46229.393565162034</x:v>
      </x:c>
      <x:c r="I71" s="20"/>
      <x:c r="J71" s="2" t="str">
        <x:v>SRC-CH-05</x:v>
      </x:c>
      <x:c r="K71" s="7" t="str">
        <x:v>源行=sd!71；时长=4-15；比例=不限；视频输入=否；真人脸=否；超分=否；素材库=否；NSFW=否；协议=待确认；原状态=空；素材限制=933；原表状态为空，默认停用待确认</x:v>
      </x:c>
      <x:c r="L71" s="23" t="str">
        <x:f t="shared" si="2">IF(A71="","",IF(COUNTIF($A$5:$A$1004,A71)&gt;1,"错误:重复映射ID",IF(OR(B71="",C71="",D71="",G71=""),"错误:必填项",IF(E71="","警告:SKU待映射","OK"))))</x:f>
        <x:v>OK</x:v>
      </x:c>
    </x:row>
    <x:row r="72" ht="39.599998474121094" hidden="1" customHeight="1">
      <x:c r="A72" s="2" t="str">
        <x:v>MAP-SECURE-R71-480</x:v>
      </x:c>
      <x:c r="B72" s="2" t="str">
        <x:v>video-2.0-mini</x:v>
      </x:c>
      <x:c r="C72" s="2" t="str">
        <x:v>CH-SECURE</x:v>
      </x:c>
      <x:c r="D72" s="2" t="str">
        <x:v>video-2.0-mini</x:v>
      </x:c>
      <x:c r="E72" s="2" t="str">
        <x:v>SKU-SD20-MINI-480</x:v>
      </x:c>
      <x:c r="F72" s="2" t="str">
        <x:v>no_video</x:v>
      </x:c>
      <x:c r="G72" s="2" t="str">
        <x:v>否</x:v>
      </x:c>
      <x:c r="H72" s="20" t="n">
        <x:v>46229.393565162034</x:v>
      </x:c>
      <x:c r="I72" s="20"/>
      <x:c r="J72" s="2" t="str">
        <x:v>SRC-CH-05</x:v>
      </x:c>
      <x:c r="K72" s="7" t="str">
        <x:v>源行=sd!71；时长=4-15；比例=不限；视频输入=否；真人脸=否；超分=否；素材库=否；NSFW=否；协议=待确认；原状态=空；素材限制=933；原表状态为空，默认停用待确认</x:v>
      </x:c>
      <x:c r="L72" s="23" t="str">
        <x:f t="shared" si="2">IF(A72="","",IF(COUNTIF($A$5:$A$1004,A72)&gt;1,"错误:重复映射ID",IF(OR(B72="",C72="",D72="",G72=""),"错误:必填项",IF(E72="","警告:SKU待映射","OK"))))</x:f>
        <x:v>OK</x:v>
      </x:c>
    </x:row>
    <x:row r="73" ht="39.599998474121094" hidden="1" customHeight="1">
      <x:c r="A73" s="2" t="str">
        <x:v>MAP-SECURE-R72-720</x:v>
      </x:c>
      <x:c r="B73" s="2" t="str">
        <x:v>video-2.0-pro</x:v>
      </x:c>
      <x:c r="C73" s="2" t="str">
        <x:v>CH-SECURE</x:v>
      </x:c>
      <x:c r="D73" s="2" t="str">
        <x:v>video-2.0-pro</x:v>
      </x:c>
      <x:c r="E73" s="2" t="str">
        <x:v>SKU-SD20-STD-720</x:v>
      </x:c>
      <x:c r="F73" s="2" t="str">
        <x:v>no_video</x:v>
      </x:c>
      <x:c r="G73" s="2" t="str">
        <x:v>否</x:v>
      </x:c>
      <x:c r="H73" s="20" t="n">
        <x:v>46229.393565162034</x:v>
      </x:c>
      <x:c r="I73" s="20"/>
      <x:c r="J73" s="2" t="str">
        <x:v>SRC-CH-05</x:v>
      </x:c>
      <x:c r="K73" s="7" t="str">
        <x:v>源行=sd!72；时长=4-15；比例=不限；视频输入=否；真人脸=是；超分=否；素材库=否；NSFW=否；协议=待确认；原状态=空；素材限制=933；原表状态为空，默认停用待确认；海外</x:v>
      </x:c>
      <x:c r="L73" s="23" t="str">
        <x:f t="shared" si="2">IF(A73="","",IF(COUNTIF($A$5:$A$1004,A73)&gt;1,"错误:重复映射ID",IF(OR(B73="",C73="",D73="",G73=""),"错误:必填项",IF(E73="","警告:SKU待映射","OK"))))</x:f>
        <x:v>OK</x:v>
      </x:c>
    </x:row>
    <x:row r="74" ht="39.599998474121094" hidden="1" customHeight="1">
      <x:c r="A74" s="2" t="str">
        <x:v>MAP-SECURE-R73-1080</x:v>
      </x:c>
      <x:c r="B74" s="2" t="str">
        <x:v>video-2.0-pro</x:v>
      </x:c>
      <x:c r="C74" s="2" t="str">
        <x:v>CH-SECURE</x:v>
      </x:c>
      <x:c r="D74" s="2" t="str">
        <x:v>video-2.0-pro</x:v>
      </x:c>
      <x:c r="E74" s="2" t="str">
        <x:v>SKU-SD20-STD-1080</x:v>
      </x:c>
      <x:c r="F74" s="2" t="str">
        <x:v>no_video</x:v>
      </x:c>
      <x:c r="G74" s="2" t="str">
        <x:v>否</x:v>
      </x:c>
      <x:c r="H74" s="20" t="n">
        <x:v>46229.393565162034</x:v>
      </x:c>
      <x:c r="I74" s="20"/>
      <x:c r="J74" s="2" t="str">
        <x:v>SRC-CH-05</x:v>
      </x:c>
      <x:c r="K74" s="7" t="str">
        <x:v>源行=sd!73；时长=4-15；比例=不限；视频输入=否；真人脸=是；超分=否；素材库=否；NSFW=否；协议=待确认；原状态=空；素材限制=933；原表状态为空，默认停用待确认；海外</x:v>
      </x:c>
      <x:c r="L74" s="23" t="str">
        <x:f t="shared" si="2">IF(A74="","",IF(COUNTIF($A$5:$A$1004,A74)&gt;1,"错误:重复映射ID",IF(OR(B74="",C74="",D74="",G74=""),"错误:必填项",IF(E74="","警告:SKU待映射","OK"))))</x:f>
        <x:v>OK</x:v>
      </x:c>
    </x:row>
    <x:row r="75" ht="39.599998474121094" hidden="1" customHeight="1">
      <x:c r="A75" s="2" t="str">
        <x:v>MAP-SECURE-R74-720</x:v>
      </x:c>
      <x:c r="B75" s="2" t="str">
        <x:v>video-2.0-fast</x:v>
      </x:c>
      <x:c r="C75" s="2" t="str">
        <x:v>CH-SECURE</x:v>
      </x:c>
      <x:c r="D75" s="2" t="str">
        <x:v>video-2.0-fast</x:v>
      </x:c>
      <x:c r="E75" s="2" t="str">
        <x:v>SKU-SD20-FAST-720</x:v>
      </x:c>
      <x:c r="F75" s="2" t="str">
        <x:v>no_video</x:v>
      </x:c>
      <x:c r="G75" s="2" t="str">
        <x:v>否</x:v>
      </x:c>
      <x:c r="H75" s="20" t="n">
        <x:v>46229.393565162034</x:v>
      </x:c>
      <x:c r="I75" s="20"/>
      <x:c r="J75" s="2" t="str">
        <x:v>SRC-CH-05</x:v>
      </x:c>
      <x:c r="K75" s="7" t="str">
        <x:v>源行=sd!74；时长=4-15；比例=不限；视频输入=否；真人脸=是；超分=否；素材库=否；NSFW=否；协议=待确认；原状态=空；素材限制=933；原表状态为空，默认停用待确认；海外</x:v>
      </x:c>
      <x:c r="L75" s="23" t="str">
        <x:f t="shared" si="2">IF(A75="","",IF(COUNTIF($A$5:$A$1004,A75)&gt;1,"错误:重复映射ID",IF(OR(B75="",C75="",D75="",G75=""),"错误:必填项",IF(E75="","警告:SKU待映射","OK"))))</x:f>
        <x:v>OK</x:v>
      </x:c>
    </x:row>
    <x:row r="76" ht="39.599998474121094" hidden="1" customHeight="1">
      <x:c r="A76" s="2" t="str">
        <x:v>MAP-SECURE-R74-480</x:v>
      </x:c>
      <x:c r="B76" s="2" t="str">
        <x:v>video-2.0-fast</x:v>
      </x:c>
      <x:c r="C76" s="2" t="str">
        <x:v>CH-SECURE</x:v>
      </x:c>
      <x:c r="D76" s="2" t="str">
        <x:v>video-2.0-fast</x:v>
      </x:c>
      <x:c r="E76" s="2" t="str">
        <x:v>SKU-SD20-FAST-480</x:v>
      </x:c>
      <x:c r="F76" s="2" t="str">
        <x:v>no_video</x:v>
      </x:c>
      <x:c r="G76" s="2" t="str">
        <x:v>否</x:v>
      </x:c>
      <x:c r="H76" s="20" t="n">
        <x:v>46229.393565162034</x:v>
      </x:c>
      <x:c r="I76" s="20"/>
      <x:c r="J76" s="2" t="str">
        <x:v>SRC-CH-05</x:v>
      </x:c>
      <x:c r="K76" s="7" t="str">
        <x:v>源行=sd!74；时长=4-15；比例=不限；视频输入=否；真人脸=是；超分=否；素材库=否；NSFW=否；协议=待确认；原状态=空；素材限制=933；原表状态为空，默认停用待确认；海外</x:v>
      </x:c>
      <x:c r="L76" s="23" t="str">
        <x:f t="shared" si="2">IF(A76="","",IF(COUNTIF($A$5:$A$1004,A76)&gt;1,"错误:重复映射ID",IF(OR(B76="",C76="",D76="",G76=""),"错误:必填项",IF(E76="","警告:SKU待映射","OK"))))</x:f>
        <x:v>OK</x:v>
      </x:c>
    </x:row>
    <x:row r="77" ht="39.599998474121094" hidden="1" customHeight="1">
      <x:c r="A77" s="2" t="str">
        <x:v>MAP-SECURE-R75-720</x:v>
      </x:c>
      <x:c r="B77" s="2" t="str">
        <x:v>video-2.0-mini</x:v>
      </x:c>
      <x:c r="C77" s="2" t="str">
        <x:v>CH-SECURE</x:v>
      </x:c>
      <x:c r="D77" s="2" t="str">
        <x:v>video-2.0-mini</x:v>
      </x:c>
      <x:c r="E77" s="2" t="str">
        <x:v>SKU-SD20-MINI-720</x:v>
      </x:c>
      <x:c r="F77" s="2" t="str">
        <x:v>no_video</x:v>
      </x:c>
      <x:c r="G77" s="2" t="str">
        <x:v>否</x:v>
      </x:c>
      <x:c r="H77" s="20" t="n">
        <x:v>46229.393565162034</x:v>
      </x:c>
      <x:c r="I77" s="20"/>
      <x:c r="J77" s="2" t="str">
        <x:v>SRC-CH-05</x:v>
      </x:c>
      <x:c r="K77" s="7" t="str">
        <x:v>源行=sd!75；时长=4-15；比例=不限；视频输入=否；真人脸=是；超分=否；素材库=否；NSFW=否；协议=待确认；原状态=空；素材限制=933；原表状态为空，默认停用待确认；海外</x:v>
      </x:c>
      <x:c r="L77" s="23" t="str">
        <x:f t="shared" si="2">IF(A77="","",IF(COUNTIF($A$5:$A$1004,A77)&gt;1,"错误:重复映射ID",IF(OR(B77="",C77="",D77="",G77=""),"错误:必填项",IF(E77="","警告:SKU待映射","OK"))))</x:f>
        <x:v>OK</x:v>
      </x:c>
    </x:row>
    <x:row r="78" ht="39.599998474121094" hidden="1" customHeight="1">
      <x:c r="A78" s="2" t="str">
        <x:v>MAP-SECURE-R75-480</x:v>
      </x:c>
      <x:c r="B78" s="2" t="str">
        <x:v>video-2.0-mini</x:v>
      </x:c>
      <x:c r="C78" s="2" t="str">
        <x:v>CH-SECURE</x:v>
      </x:c>
      <x:c r="D78" s="2" t="str">
        <x:v>video-2.0-mini</x:v>
      </x:c>
      <x:c r="E78" s="2" t="str">
        <x:v>SKU-SD20-MINI-480</x:v>
      </x:c>
      <x:c r="F78" s="2" t="str">
        <x:v>no_video</x:v>
      </x:c>
      <x:c r="G78" s="2" t="str">
        <x:v>否</x:v>
      </x:c>
      <x:c r="H78" s="20" t="n">
        <x:v>46229.393565162034</x:v>
      </x:c>
      <x:c r="I78" s="20"/>
      <x:c r="J78" s="2" t="str">
        <x:v>SRC-CH-05</x:v>
      </x:c>
      <x:c r="K78" s="7" t="str">
        <x:v>源行=sd!75；时长=4-15；比例=不限；视频输入=否；真人脸=是；超分=否；素材库=否；NSFW=否；协议=待确认；原状态=空；素材限制=933；原表状态为空，默认停用待确认；海外</x:v>
      </x:c>
      <x:c r="L78" s="23" t="str">
        <x:f t="shared" si="2">IF(A78="","",IF(COUNTIF($A$5:$A$1004,A78)&gt;1,"错误:重复映射ID",IF(OR(B78="",C78="",D78="",G78=""),"错误:必填项",IF(E78="","警告:SKU待映射","OK"))))</x:f>
        <x:v>OK</x:v>
      </x:c>
    </x:row>
    <x:row r="79" ht="39.599998474121094" hidden="1" customHeight="1">
      <x:c r="A79" s="2" t="str">
        <x:v>MAP-CANGYUANSUANLI-R77-480</x:v>
      </x:c>
      <x:c r="B79" s="2" t="str">
        <x:v>sd5-seedance-2.0</x:v>
      </x:c>
      <x:c r="C79" s="2" t="str">
        <x:v>CH-CANGYUANSUANLI</x:v>
      </x:c>
      <x:c r="D79" s="2" t="str">
        <x:v>sd5-seedance-2.0</x:v>
      </x:c>
      <x:c r="E79" s="2" t="str">
        <x:v>SKU-SD20-STD-480</x:v>
      </x:c>
      <x:c r="F79" s="2" t="str">
        <x:v>no_video</x:v>
      </x:c>
      <x:c r="G79" s="2" t="str">
        <x:v>否</x:v>
      </x:c>
      <x:c r="H79" s="20" t="n">
        <x:v>46229.393565162034</x:v>
      </x:c>
      <x:c r="I79" s="20"/>
      <x:c r="J79" s="2" t="str">
        <x:v>SRC-CH-06</x:v>
      </x:c>
      <x:c r="K79" s="7" t="str">
        <x:v>源行=sd!77；时长=4-15；比例=9:16, 16:9；视频输入=是；真人脸=否；超分=否；素材库=否；NSFW=否；协议=待确认；原状态=空；素材限制=933；原表状态为空，默认停用待确认</x:v>
      </x:c>
      <x:c r="L79" s="23" t="str">
        <x:f t="shared" si="2">IF(A79="","",IF(COUNTIF($A$5:$A$1004,A79)&gt;1,"错误:重复映射ID",IF(OR(B79="",C79="",D79="",G79=""),"错误:必填项",IF(E79="","警告:SKU待映射","OK"))))</x:f>
        <x:v>OK</x:v>
      </x:c>
    </x:row>
    <x:row r="80" ht="39.599998474121094" hidden="1" customHeight="1">
      <x:c r="A80" s="2" t="str">
        <x:v>MAP-CANGYUANSUANLI-R77-720</x:v>
      </x:c>
      <x:c r="B80" s="2" t="str">
        <x:v>sd5-seedance-2.0</x:v>
      </x:c>
      <x:c r="C80" s="2" t="str">
        <x:v>CH-CANGYUANSUANLI</x:v>
      </x:c>
      <x:c r="D80" s="2" t="str">
        <x:v>sd5-seedance-2.0</x:v>
      </x:c>
      <x:c r="E80" s="2" t="str">
        <x:v>SKU-SD20-STD-720</x:v>
      </x:c>
      <x:c r="F80" s="2" t="str">
        <x:v>no_video</x:v>
      </x:c>
      <x:c r="G80" s="2" t="str">
        <x:v>否</x:v>
      </x:c>
      <x:c r="H80" s="20" t="n">
        <x:v>46229.393565162034</x:v>
      </x:c>
      <x:c r="I80" s="20"/>
      <x:c r="J80" s="2" t="str">
        <x:v>SRC-CH-06</x:v>
      </x:c>
      <x:c r="K80" s="7" t="str">
        <x:v>源行=sd!77；时长=4-15；比例=9:16, 16:9；视频输入=是；真人脸=否；超分=否；素材库=否；NSFW=否；协议=待确认；原状态=空；素材限制=933；原表状态为空，默认停用待确认</x:v>
      </x:c>
      <x:c r="L80" s="23" t="str">
        <x:f t="shared" si="2">IF(A80="","",IF(COUNTIF($A$5:$A$1004,A80)&gt;1,"错误:重复映射ID",IF(OR(B80="",C80="",D80="",G80=""),"错误:必填项",IF(E80="","警告:SKU待映射","OK"))))</x:f>
        <x:v>OK</x:v>
      </x:c>
    </x:row>
    <x:row r="81" ht="39.599998474121094" hidden="1" customHeight="1">
      <x:c r="A81" s="2" t="str">
        <x:v>MAP-CANGYUANSUANLI-R78-480</x:v>
      </x:c>
      <x:c r="B81" s="2" t="str">
        <x:v>sd5-seedance-2.0-fast</x:v>
      </x:c>
      <x:c r="C81" s="2" t="str">
        <x:v>CH-CANGYUANSUANLI</x:v>
      </x:c>
      <x:c r="D81" s="2" t="str">
        <x:v>sd5-seedance-2.0-fast</x:v>
      </x:c>
      <x:c r="E81" s="2" t="str">
        <x:v>SKU-SD20-FAST-480</x:v>
      </x:c>
      <x:c r="F81" s="2" t="str">
        <x:v>no_video</x:v>
      </x:c>
      <x:c r="G81" s="2" t="str">
        <x:v>否</x:v>
      </x:c>
      <x:c r="H81" s="20" t="n">
        <x:v>46229.393565162034</x:v>
      </x:c>
      <x:c r="I81" s="20"/>
      <x:c r="J81" s="2" t="str">
        <x:v>SRC-CH-06</x:v>
      </x:c>
      <x:c r="K81" s="7" t="str">
        <x:v>源行=sd!78；时长=4-15；比例=9:16, 16:9；视频输入=是；真人脸=否；超分=否；素材库=否；NSFW=否；协议=待确认；原状态=空；素材限制=933；原表状态为空，默认停用待确认</x:v>
      </x:c>
      <x:c r="L81" s="23" t="str">
        <x:f t="shared" si="2">IF(A81="","",IF(COUNTIF($A$5:$A$1004,A81)&gt;1,"错误:重复映射ID",IF(OR(B81="",C81="",D81="",G81=""),"错误:必填项",IF(E81="","警告:SKU待映射","OK"))))</x:f>
        <x:v>OK</x:v>
      </x:c>
    </x:row>
    <x:row r="82" ht="39.599998474121094" hidden="1" customHeight="1">
      <x:c r="A82" s="2" t="str">
        <x:v>MAP-CANGYUANSUANLI-R78-720</x:v>
      </x:c>
      <x:c r="B82" s="2" t="str">
        <x:v>sd5-seedance-2.0-fast</x:v>
      </x:c>
      <x:c r="C82" s="2" t="str">
        <x:v>CH-CANGYUANSUANLI</x:v>
      </x:c>
      <x:c r="D82" s="2" t="str">
        <x:v>sd5-seedance-2.0-fast</x:v>
      </x:c>
      <x:c r="E82" s="2" t="str">
        <x:v>SKU-SD20-FAST-720</x:v>
      </x:c>
      <x:c r="F82" s="2" t="str">
        <x:v>no_video</x:v>
      </x:c>
      <x:c r="G82" s="2" t="str">
        <x:v>否</x:v>
      </x:c>
      <x:c r="H82" s="20" t="n">
        <x:v>46229.393565162034</x:v>
      </x:c>
      <x:c r="I82" s="20"/>
      <x:c r="J82" s="2" t="str">
        <x:v>SRC-CH-06</x:v>
      </x:c>
      <x:c r="K82" s="7" t="str">
        <x:v>源行=sd!78；时长=4-15；比例=9:16, 16:9；视频输入=是；真人脸=否；超分=否；素材库=否；NSFW=否；协议=待确认；原状态=空；素材限制=933；原表状态为空，默认停用待确认</x:v>
      </x:c>
      <x:c r="L82" s="23" t="str">
        <x:f t="shared" si="2">IF(A82="","",IF(COUNTIF($A$5:$A$1004,A82)&gt;1,"错误:重复映射ID",IF(OR(B82="",C82="",D82="",G82=""),"错误:必填项",IF(E82="","警告:SKU待映射","OK"))))</x:f>
        <x:v>OK</x:v>
      </x:c>
    </x:row>
    <x:row r="83" ht="39.599998474121094" hidden="1" customHeight="1">
      <x:c r="A83" s="2" t="str">
        <x:v>MAP-CANGYUANSUANLI-R79-480</x:v>
      </x:c>
      <x:c r="B83" s="2" t="str">
        <x:v>seedance-2.0</x:v>
      </x:c>
      <x:c r="C83" s="2" t="str">
        <x:v>CH-CANGYUANSUANLI</x:v>
      </x:c>
      <x:c r="D83" s="2" t="str">
        <x:v>seedance-2.0</x:v>
      </x:c>
      <x:c r="E83" s="2" t="str">
        <x:v>SKU-SD20-STD-480</x:v>
      </x:c>
      <x:c r="F83" s="2" t="str">
        <x:v>no_video</x:v>
      </x:c>
      <x:c r="G83" s="2" t="str">
        <x:v>否</x:v>
      </x:c>
      <x:c r="H83" s="20" t="n">
        <x:v>46229.393565162034</x:v>
      </x:c>
      <x:c r="I83" s="20"/>
      <x:c r="J83" s="2" t="str">
        <x:v>SRC-CH-06</x:v>
      </x:c>
      <x:c r="K83" s="7" t="str">
        <x:v>源行=sd!79；时长=4-15；比例=不限；视频输入=是；真人脸=否；超分=否；素材库=否；NSFW=否；协议=待确认；原状态=空；素材限制=933；原表状态为空，默认停用待确认</x:v>
      </x:c>
      <x:c r="L83" s="23" t="str">
        <x:f t="shared" si="2">IF(A83="","",IF(COUNTIF($A$5:$A$1004,A83)&gt;1,"错误:重复映射ID",IF(OR(B83="",C83="",D83="",G83=""),"错误:必填项",IF(E83="","警告:SKU待映射","OK"))))</x:f>
        <x:v>OK</x:v>
      </x:c>
    </x:row>
    <x:row r="84" ht="39.599998474121094" hidden="1" customHeight="1">
      <x:c r="A84" s="2" t="str">
        <x:v>MAP-CANGYUANSUANLI-R79-720</x:v>
      </x:c>
      <x:c r="B84" s="2" t="str">
        <x:v>seedance-2.0</x:v>
      </x:c>
      <x:c r="C84" s="2" t="str">
        <x:v>CH-CANGYUANSUANLI</x:v>
      </x:c>
      <x:c r="D84" s="2" t="str">
        <x:v>seedance-2.0</x:v>
      </x:c>
      <x:c r="E84" s="2" t="str">
        <x:v>SKU-SD20-STD-720</x:v>
      </x:c>
      <x:c r="F84" s="2" t="str">
        <x:v>no_video</x:v>
      </x:c>
      <x:c r="G84" s="2" t="str">
        <x:v>否</x:v>
      </x:c>
      <x:c r="H84" s="20" t="n">
        <x:v>46229.393565162034</x:v>
      </x:c>
      <x:c r="I84" s="20"/>
      <x:c r="J84" s="2" t="str">
        <x:v>SRC-CH-06</x:v>
      </x:c>
      <x:c r="K84" s="7" t="str">
        <x:v>源行=sd!79；时长=4-15；比例=不限；视频输入=是；真人脸=否；超分=否；素材库=否；NSFW=否；协议=待确认；原状态=空；素材限制=933；原表状态为空，默认停用待确认</x:v>
      </x:c>
      <x:c r="L84" s="23" t="str">
        <x:f t="shared" si="2">IF(A84="","",IF(COUNTIF($A$5:$A$1004,A84)&gt;1,"错误:重复映射ID",IF(OR(B84="",C84="",D84="",G84=""),"错误:必填项",IF(E84="","警告:SKU待映射","OK"))))</x:f>
        <x:v>OK</x:v>
      </x:c>
    </x:row>
    <x:row r="85" ht="39.599998474121094" hidden="1" customHeight="1">
      <x:c r="A85" s="2" t="str">
        <x:v>MAP-CANGYUANSUANLI-R80-480</x:v>
      </x:c>
      <x:c r="B85" s="2" t="str">
        <x:v>seedance-2.0-fast</x:v>
      </x:c>
      <x:c r="C85" s="2" t="str">
        <x:v>CH-CANGYUANSUANLI</x:v>
      </x:c>
      <x:c r="D85" s="2" t="str">
        <x:v>seedance-2.0-fast</x:v>
      </x:c>
      <x:c r="E85" s="2" t="str">
        <x:v>SKU-SD20-FAST-480</x:v>
      </x:c>
      <x:c r="F85" s="2" t="str">
        <x:v>no_video</x:v>
      </x:c>
      <x:c r="G85" s="2" t="str">
        <x:v>否</x:v>
      </x:c>
      <x:c r="H85" s="20" t="n">
        <x:v>46229.393565162034</x:v>
      </x:c>
      <x:c r="I85" s="20"/>
      <x:c r="J85" s="2" t="str">
        <x:v>SRC-CH-06</x:v>
      </x:c>
      <x:c r="K85" s="7" t="str">
        <x:v>源行=sd!80；时长=4-15；比例=不限；视频输入=是；真人脸=否；超分=否；素材库=否；NSFW=否；协议=待确认；原状态=空；素材限制=933；原表状态为空，默认停用待确认</x:v>
      </x:c>
      <x:c r="L85" s="23" t="str">
        <x:f t="shared" si="2">IF(A85="","",IF(COUNTIF($A$5:$A$1004,A85)&gt;1,"错误:重复映射ID",IF(OR(B85="",C85="",D85="",G85=""),"错误:必填项",IF(E85="","警告:SKU待映射","OK"))))</x:f>
        <x:v>OK</x:v>
      </x:c>
    </x:row>
    <x:row r="86" ht="39.599998474121094" hidden="1" customHeight="1">
      <x:c r="A86" s="2" t="str">
        <x:v>MAP-CANGYUANSUANLI-R80-720</x:v>
      </x:c>
      <x:c r="B86" s="2" t="str">
        <x:v>seedance-2.0-fast</x:v>
      </x:c>
      <x:c r="C86" s="2" t="str">
        <x:v>CH-CANGYUANSUANLI</x:v>
      </x:c>
      <x:c r="D86" s="2" t="str">
        <x:v>seedance-2.0-fast</x:v>
      </x:c>
      <x:c r="E86" s="2" t="str">
        <x:v>SKU-SD20-FAST-720</x:v>
      </x:c>
      <x:c r="F86" s="2" t="str">
        <x:v>no_video</x:v>
      </x:c>
      <x:c r="G86" s="2" t="str">
        <x:v>否</x:v>
      </x:c>
      <x:c r="H86" s="20" t="n">
        <x:v>46229.393565162034</x:v>
      </x:c>
      <x:c r="I86" s="20"/>
      <x:c r="J86" s="2" t="str">
        <x:v>SRC-CH-06</x:v>
      </x:c>
      <x:c r="K86" s="7" t="str">
        <x:v>源行=sd!80；时长=4-15；比例=不限；视频输入=是；真人脸=否；超分=否；素材库=否；NSFW=否；协议=待确认；原状态=空；素材限制=933；原表状态为空，默认停用待确认</x:v>
      </x:c>
      <x:c r="L86" s="23" t="str">
        <x:f t="shared" si="2">IF(A86="","",IF(COUNTIF($A$5:$A$1004,A86)&gt;1,"错误:重复映射ID",IF(OR(B86="",C86="",D86="",G86=""),"错误:必填项",IF(E86="","警告:SKU待映射","OK"))))</x:f>
        <x:v>OK</x:v>
      </x:c>
    </x:row>
    <x:row r="87" ht="39.599998474121094" hidden="1" customHeight="1">
      <x:c r="A87" s="2" t="str">
        <x:v>MAP-CANGYUANSUANLI-R81-480</x:v>
      </x:c>
      <x:c r="B87" s="2" t="str">
        <x:v>seedance-2.0-mini</x:v>
      </x:c>
      <x:c r="C87" s="2" t="str">
        <x:v>CH-CANGYUANSUANLI</x:v>
      </x:c>
      <x:c r="D87" s="2" t="str">
        <x:v>seedance-2.0-mini</x:v>
      </x:c>
      <x:c r="E87" s="2" t="str">
        <x:v>SKU-SD20-MINI-480</x:v>
      </x:c>
      <x:c r="F87" s="2" t="str">
        <x:v>no_video</x:v>
      </x:c>
      <x:c r="G87" s="2" t="str">
        <x:v>否</x:v>
      </x:c>
      <x:c r="H87" s="20" t="n">
        <x:v>46229.393565162034</x:v>
      </x:c>
      <x:c r="I87" s="20"/>
      <x:c r="J87" s="2" t="str">
        <x:v>SRC-CH-06</x:v>
      </x:c>
      <x:c r="K87" s="7" t="str">
        <x:v>源行=sd!81；时长=4-15；比例=不限；视频输入=是；真人脸=否；超分=否；素材库=否；NSFW=否；协议=待确认；原状态=空；素材限制=933；原表状态为空，默认停用待确认</x:v>
      </x:c>
      <x:c r="L87" s="23" t="str">
        <x:f t="shared" si="2">IF(A87="","",IF(COUNTIF($A$5:$A$1004,A87)&gt;1,"错误:重复映射ID",IF(OR(B87="",C87="",D87="",G87=""),"错误:必填项",IF(E87="","警告:SKU待映射","OK"))))</x:f>
        <x:v>OK</x:v>
      </x:c>
    </x:row>
    <x:row r="88" ht="39.599998474121094" hidden="1" customHeight="1">
      <x:c r="A88" s="2" t="str">
        <x:v>MAP-CANGYUANSUANLI-R81-720</x:v>
      </x:c>
      <x:c r="B88" s="2" t="str">
        <x:v>seedance-2.0-mini</x:v>
      </x:c>
      <x:c r="C88" s="2" t="str">
        <x:v>CH-CANGYUANSUANLI</x:v>
      </x:c>
      <x:c r="D88" s="2" t="str">
        <x:v>seedance-2.0-mini</x:v>
      </x:c>
      <x:c r="E88" s="2" t="str">
        <x:v>SKU-SD20-MINI-720</x:v>
      </x:c>
      <x:c r="F88" s="2" t="str">
        <x:v>no_video</x:v>
      </x:c>
      <x:c r="G88" s="2" t="str">
        <x:v>否</x:v>
      </x:c>
      <x:c r="H88" s="20" t="n">
        <x:v>46229.393565162034</x:v>
      </x:c>
      <x:c r="I88" s="20"/>
      <x:c r="J88" s="2" t="str">
        <x:v>SRC-CH-06</x:v>
      </x:c>
      <x:c r="K88" s="7" t="str">
        <x:v>源行=sd!81；时长=4-15；比例=不限；视频输入=是；真人脸=否；超分=否；素材库=否；NSFW=否；协议=待确认；原状态=空；素材限制=933；原表状态为空，默认停用待确认</x:v>
      </x:c>
      <x:c r="L88" s="23" t="str">
        <x:f t="shared" si="2">IF(A88="","",IF(COUNTIF($A$5:$A$1004,A88)&gt;1,"错误:重复映射ID",IF(OR(B88="",C88="",D88="",G88=""),"错误:必填项",IF(E88="","警告:SKU待映射","OK"))))</x:f>
        <x:v>OK</x:v>
      </x:c>
    </x:row>
    <x:row r="89" ht="39.599998474121094" hidden="1" customHeight="1">
      <x:c r="A89" s="2" t="str">
        <x:v>MAP-DIMENSIO-R83-720</x:v>
      </x:c>
      <x:c r="B89" s="2" t="str">
        <x:v>jimeng-video-seedance-2.0-mini</x:v>
      </x:c>
      <x:c r="C89" s="2" t="str">
        <x:v>CH-DIMENSIO</x:v>
      </x:c>
      <x:c r="D89" s="2" t="str">
        <x:v>jimeng-video-seedance-2.0-mini</x:v>
      </x:c>
      <x:c r="E89" s="2" t="str">
        <x:v>SKU-SD20-MINI-720</x:v>
      </x:c>
      <x:c r="F89" s="2" t="str">
        <x:v>no_video</x:v>
      </x:c>
      <x:c r="G89" s="2" t="str">
        <x:v>是</x:v>
      </x:c>
      <x:c r="H89" s="20" t="n">
        <x:v>46229.393565162034</x:v>
      </x:c>
      <x:c r="I89" s="20"/>
      <x:c r="J89" s="2" t="str">
        <x:v>SRC-CH-07</x:v>
      </x:c>
      <x:c r="K89" s="7" t="str">
        <x:v>源行=sd!83；时长=4-15；比例=不限；视频输入=是；真人脸=否；超分=否；素材库=否；NSFW=否；协议=自有；原状态=正常；素材限制=933；国际剪映URL</x:v>
      </x:c>
      <x:c r="L89" s="23" t="str">
        <x:f t="shared" si="2">IF(A89="","",IF(COUNTIF($A$5:$A$1004,A89)&gt;1,"错误:重复映射ID",IF(OR(B89="",C89="",D89="",G89=""),"错误:必填项",IF(E89="","警告:SKU待映射","OK"))))</x:f>
        <x:v>OK</x:v>
      </x:c>
    </x:row>
    <x:row r="90" ht="39.599998474121094" hidden="1" customHeight="1">
      <x:c r="A90" s="2" t="str">
        <x:v>MAP-DIMENSIO-R84-720</x:v>
      </x:c>
      <x:c r="B90" s="2" t="str">
        <x:v>jimeng-video-seedance-2.0-fast-vip</x:v>
      </x:c>
      <x:c r="C90" s="2" t="str">
        <x:v>CH-DIMENSIO</x:v>
      </x:c>
      <x:c r="D90" s="2" t="str">
        <x:v>jimeng-video-seedance-2.0-fast-vip</x:v>
      </x:c>
      <x:c r="E90" s="2" t="str">
        <x:v>SKU-SD20-FAST-720</x:v>
      </x:c>
      <x:c r="F90" s="2" t="str">
        <x:v>no_video</x:v>
      </x:c>
      <x:c r="G90" s="2" t="str">
        <x:v>是</x:v>
      </x:c>
      <x:c r="H90" s="20" t="n">
        <x:v>46229.393565162034</x:v>
      </x:c>
      <x:c r="I90" s="20"/>
      <x:c r="J90" s="2" t="str">
        <x:v>SRC-CH-07</x:v>
      </x:c>
      <x:c r="K90" s="7" t="str">
        <x:v>源行=sd!84；时长=4-15；比例=不限；视频输入=是；真人脸=否；超分=否；素材库=否；NSFW=否；协议=自有；原状态=正常；素材限制=933；国际剪映URL</x:v>
      </x:c>
      <x:c r="L90" s="23" t="str">
        <x:f t="shared" si="2">IF(A90="","",IF(COUNTIF($A$5:$A$1004,A90)&gt;1,"错误:重复映射ID",IF(OR(B90="",C90="",D90="",G90=""),"错误:必填项",IF(E90="","警告:SKU待映射","OK"))))</x:f>
        <x:v>OK</x:v>
      </x:c>
    </x:row>
    <x:row r="91" ht="39.599998474121094" hidden="1" customHeight="1">
      <x:c r="A91" s="2" t="str">
        <x:v>MAP-DIMENSIO-R85-720</x:v>
      </x:c>
      <x:c r="B91" s="2" t="str">
        <x:v>jimeng-video-seedance-2.0-vip</x:v>
      </x:c>
      <x:c r="C91" s="2" t="str">
        <x:v>CH-DIMENSIO</x:v>
      </x:c>
      <x:c r="D91" s="2" t="str">
        <x:v>jimeng-video-seedance-2.0-vip</x:v>
      </x:c>
      <x:c r="E91" s="2" t="str">
        <x:v>SKU-SD20-STD-720</x:v>
      </x:c>
      <x:c r="F91" s="2" t="str">
        <x:v>no_video</x:v>
      </x:c>
      <x:c r="G91" s="2" t="str">
        <x:v>是</x:v>
      </x:c>
      <x:c r="H91" s="20" t="n">
        <x:v>46229.393565162034</x:v>
      </x:c>
      <x:c r="I91" s="20"/>
      <x:c r="J91" s="2" t="str">
        <x:v>SRC-CH-07</x:v>
      </x:c>
      <x:c r="K91" s="7" t="str">
        <x:v>源行=sd!85；时长=4-15；比例=不限；视频输入=是；真人脸=否；超分=否；素材库=否；NSFW=否；协议=自有；原状态=正常；素材限制=933；国际剪映URL</x:v>
      </x:c>
      <x:c r="L91" s="23" t="str">
        <x:f t="shared" si="2">IF(A91="","",IF(COUNTIF($A$5:$A$1004,A91)&gt;1,"错误:重复映射ID",IF(OR(B91="",C91="",D91="",G91=""),"错误:必填项",IF(E91="","警告:SKU待映射","OK"))))</x:f>
        <x:v>OK</x:v>
      </x:c>
    </x:row>
    <x:row r="92" ht="39.599998474121094" hidden="1" customHeight="1">
      <x:c r="A92" s="2" t="str">
        <x:v>MAP-DIMENSIO-R86-1080</x:v>
      </x:c>
      <x:c r="B92" s="2" t="str">
        <x:v>jimeng-video-seedance-2.0-vip</x:v>
      </x:c>
      <x:c r="C92" s="2" t="str">
        <x:v>CH-DIMENSIO</x:v>
      </x:c>
      <x:c r="D92" s="2" t="str">
        <x:v>jimeng-video-seedance-2.0-vip</x:v>
      </x:c>
      <x:c r="E92" s="2" t="str">
        <x:v>SKU-SD20-STD-1080</x:v>
      </x:c>
      <x:c r="F92" s="2" t="str">
        <x:v>no_video</x:v>
      </x:c>
      <x:c r="G92" s="2" t="str">
        <x:v>是</x:v>
      </x:c>
      <x:c r="H92" s="20" t="n">
        <x:v>46229.393565162034</x:v>
      </x:c>
      <x:c r="I92" s="20"/>
      <x:c r="J92" s="2" t="str">
        <x:v>SRC-CH-07</x:v>
      </x:c>
      <x:c r="K92" s="7" t="str">
        <x:v>源行=sd!86；时长=4-15；比例=不限；视频输入=是；真人脸=否；超分=否；素材库=否；NSFW=否；协议=自有；原状态=正常；素材限制=933；国际剪映URL</x:v>
      </x:c>
      <x:c r="L92" s="23" t="str">
        <x:f t="shared" si="2">IF(A92="","",IF(COUNTIF($A$5:$A$1004,A92)&gt;1,"错误:重复映射ID",IF(OR(B92="",C92="",D92="",G92=""),"错误:必填项",IF(E92="","警告:SKU待映射","OK"))))</x:f>
        <x:v>OK</x:v>
      </x:c>
    </x:row>
    <x:row r="93" ht="39.599998474121094" hidden="1" customHeight="1">
      <x:c r="A93" s="2" t="str">
        <x:v>MAP-DIMENSIO-R87-480</x:v>
      </x:c>
      <x:c r="B93" s="2" t="str">
        <x:v>dimensio-seedance-2.0</x:v>
      </x:c>
      <x:c r="C93" s="2" t="str">
        <x:v>CH-DIMENSIO</x:v>
      </x:c>
      <x:c r="D93" s="2" t="str">
        <x:v>dimensio-seedance-2.0</x:v>
      </x:c>
      <x:c r="E93" s="2" t="str">
        <x:v>SKU-SD20-STD-480</x:v>
      </x:c>
      <x:c r="F93" s="2" t="str">
        <x:v>no_video</x:v>
      </x:c>
      <x:c r="G93" s="2" t="str">
        <x:v>否</x:v>
      </x:c>
      <x:c r="H93" s="20" t="n">
        <x:v>46229.393565162034</x:v>
      </x:c>
      <x:c r="I93" s="20"/>
      <x:c r="J93" s="2" t="str">
        <x:v>SRC-CH-07</x:v>
      </x:c>
      <x:c r="K93" s="7" t="str">
        <x:v>源行=sd!87；时长=4-15；比例=不限；视频输入=是；真人脸=否；超分=否；素材库=否；NSFW=否；协议=自有；原状态=空；素材限制=933；原表状态为空，默认停用待确认；国际剪映URL</x:v>
      </x:c>
      <x:c r="L93" s="23" t="str">
        <x:f t="shared" si="2">IF(A93="","",IF(COUNTIF($A$5:$A$1004,A93)&gt;1,"错误:重复映射ID",IF(OR(B93="",C93="",D93="",G93=""),"错误:必填项",IF(E93="","警告:SKU待映射","OK"))))</x:f>
        <x:v>OK</x:v>
      </x:c>
    </x:row>
    <x:row r="94" ht="39.599998474121094" hidden="1" customHeight="1">
      <x:c r="A94" s="2" t="str">
        <x:v>MAP-DIMENSIO-R88-720</x:v>
      </x:c>
      <x:c r="B94" s="2" t="str">
        <x:v>dimensio-seedance-2.0</x:v>
      </x:c>
      <x:c r="C94" s="2" t="str">
        <x:v>CH-DIMENSIO</x:v>
      </x:c>
      <x:c r="D94" s="2" t="str">
        <x:v>dimensio-seedance-2.0</x:v>
      </x:c>
      <x:c r="E94" s="2" t="str">
        <x:v>SKU-SD20-STD-720</x:v>
      </x:c>
      <x:c r="F94" s="2" t="str">
        <x:v>no_video</x:v>
      </x:c>
      <x:c r="G94" s="2" t="str">
        <x:v>否</x:v>
      </x:c>
      <x:c r="H94" s="20" t="n">
        <x:v>46229.393565162034</x:v>
      </x:c>
      <x:c r="I94" s="20"/>
      <x:c r="J94" s="2" t="str">
        <x:v>SRC-CH-07</x:v>
      </x:c>
      <x:c r="K94" s="7" t="str">
        <x:v>源行=sd!88；时长=4-15；比例=不限；视频输入=是；真人脸=否；超分=否；素材库=否；NSFW=否；协议=自有；原状态=空；素材限制=933；原表状态为空，默认停用待确认；国际剪映URL</x:v>
      </x:c>
      <x:c r="L94" s="23" t="str">
        <x:f t="shared" si="2">IF(A94="","",IF(COUNTIF($A$5:$A$1004,A94)&gt;1,"错误:重复映射ID",IF(OR(B94="",C94="",D94="",G94=""),"错误:必填项",IF(E94="","警告:SKU待映射","OK"))))</x:f>
        <x:v>OK</x:v>
      </x:c>
    </x:row>
    <x:row r="95" ht="39.599998474121094" hidden="1" customHeight="1">
      <x:c r="A95" s="2" t="str">
        <x:v>MAP-DIMENSIO-R89-1080</x:v>
      </x:c>
      <x:c r="B95" s="2" t="str">
        <x:v>dimensio-seedance-2.0</x:v>
      </x:c>
      <x:c r="C95" s="2" t="str">
        <x:v>CH-DIMENSIO</x:v>
      </x:c>
      <x:c r="D95" s="2" t="str">
        <x:v>dimensio-seedance-2.0</x:v>
      </x:c>
      <x:c r="E95" s="2" t="str">
        <x:v>SKU-SD20-STD-1080</x:v>
      </x:c>
      <x:c r="F95" s="2" t="str">
        <x:v>no_video</x:v>
      </x:c>
      <x:c r="G95" s="2" t="str">
        <x:v>否</x:v>
      </x:c>
      <x:c r="H95" s="20" t="n">
        <x:v>46229.393565162034</x:v>
      </x:c>
      <x:c r="I95" s="20"/>
      <x:c r="J95" s="2" t="str">
        <x:v>SRC-CH-07</x:v>
      </x:c>
      <x:c r="K95" s="7" t="str">
        <x:v>源行=sd!89；时长=4-15；比例=不限；视频输入=是；真人脸=否；超分=否；素材库=否；NSFW=否；协议=自有；原状态=空；素材限制=933；原表状态为空，默认停用待确认；国际剪映URL</x:v>
      </x:c>
      <x:c r="L95" s="23" t="str">
        <x:f t="shared" si="2">IF(A95="","",IF(COUNTIF($A$5:$A$1004,A95)&gt;1,"错误:重复映射ID",IF(OR(B95="",C95="",D95="",G95=""),"错误:必填项",IF(E95="","警告:SKU待映射","OK"))))</x:f>
        <x:v>OK</x:v>
      </x:c>
    </x:row>
    <x:row r="96" ht="39.599998474121094" hidden="1" customHeight="1">
      <x:c r="A96" s="2" t="str">
        <x:v>MAP-DIMENSIO-R90-4K</x:v>
      </x:c>
      <x:c r="B96" s="2" t="str">
        <x:v>dimensio-seedance-2.0</x:v>
      </x:c>
      <x:c r="C96" s="2" t="str">
        <x:v>CH-DIMENSIO</x:v>
      </x:c>
      <x:c r="D96" s="2" t="str">
        <x:v>dimensio-seedance-2.0</x:v>
      </x:c>
      <x:c r="E96" s="2" t="str">
        <x:v>SKU-SD20-STD-4K</x:v>
      </x:c>
      <x:c r="F96" s="2" t="str">
        <x:v>no_video</x:v>
      </x:c>
      <x:c r="G96" s="2" t="str">
        <x:v>否</x:v>
      </x:c>
      <x:c r="H96" s="20" t="n">
        <x:v>46229.393565162034</x:v>
      </x:c>
      <x:c r="I96" s="20"/>
      <x:c r="J96" s="2" t="str">
        <x:v>SRC-CH-07</x:v>
      </x:c>
      <x:c r="K96" s="7" t="str">
        <x:v>源行=sd!90；时长=4-15；比例=不限；视频输入=是；真人脸=否；超分=否；素材库=否；NSFW=否；协议=自有；原状态=空；素材限制=933；原表状态为空，默认停用待确认；国际剪映URL</x:v>
      </x:c>
      <x:c r="L96" s="23" t="str">
        <x:f t="shared" si="2">IF(A96="","",IF(COUNTIF($A$5:$A$1004,A96)&gt;1,"错误:重复映射ID",IF(OR(B96="",C96="",D96="",G96=""),"错误:必填项",IF(E96="","警告:SKU待映射","OK"))))</x:f>
        <x:v>OK</x:v>
      </x:c>
    </x:row>
    <x:row r="97" ht="39.599998474121094" hidden="1" customHeight="1">
      <x:c r="A97" s="2" t="str">
        <x:v>MAP-DIMENSIO-R91-480</x:v>
      </x:c>
      <x:c r="B97" s="2" t="str">
        <x:v>dimensio-seedance-2.0-fast</x:v>
      </x:c>
      <x:c r="C97" s="2" t="str">
        <x:v>CH-DIMENSIO</x:v>
      </x:c>
      <x:c r="D97" s="2" t="str">
        <x:v>dimensio-seedance-2.0-fast</x:v>
      </x:c>
      <x:c r="E97" s="2" t="str">
        <x:v>SKU-SD20-FAST-480</x:v>
      </x:c>
      <x:c r="F97" s="2" t="str">
        <x:v>no_video</x:v>
      </x:c>
      <x:c r="G97" s="2" t="str">
        <x:v>否</x:v>
      </x:c>
      <x:c r="H97" s="20" t="n">
        <x:v>46229.393565162034</x:v>
      </x:c>
      <x:c r="I97" s="20"/>
      <x:c r="J97" s="2" t="str">
        <x:v>SRC-CH-07</x:v>
      </x:c>
      <x:c r="K97" s="7" t="str">
        <x:v>源行=sd!91；时长=4-15；比例=不限；视频输入=是；真人脸=否；超分=否；素材库=否；NSFW=否；协议=自有；原状态=空；素材限制=933；原表状态为空，默认停用待确认；国际剪映URL</x:v>
      </x:c>
      <x:c r="L97" s="23" t="str">
        <x:f t="shared" si="2">IF(A97="","",IF(COUNTIF($A$5:$A$1004,A97)&gt;1,"错误:重复映射ID",IF(OR(B97="",C97="",D97="",G97=""),"错误:必填项",IF(E97="","警告:SKU待映射","OK"))))</x:f>
        <x:v>OK</x:v>
      </x:c>
    </x:row>
    <x:row r="98" ht="39.599998474121094" hidden="1" customHeight="1">
      <x:c r="A98" s="2" t="str">
        <x:v>MAP-DIMENSIO-R92-720</x:v>
      </x:c>
      <x:c r="B98" s="2" t="str">
        <x:v>dimensio-seedance-2.0-fast</x:v>
      </x:c>
      <x:c r="C98" s="2" t="str">
        <x:v>CH-DIMENSIO</x:v>
      </x:c>
      <x:c r="D98" s="2" t="str">
        <x:v>dimensio-seedance-2.0-fast</x:v>
      </x:c>
      <x:c r="E98" s="2" t="str">
        <x:v>SKU-SD20-FAST-720</x:v>
      </x:c>
      <x:c r="F98" s="2" t="str">
        <x:v>no_video</x:v>
      </x:c>
      <x:c r="G98" s="2" t="str">
        <x:v>否</x:v>
      </x:c>
      <x:c r="H98" s="20" t="n">
        <x:v>46229.393565162034</x:v>
      </x:c>
      <x:c r="I98" s="20"/>
      <x:c r="J98" s="2" t="str">
        <x:v>SRC-CH-07</x:v>
      </x:c>
      <x:c r="K98" s="7" t="str">
        <x:v>源行=sd!92；时长=4-15；比例=不限；视频输入=是；真人脸=否；超分=否；素材库=否；NSFW=否；协议=自有；原状态=空；素材限制=933；原表状态为空，默认停用待确认；国际剪映URL</x:v>
      </x:c>
      <x:c r="L98" s="23" t="str">
        <x:f t="shared" si="2">IF(A98="","",IF(COUNTIF($A$5:$A$1004,A98)&gt;1,"错误:重复映射ID",IF(OR(B98="",C98="",D98="",G98=""),"错误:必填项",IF(E98="","警告:SKU待映射","OK"))))</x:f>
        <x:v>OK</x:v>
      </x:c>
    </x:row>
    <x:row r="99" ht="39.599998474121094" hidden="1" customHeight="1">
      <x:c r="A99" s="2" t="str">
        <x:v>MAP-MEGABYAI-R94-480</x:v>
      </x:c>
      <x:c r="B99" s="2" t="str">
        <x:v>videos-standard</x:v>
      </x:c>
      <x:c r="C99" s="2" t="str">
        <x:v>CH-MEGABYAI</x:v>
      </x:c>
      <x:c r="D99" s="2" t="str">
        <x:v>videos-standard</x:v>
      </x:c>
      <x:c r="E99" s="2" t="str">
        <x:v>SKU-SD20-STD-480</x:v>
      </x:c>
      <x:c r="F99" s="2" t="str">
        <x:v>no_video</x:v>
      </x:c>
      <x:c r="G99" s="2" t="str">
        <x:v>否</x:v>
      </x:c>
      <x:c r="H99" s="20" t="n">
        <x:v>46229.393565162034</x:v>
      </x:c>
      <x:c r="I99" s="20"/>
      <x:c r="J99" s="2" t="str">
        <x:v>SRC-CH-08</x:v>
      </x:c>
      <x:c r="K99" s="7" t="str">
        <x:v>源行=sd!94；时长=4-15；比例=不限；视频输入=是；真人脸=是；超分=否；素材库=否；NSFW=否；协议=自有；原状态=空；素材限制=933；原表状态为空，默认停用待确认</x:v>
      </x:c>
      <x:c r="L99" s="23" t="str">
        <x:f t="shared" si="2">IF(A99="","",IF(COUNTIF($A$5:$A$1004,A99)&gt;1,"错误:重复映射ID",IF(OR(B99="",C99="",D99="",G99=""),"错误:必填项",IF(E99="","警告:SKU待映射","OK"))))</x:f>
        <x:v>OK</x:v>
      </x:c>
    </x:row>
    <x:row r="100" ht="39.599998474121094" hidden="1" customHeight="1">
      <x:c r="A100" s="2" t="str">
        <x:v>MAP-MEGABYAI-R95-720</x:v>
      </x:c>
      <x:c r="B100" s="2" t="str">
        <x:v>videos-standard</x:v>
      </x:c>
      <x:c r="C100" s="2" t="str">
        <x:v>CH-MEGABYAI</x:v>
      </x:c>
      <x:c r="D100" s="2" t="str">
        <x:v>videos-standard</x:v>
      </x:c>
      <x:c r="E100" s="2" t="str">
        <x:v>SKU-SD20-STD-720</x:v>
      </x:c>
      <x:c r="F100" s="2" t="str">
        <x:v>no_video</x:v>
      </x:c>
      <x:c r="G100" s="2" t="str">
        <x:v>否</x:v>
      </x:c>
      <x:c r="H100" s="20" t="n">
        <x:v>46229.393565162034</x:v>
      </x:c>
      <x:c r="I100" s="20"/>
      <x:c r="J100" s="2" t="str">
        <x:v>SRC-CH-08</x:v>
      </x:c>
      <x:c r="K100" s="7" t="str">
        <x:v>源行=sd!95；时长=4-15；比例=不限；视频输入=是；真人脸=是；超分=否；素材库=否；NSFW=否；协议=自有；原状态=空；素材限制=933；原表状态为空，默认停用待确认</x:v>
      </x:c>
      <x:c r="L100" s="23" t="str">
        <x:f t="shared" si="2">IF(A100="","",IF(COUNTIF($A$5:$A$1004,A100)&gt;1,"错误:重复映射ID",IF(OR(B100="",C100="",D100="",G100=""),"错误:必填项",IF(E100="","警告:SKU待映射","OK"))))</x:f>
        <x:v>OK</x:v>
      </x:c>
    </x:row>
    <x:row r="101" ht="39.599998474121094" hidden="1" customHeight="1">
      <x:c r="A101" s="2" t="str">
        <x:v>MAP-MEGABYAI-R96-1080</x:v>
      </x:c>
      <x:c r="B101" s="2" t="str">
        <x:v>videos-standard</x:v>
      </x:c>
      <x:c r="C101" s="2" t="str">
        <x:v>CH-MEGABYAI</x:v>
      </x:c>
      <x:c r="D101" s="2" t="str">
        <x:v>videos-standard</x:v>
      </x:c>
      <x:c r="E101" s="2" t="str">
        <x:v>SKU-SD20-STD-1080</x:v>
      </x:c>
      <x:c r="F101" s="2" t="str">
        <x:v>no_video</x:v>
      </x:c>
      <x:c r="G101" s="2" t="str">
        <x:v>否</x:v>
      </x:c>
      <x:c r="H101" s="20" t="n">
        <x:v>46229.393565162034</x:v>
      </x:c>
      <x:c r="I101" s="20"/>
      <x:c r="J101" s="2" t="str">
        <x:v>SRC-CH-08</x:v>
      </x:c>
      <x:c r="K101" s="7" t="str">
        <x:v>源行=sd!96；时长=4-15；比例=不限；视频输入=是；真人脸=是；超分=否；素材库=否；NSFW=否；协议=自有；原状态=空；素材限制=933；原表状态为空，默认停用待确认</x:v>
      </x:c>
      <x:c r="L101" s="23" t="str">
        <x:f t="shared" ref="L101:L119" si="3">IF(A101="","",IF(COUNTIF($A$5:$A$1004,A101)&gt;1,"错误:重复映射ID",IF(OR(B101="",C101="",D101="",G101=""),"错误:必填项",IF(E101="","警告:SKU待映射","OK"))))</x:f>
        <x:v>OK</x:v>
      </x:c>
    </x:row>
    <x:row r="102" ht="39.599998474121094" hidden="1" customHeight="1">
      <x:c r="A102" s="2" t="str">
        <x:v>MAP-MEGABYAI-R97-4K</x:v>
      </x:c>
      <x:c r="B102" s="2" t="str">
        <x:v>videos-standard</x:v>
      </x:c>
      <x:c r="C102" s="2" t="str">
        <x:v>CH-MEGABYAI</x:v>
      </x:c>
      <x:c r="D102" s="2" t="str">
        <x:v>videos-standard</x:v>
      </x:c>
      <x:c r="E102" s="2" t="str">
        <x:v>SKU-SD20-STD-4K</x:v>
      </x:c>
      <x:c r="F102" s="2" t="str">
        <x:v>no_video</x:v>
      </x:c>
      <x:c r="G102" s="2" t="str">
        <x:v>否</x:v>
      </x:c>
      <x:c r="H102" s="20" t="n">
        <x:v>46229.393565162034</x:v>
      </x:c>
      <x:c r="I102" s="20"/>
      <x:c r="J102" s="2" t="str">
        <x:v>SRC-CH-08</x:v>
      </x:c>
      <x:c r="K102" s="7" t="str">
        <x:v>源行=sd!97；时长=4-15；比例=不限；视频输入=是；真人脸=是；超分=否；素材库=否；NSFW=否；协议=自有；原状态=空；素材限制=933；原表状态为空，默认停用待确认</x:v>
      </x:c>
      <x:c r="L102" s="23" t="str">
        <x:f t="shared" si="3">IF(A102="","",IF(COUNTIF($A$5:$A$1004,A102)&gt;1,"错误:重复映射ID",IF(OR(B102="",C102="",D102="",G102=""),"错误:必填项",IF(E102="","警告:SKU待映射","OK"))))</x:f>
        <x:v>OK</x:v>
      </x:c>
    </x:row>
    <x:row r="103" ht="39.599998474121094" hidden="1" customHeight="1">
      <x:c r="A103" s="2" t="str">
        <x:v>MAP-MEGABYAI-R98-480</x:v>
      </x:c>
      <x:c r="B103" s="2" t="str">
        <x:v>videos-standard</x:v>
      </x:c>
      <x:c r="C103" s="2" t="str">
        <x:v>CH-MEGABYAI</x:v>
      </x:c>
      <x:c r="D103" s="2" t="str">
        <x:v>videos-standard</x:v>
      </x:c>
      <x:c r="E103" s="2" t="str">
        <x:v>SKU-SD20-STD-480</x:v>
      </x:c>
      <x:c r="F103" s="2" t="str">
        <x:v>no_video</x:v>
      </x:c>
      <x:c r="G103" s="2" t="str">
        <x:v>否</x:v>
      </x:c>
      <x:c r="H103" s="20" t="n">
        <x:v>46229.393565162034</x:v>
      </x:c>
      <x:c r="I103" s="20"/>
      <x:c r="J103" s="2" t="str">
        <x:v>SRC-CH-08</x:v>
      </x:c>
      <x:c r="K103" s="7" t="str">
        <x:v>源行=sd!98；时长=4-15；比例=不限；视频输入=是；真人脸=否；超分=否；素材库=否；NSFW=否；协议=自有；原状态=空；素材限制=933；原表状态为空，默认停用待确认</x:v>
      </x:c>
      <x:c r="L103" s="23" t="str">
        <x:f t="shared" si="3">IF(A103="","",IF(COUNTIF($A$5:$A$1004,A103)&gt;1,"错误:重复映射ID",IF(OR(B103="",C103="",D103="",G103=""),"错误:必填项",IF(E103="","警告:SKU待映射","OK"))))</x:f>
        <x:v>OK</x:v>
      </x:c>
    </x:row>
    <x:row r="104" ht="39.599998474121094" hidden="1" customHeight="1">
      <x:c r="A104" s="2" t="str">
        <x:v>MAP-MEGABYAI-R99-720</x:v>
      </x:c>
      <x:c r="B104" s="2" t="str">
        <x:v>videos-standard</x:v>
      </x:c>
      <x:c r="C104" s="2" t="str">
        <x:v>CH-MEGABYAI</x:v>
      </x:c>
      <x:c r="D104" s="2" t="str">
        <x:v>videos-standard</x:v>
      </x:c>
      <x:c r="E104" s="2" t="str">
        <x:v>SKU-SD20-STD-720</x:v>
      </x:c>
      <x:c r="F104" s="2" t="str">
        <x:v>no_video</x:v>
      </x:c>
      <x:c r="G104" s="2" t="str">
        <x:v>否</x:v>
      </x:c>
      <x:c r="H104" s="20" t="n">
        <x:v>46229.393565162034</x:v>
      </x:c>
      <x:c r="I104" s="20"/>
      <x:c r="J104" s="2" t="str">
        <x:v>SRC-CH-08</x:v>
      </x:c>
      <x:c r="K104" s="7" t="str">
        <x:v>源行=sd!99；时长=4-15；比例=不限；视频输入=是；真人脸=否；超分=否；素材库=否；NSFW=否；协议=自有；原状态=空；素材限制=933；原表状态为空，默认停用待确认</x:v>
      </x:c>
      <x:c r="L104" s="23" t="str">
        <x:f t="shared" si="3">IF(A104="","",IF(COUNTIF($A$5:$A$1004,A104)&gt;1,"错误:重复映射ID",IF(OR(B104="",C104="",D104="",G104=""),"错误:必填项",IF(E104="","警告:SKU待映射","OK"))))</x:f>
        <x:v>OK</x:v>
      </x:c>
    </x:row>
    <x:row r="105" ht="39.599998474121094" hidden="1" customHeight="1">
      <x:c r="A105" s="2" t="str">
        <x:v>MAP-MEGABYAI-R100-1080</x:v>
      </x:c>
      <x:c r="B105" s="2" t="str">
        <x:v>videos-standard</x:v>
      </x:c>
      <x:c r="C105" s="2" t="str">
        <x:v>CH-MEGABYAI</x:v>
      </x:c>
      <x:c r="D105" s="2" t="str">
        <x:v>videos-standard</x:v>
      </x:c>
      <x:c r="E105" s="2" t="str">
        <x:v>SKU-SD20-STD-1080</x:v>
      </x:c>
      <x:c r="F105" s="2" t="str">
        <x:v>no_video</x:v>
      </x:c>
      <x:c r="G105" s="2" t="str">
        <x:v>否</x:v>
      </x:c>
      <x:c r="H105" s="20" t="n">
        <x:v>46229.393565162034</x:v>
      </x:c>
      <x:c r="I105" s="20"/>
      <x:c r="J105" s="2" t="str">
        <x:v>SRC-CH-08</x:v>
      </x:c>
      <x:c r="K105" s="7" t="str">
        <x:v>源行=sd!100；时长=4-15；比例=不限；视频输入=是；真人脸=否；超分=否；素材库=否；NSFW=否；协议=自有；原状态=空；素材限制=933；原表状态为空，默认停用待确认</x:v>
      </x:c>
      <x:c r="L105" s="23" t="str">
        <x:f t="shared" si="3">IF(A105="","",IF(COUNTIF($A$5:$A$1004,A105)&gt;1,"错误:重复映射ID",IF(OR(B105="",C105="",D105="",G105=""),"错误:必填项",IF(E105="","警告:SKU待映射","OK"))))</x:f>
        <x:v>OK</x:v>
      </x:c>
    </x:row>
    <x:row r="106" ht="39.599998474121094" hidden="1" customHeight="1">
      <x:c r="A106" s="2" t="str">
        <x:v>MAP-MEGABYAI-R101-4K</x:v>
      </x:c>
      <x:c r="B106" s="2" t="str">
        <x:v>videos-standard</x:v>
      </x:c>
      <x:c r="C106" s="2" t="str">
        <x:v>CH-MEGABYAI</x:v>
      </x:c>
      <x:c r="D106" s="2" t="str">
        <x:v>videos-standard</x:v>
      </x:c>
      <x:c r="E106" s="2" t="str">
        <x:v>SKU-SD20-STD-4K</x:v>
      </x:c>
      <x:c r="F106" s="2" t="str">
        <x:v>no_video</x:v>
      </x:c>
      <x:c r="G106" s="2" t="str">
        <x:v>否</x:v>
      </x:c>
      <x:c r="H106" s="20" t="n">
        <x:v>46229.393565162034</x:v>
      </x:c>
      <x:c r="I106" s="20"/>
      <x:c r="J106" s="2" t="str">
        <x:v>SRC-CH-08</x:v>
      </x:c>
      <x:c r="K106" s="7" t="str">
        <x:v>源行=sd!101；时长=4-15；比例=不限；视频输入=是；真人脸=否；超分=否；素材库=否；NSFW=否；协议=自有；原状态=空；素材限制=933；原表状态为空，默认停用待确认</x:v>
      </x:c>
      <x:c r="L106" s="23" t="str">
        <x:f t="shared" si="3">IF(A106="","",IF(COUNTIF($A$5:$A$1004,A106)&gt;1,"错误:重复映射ID",IF(OR(B106="",C106="",D106="",G106=""),"错误:必填项",IF(E106="","警告:SKU待映射","OK"))))</x:f>
        <x:v>OK</x:v>
      </x:c>
    </x:row>
    <x:row r="107" ht="39.599998474121094" hidden="1" customHeight="1">
      <x:c r="A107" s="2" t="str">
        <x:v>MAP-MEGABYAI-R102-480</x:v>
      </x:c>
      <x:c r="B107" s="2" t="str">
        <x:v>videos-fast</x:v>
      </x:c>
      <x:c r="C107" s="2" t="str">
        <x:v>CH-MEGABYAI</x:v>
      </x:c>
      <x:c r="D107" s="2" t="str">
        <x:v>videos-fast</x:v>
      </x:c>
      <x:c r="E107" s="2" t="str">
        <x:v>SKU-SD20-FAST-480</x:v>
      </x:c>
      <x:c r="F107" s="2" t="str">
        <x:v>no_video</x:v>
      </x:c>
      <x:c r="G107" s="2" t="str">
        <x:v>否</x:v>
      </x:c>
      <x:c r="H107" s="20" t="n">
        <x:v>46229.393565162034</x:v>
      </x:c>
      <x:c r="I107" s="20"/>
      <x:c r="J107" s="2" t="str">
        <x:v>SRC-CH-08</x:v>
      </x:c>
      <x:c r="K107" s="7" t="str">
        <x:v>源行=sd!102；时长=4-15；比例=不限；视频输入=是；真人脸=是；超分=否；素材库=否；NSFW=否；协议=自有；原状态=空；素材限制=933；原表状态为空，默认停用待确认；v1修正：confirmed_real_person=true；原币按次=3 CNY</x:v>
      </x:c>
      <x:c r="L107" s="23" t="str">
        <x:f t="shared" si="3">IF(A107="","",IF(COUNTIF($A$5:$A$1004,A107)&gt;1,"错误:重复映射ID",IF(OR(B107="",C107="",D107="",G107=""),"错误:必填项",IF(E107="","警告:SKU待映射","OK"))))</x:f>
        <x:v>OK</x:v>
      </x:c>
    </x:row>
    <x:row r="108" ht="39.599998474121094" hidden="1" customHeight="1">
      <x:c r="A108" s="2" t="str">
        <x:v>MAP-MEGABYAI-R103-720</x:v>
      </x:c>
      <x:c r="B108" s="2" t="str">
        <x:v>videos-fast</x:v>
      </x:c>
      <x:c r="C108" s="2" t="str">
        <x:v>CH-MEGABYAI</x:v>
      </x:c>
      <x:c r="D108" s="2" t="str">
        <x:v>videos-fast</x:v>
      </x:c>
      <x:c r="E108" s="2" t="str">
        <x:v>SKU-SD20-FAST-720</x:v>
      </x:c>
      <x:c r="F108" s="2" t="str">
        <x:v>no_video</x:v>
      </x:c>
      <x:c r="G108" s="2" t="str">
        <x:v>否</x:v>
      </x:c>
      <x:c r="H108" s="20" t="n">
        <x:v>46229.393565162034</x:v>
      </x:c>
      <x:c r="I108" s="20"/>
      <x:c r="J108" s="2" t="str">
        <x:v>SRC-CH-08</x:v>
      </x:c>
      <x:c r="K108" s="7" t="str">
        <x:v>源行=sd!103；时长=4-15；比例=不限；视频输入=是；真人脸=是；超分=否；素材库=否；NSFW=否；协议=自有；原状态=空；素材限制=933；原表状态为空，默认停用待确认；v1修正：confirmed_real_person=true；原币按次=4 CNY</x:v>
      </x:c>
      <x:c r="L108" s="23" t="str">
        <x:f t="shared" si="3">IF(A108="","",IF(COUNTIF($A$5:$A$1004,A108)&gt;1,"错误:重复映射ID",IF(OR(B108="",C108="",D108="",G108=""),"错误:必填项",IF(E108="","警告:SKU待映射","OK"))))</x:f>
        <x:v>OK</x:v>
      </x:c>
    </x:row>
    <x:row r="109" ht="39.599998474121094" hidden="1" customHeight="1">
      <x:c r="A109" s="2" t="str">
        <x:v>MAP-MEGABYAI-R104-480</x:v>
      </x:c>
      <x:c r="B109" s="2" t="str">
        <x:v>videos-fast</x:v>
      </x:c>
      <x:c r="C109" s="2" t="str">
        <x:v>CH-MEGABYAI</x:v>
      </x:c>
      <x:c r="D109" s="2" t="str">
        <x:v>videos-fast</x:v>
      </x:c>
      <x:c r="E109" s="2" t="str">
        <x:v>SKU-SD20-FAST-480</x:v>
      </x:c>
      <x:c r="F109" s="2" t="str">
        <x:v>no_video</x:v>
      </x:c>
      <x:c r="G109" s="2" t="str">
        <x:v>否</x:v>
      </x:c>
      <x:c r="H109" s="20" t="n">
        <x:v>46229.393565162034</x:v>
      </x:c>
      <x:c r="I109" s="20"/>
      <x:c r="J109" s="2" t="str">
        <x:v>SRC-CH-08</x:v>
      </x:c>
      <x:c r="K109" s="7" t="str">
        <x:v>源行=sd!104；时长=4-15；比例=不限；视频输入=是；真人脸=否；超分=否；素材库=否；NSFW=否；协议=自有；原状态=空；素材限制=933；原表状态为空，默认停用待确认；v1修正：confirmed_real_person=false；原币按次=1.2 CNY</x:v>
      </x:c>
      <x:c r="L109" s="23" t="str">
        <x:f t="shared" si="3">IF(A109="","",IF(COUNTIF($A$5:$A$1004,A109)&gt;1,"错误:重复映射ID",IF(OR(B109="",C109="",D109="",G109=""),"错误:必填项",IF(E109="","警告:SKU待映射","OK"))))</x:f>
        <x:v>OK</x:v>
      </x:c>
    </x:row>
    <x:row r="110" ht="39.599998474121094" hidden="1" customHeight="1">
      <x:c r="A110" s="2" t="str">
        <x:v>MAP-MEGABYAI-R105-720</x:v>
      </x:c>
      <x:c r="B110" s="2" t="str">
        <x:v>videos-fast</x:v>
      </x:c>
      <x:c r="C110" s="2" t="str">
        <x:v>CH-MEGABYAI</x:v>
      </x:c>
      <x:c r="D110" s="2" t="str">
        <x:v>videos-fast</x:v>
      </x:c>
      <x:c r="E110" s="2" t="str">
        <x:v>SKU-SD20-FAST-720</x:v>
      </x:c>
      <x:c r="F110" s="2" t="str">
        <x:v>no_video</x:v>
      </x:c>
      <x:c r="G110" s="2" t="str">
        <x:v>否</x:v>
      </x:c>
      <x:c r="H110" s="20" t="n">
        <x:v>46229.393565162034</x:v>
      </x:c>
      <x:c r="I110" s="20"/>
      <x:c r="J110" s="2" t="str">
        <x:v>SRC-CH-08</x:v>
      </x:c>
      <x:c r="K110" s="7" t="str">
        <x:v>源行=sd!105；时长=4-15；比例=不限；视频输入=是；真人脸=否；超分=否；素材库=否；NSFW=否；协议=自有；原状态=空；素材限制=933；原表状态为空，默认停用待确认；v1修正：confirmed_real_person=false；原币按次=1.6 CNY</x:v>
      </x:c>
      <x:c r="L110" s="23" t="str">
        <x:f t="shared" si="3">IF(A110="","",IF(COUNTIF($A$5:$A$1004,A110)&gt;1,"错误:重复映射ID",IF(OR(B110="",C110="",D110="",G110=""),"错误:必填项",IF(E110="","警告:SKU待映射","OK"))))</x:f>
        <x:v>OK</x:v>
      </x:c>
    </x:row>
    <x:row r="111" ht="39.599998474121094" hidden="1" customHeight="1">
      <x:c r="A111" s="2" t="str">
        <x:v>MAP-MEGABYAI-R106-480</x:v>
      </x:c>
      <x:c r="B111" s="2" t="str">
        <x:v>videos-mini</x:v>
      </x:c>
      <x:c r="C111" s="2" t="str">
        <x:v>CH-MEGABYAI</x:v>
      </x:c>
      <x:c r="D111" s="2" t="str">
        <x:v>videos-mini</x:v>
      </x:c>
      <x:c r="E111" s="2" t="str">
        <x:v>SKU-SD20-MINI-480</x:v>
      </x:c>
      <x:c r="F111" s="2" t="str">
        <x:v>no_video</x:v>
      </x:c>
      <x:c r="G111" s="2" t="str">
        <x:v>否</x:v>
      </x:c>
      <x:c r="H111" s="20" t="n">
        <x:v>46229.393565162034</x:v>
      </x:c>
      <x:c r="I111" s="20"/>
      <x:c r="J111" s="2" t="str">
        <x:v>SRC-CH-08</x:v>
      </x:c>
      <x:c r="K111" s="7" t="str">
        <x:v>源行=sd!106；时长=4-15；比例=不限；视频输入=是；真人脸=是；超分=否；素材库=否；NSFW=否；协议=自有；原状态=空；素材限制=933；原表状态为空，默认停用待确认</x:v>
      </x:c>
      <x:c r="L111" s="23" t="str">
        <x:f t="shared" si="3">IF(A111="","",IF(COUNTIF($A$5:$A$1004,A111)&gt;1,"错误:重复映射ID",IF(OR(B111="",C111="",D111="",G111=""),"错误:必填项",IF(E111="","警告:SKU待映射","OK"))))</x:f>
        <x:v>OK</x:v>
      </x:c>
    </x:row>
    <x:row r="112" ht="39.599998474121094" hidden="1" customHeight="1">
      <x:c r="A112" s="2" t="str">
        <x:v>MAP-MEGABYAI-R107-720</x:v>
      </x:c>
      <x:c r="B112" s="2" t="str">
        <x:v>videos-mini</x:v>
      </x:c>
      <x:c r="C112" s="2" t="str">
        <x:v>CH-MEGABYAI</x:v>
      </x:c>
      <x:c r="D112" s="2" t="str">
        <x:v>videos-mini</x:v>
      </x:c>
      <x:c r="E112" s="2" t="str">
        <x:v>SKU-SD20-MINI-720</x:v>
      </x:c>
      <x:c r="F112" s="2" t="str">
        <x:v>no_video</x:v>
      </x:c>
      <x:c r="G112" s="2" t="str">
        <x:v>否</x:v>
      </x:c>
      <x:c r="H112" s="20" t="n">
        <x:v>46229.393565162034</x:v>
      </x:c>
      <x:c r="I112" s="20"/>
      <x:c r="J112" s="2" t="str">
        <x:v>SRC-CH-08</x:v>
      </x:c>
      <x:c r="K112" s="7" t="str">
        <x:v>源行=sd!107；时长=4-15；比例=不限；视频输入=是；真人脸=是；超分=否；素材库=否；NSFW=否；协议=自有；原状态=空；素材限制=933；原表状态为空，默认停用待确认</x:v>
      </x:c>
      <x:c r="L112" s="23" t="str">
        <x:f t="shared" si="3">IF(A112="","",IF(COUNTIF($A$5:$A$1004,A112)&gt;1,"错误:重复映射ID",IF(OR(B112="",C112="",D112="",G112=""),"错误:必填项",IF(E112="","警告:SKU待映射","OK"))))</x:f>
        <x:v>OK</x:v>
      </x:c>
    </x:row>
    <x:row r="113" ht="39.599998474121094" hidden="1" customHeight="1">
      <x:c r="A113" s="2" t="str">
        <x:v>MAP-MEGABYAI-R108-720</x:v>
      </x:c>
      <x:c r="B113" s="2" t="str">
        <x:v>videos-4-720p</x:v>
      </x:c>
      <x:c r="C113" s="2" t="str">
        <x:v>CH-MEGABYAI</x:v>
      </x:c>
      <x:c r="D113" s="2" t="str">
        <x:v>videos-4-720p</x:v>
      </x:c>
      <x:c r="E113" s="2" t="str">
        <x:v>SKU-SD20-STD-720</x:v>
      </x:c>
      <x:c r="F113" s="2" t="str">
        <x:v>no_video</x:v>
      </x:c>
      <x:c r="G113" s="2" t="str">
        <x:v>否</x:v>
      </x:c>
      <x:c r="H113" s="20" t="n">
        <x:v>46229.393565162034</x:v>
      </x:c>
      <x:c r="I113" s="20"/>
      <x:c r="J113" s="2" t="str">
        <x:v>SRC-CH-08</x:v>
      </x:c>
      <x:c r="K113" s="7" t="str">
        <x:v>源行=sd!108；时长=4-15；比例=不限；视频输入=是；真人脸=待确认；超分=否；素材库=否；NSFW=否；协议=自有；原状态=空；素材限制=431；原表状态为空，默认停用待确认</x:v>
      </x:c>
      <x:c r="L113" s="23" t="str">
        <x:f t="shared" si="3">IF(A113="","",IF(COUNTIF($A$5:$A$1004,A113)&gt;1,"错误:重复映射ID",IF(OR(B113="",C113="",D113="",G113=""),"错误:必填项",IF(E113="","警告:SKU待映射","OK"))))</x:f>
        <x:v>OK</x:v>
      </x:c>
    </x:row>
    <x:row r="114" ht="39.599998474121094" hidden="1" customHeight="1">
      <x:c r="A114" s="2" t="str">
        <x:v>MAP-MEGABYAI-R109-480</x:v>
      </x:c>
      <x:c r="B114" s="2" t="str">
        <x:v>videos-4-480p</x:v>
      </x:c>
      <x:c r="C114" s="2" t="str">
        <x:v>CH-MEGABYAI</x:v>
      </x:c>
      <x:c r="D114" s="2" t="str">
        <x:v>videos-4-480p</x:v>
      </x:c>
      <x:c r="E114" s="2" t="str">
        <x:v>SKU-SD20-STD-480</x:v>
      </x:c>
      <x:c r="F114" s="2" t="str">
        <x:v>no_video</x:v>
      </x:c>
      <x:c r="G114" s="2" t="str">
        <x:v>否</x:v>
      </x:c>
      <x:c r="H114" s="20" t="n">
        <x:v>46229.393565162034</x:v>
      </x:c>
      <x:c r="I114" s="20"/>
      <x:c r="J114" s="2" t="str">
        <x:v>SRC-CH-08</x:v>
      </x:c>
      <x:c r="K114" s="7" t="str">
        <x:v>源行=sd!109；时长=4-15；比例=不限；视频输入=是；真人脸=待确认；超分=否；素材库=否；NSFW=否；协议=自有；原状态=空；素材限制=431；原表状态为空，默认停用待确认</x:v>
      </x:c>
      <x:c r="L114" s="23" t="str">
        <x:f t="shared" si="3">IF(A114="","",IF(COUNTIF($A$5:$A$1004,A114)&gt;1,"错误:重复映射ID",IF(OR(B114="",C114="",D114="",G114=""),"错误:必填项",IF(E114="","警告:SKU待映射","OK"))))</x:f>
        <x:v>OK</x:v>
      </x:c>
    </x:row>
    <x:row r="115" ht="39.599998474121094" hidden="1" customHeight="1">
      <x:c r="A115" s="2" t="str">
        <x:v>MAP-MEGABYAI-R110-720</x:v>
      </x:c>
      <x:c r="B115" s="2" t="str">
        <x:v>videos-4-720p</x:v>
      </x:c>
      <x:c r="C115" s="2" t="str">
        <x:v>CH-MEGABYAI</x:v>
      </x:c>
      <x:c r="D115" s="2" t="str">
        <x:v>videos-4-720p</x:v>
      </x:c>
      <x:c r="E115" s="2" t="str">
        <x:v>SKU-SD20-STD-720</x:v>
      </x:c>
      <x:c r="F115" s="2" t="str">
        <x:v>no_video</x:v>
      </x:c>
      <x:c r="G115" s="2" t="str">
        <x:v>否</x:v>
      </x:c>
      <x:c r="H115" s="20" t="n">
        <x:v>46229.393565162034</x:v>
      </x:c>
      <x:c r="I115" s="20"/>
      <x:c r="J115" s="2" t="str">
        <x:v>SRC-CH-08</x:v>
      </x:c>
      <x:c r="K115" s="7" t="str">
        <x:v>源行=sd!110；时长=4-15；比例=不限；视频输入=是；真人脸=待确认；超分=否；素材库=否；NSFW=否；协议=自有；原状态=空；素材限制=431；原表状态为空，默认停用待确认</x:v>
      </x:c>
      <x:c r="L115" s="23" t="str">
        <x:f t="shared" si="3">IF(A115="","",IF(COUNTIF($A$5:$A$1004,A115)&gt;1,"错误:重复映射ID",IF(OR(B115="",C115="",D115="",G115=""),"错误:必填项",IF(E115="","警告:SKU待映射","OK"))))</x:f>
        <x:v>OK</x:v>
      </x:c>
    </x:row>
    <x:row r="116" ht="39.599998474121094" hidden="1" customHeight="1">
      <x:c r="A116" s="2" t="str">
        <x:v>MAP-MEGABYAI-R111-480</x:v>
      </x:c>
      <x:c r="B116" s="2" t="str">
        <x:v>videos-4-fast-480p</x:v>
      </x:c>
      <x:c r="C116" s="2" t="str">
        <x:v>CH-MEGABYAI</x:v>
      </x:c>
      <x:c r="D116" s="2" t="str">
        <x:v>videos-4-fast-480p</x:v>
      </x:c>
      <x:c r="E116" s="2" t="str">
        <x:v>SKU-SD20-FAST-480</x:v>
      </x:c>
      <x:c r="F116" s="2" t="str">
        <x:v>no_video</x:v>
      </x:c>
      <x:c r="G116" s="2" t="str">
        <x:v>否</x:v>
      </x:c>
      <x:c r="H116" s="20" t="n">
        <x:v>46229.393565162034</x:v>
      </x:c>
      <x:c r="I116" s="20"/>
      <x:c r="J116" s="2" t="str">
        <x:v>SRC-CH-08</x:v>
      </x:c>
      <x:c r="K116" s="7" t="str">
        <x:v>源行=sd!111；时长=4-15；比例=不限；视频输入=是；真人脸=待确认；超分=否；素材库=否；NSFW=否；协议=自有；原状态=空；素材限制=431；原表状态为空，默认停用待确认</x:v>
      </x:c>
      <x:c r="L116" s="23" t="str">
        <x:f t="shared" si="3">IF(A116="","",IF(COUNTIF($A$5:$A$1004,A116)&gt;1,"错误:重复映射ID",IF(OR(B116="",C116="",D116="",G116=""),"错误:必填项",IF(E116="","警告:SKU待映射","OK"))))</x:f>
        <x:v>OK</x:v>
      </x:c>
    </x:row>
    <x:row r="117" ht="39.599998474121094" hidden="1" customHeight="1">
      <x:c r="A117" s="2" t="str">
        <x:v>MAP-MEGABYAI-R112-720</x:v>
      </x:c>
      <x:c r="B117" s="2" t="str">
        <x:v>videos-4-fast-720p</x:v>
      </x:c>
      <x:c r="C117" s="2" t="str">
        <x:v>CH-MEGABYAI</x:v>
      </x:c>
      <x:c r="D117" s="2" t="str">
        <x:v>videos-4-fast-720p</x:v>
      </x:c>
      <x:c r="E117" s="2" t="str">
        <x:v>SKU-SD20-FAST-720</x:v>
      </x:c>
      <x:c r="F117" s="2" t="str">
        <x:v>no_video</x:v>
      </x:c>
      <x:c r="G117" s="2" t="str">
        <x:v>否</x:v>
      </x:c>
      <x:c r="H117" s="20" t="n">
        <x:v>46229.393565162034</x:v>
      </x:c>
      <x:c r="I117" s="20"/>
      <x:c r="J117" s="2" t="str">
        <x:v>SRC-CH-08</x:v>
      </x:c>
      <x:c r="K117" s="7" t="str">
        <x:v>源行=sd!112；时长=4-15；比例=不限；视频输入=是；真人脸=待确认；超分=否；素材库=否；NSFW=否；协议=自有；原状态=空；素材限制=431；原表状态为空，默认停用待确认</x:v>
      </x:c>
      <x:c r="L117" s="23" t="str">
        <x:f t="shared" si="3">IF(A117="","",IF(COUNTIF($A$5:$A$1004,A117)&gt;1,"错误:重复映射ID",IF(OR(B117="",C117="",D117="",G117=""),"错误:必填项",IF(E117="","警告:SKU待映射","OK"))))</x:f>
        <x:v>OK</x:v>
      </x:c>
    </x:row>
    <x:row r="118" ht="39.599998474121094" hidden="1" customHeight="1">
      <x:c r="A118" s="2" t="str">
        <x:v>MAP-MEGABYAI-R113-480</x:v>
      </x:c>
      <x:c r="B118" s="2" t="str">
        <x:v>videos-4-mini-480p</x:v>
      </x:c>
      <x:c r="C118" s="2" t="str">
        <x:v>CH-MEGABYAI</x:v>
      </x:c>
      <x:c r="D118" s="2" t="str">
        <x:v>videos-4-mini-480p</x:v>
      </x:c>
      <x:c r="E118" s="2" t="str">
        <x:v>SKU-SD20-MINI-480</x:v>
      </x:c>
      <x:c r="F118" s="2" t="str">
        <x:v>no_video</x:v>
      </x:c>
      <x:c r="G118" s="2" t="str">
        <x:v>否</x:v>
      </x:c>
      <x:c r="H118" s="20" t="n">
        <x:v>46229.393565162034</x:v>
      </x:c>
      <x:c r="I118" s="20"/>
      <x:c r="J118" s="2" t="str">
        <x:v>SRC-CH-08</x:v>
      </x:c>
      <x:c r="K118" s="7" t="str">
        <x:v>源行=sd!113；时长=4-15；比例=不限；视频输入=是；真人脸=待确认；超分=否；素材库=否；NSFW=否；协议=自有；原状态=空；素材限制=431；原表状态为空，默认停用待确认</x:v>
      </x:c>
      <x:c r="L118" s="23" t="str">
        <x:f t="shared" si="3">IF(A118="","",IF(COUNTIF($A$5:$A$1004,A118)&gt;1,"错误:重复映射ID",IF(OR(B118="",C118="",D118="",G118=""),"错误:必填项",IF(E118="","警告:SKU待映射","OK"))))</x:f>
        <x:v>OK</x:v>
      </x:c>
    </x:row>
    <x:row r="119" ht="39.599998474121094" customHeight="1">
      <x:c r="A119" s="2" t="str">
        <x:v>MAP-MEGABYAI-R114-720</x:v>
      </x:c>
      <x:c r="B119" s="2" t="str">
        <x:v>videos-4-mini-720p</x:v>
      </x:c>
      <x:c r="C119" s="2" t="str">
        <x:v>CH-MEGABYAI</x:v>
      </x:c>
      <x:c r="D119" s="2" t="str">
        <x:v>videos-4-mini-720p</x:v>
      </x:c>
      <x:c r="E119" s="44" t="str">
        <x:v>SKU-SD20-MINI-720</x:v>
      </x:c>
      <x:c r="F119" s="2" t="str">
        <x:v>no_video</x:v>
      </x:c>
      <x:c r="G119" s="2" t="str">
        <x:v>否</x:v>
      </x:c>
      <x:c r="H119" s="20" t="n">
        <x:v>46229.393565162034</x:v>
      </x:c>
      <x:c r="I119" s="20"/>
      <x:c r="J119" s="2" t="str">
        <x:v>SRC-CH-08</x:v>
      </x:c>
      <x:c r="K119" s="7" t="str">
        <x:v>源行=sd!114；时长=4-15；比例=不限；视频输入=是；真人脸=待确认；超分=否；素材库=否；NSFW=否；协议=自有；原状态=空；素材限制=431；原表状态为空，默认停用待确认</x:v>
      </x:c>
      <x:c r="L119" s="23" t="str">
        <x:f t="shared" si="3">IF(A119="","",IF(COUNTIF($A$5:$A$1004,A119)&gt;1,"错误:重复映射ID",IF(OR(B119="",C119="",D119="",G119=""),"错误:必填项",IF(E119="","警告:SKU待映射","OK"))))</x:f>
        <x:v>OK</x:v>
      </x:c>
    </x:row>
    <x:row r="120">
      <x:c r="A120" t="str">
        <x:v>MAP-4STOKEN-R116-480</x:v>
      </x:c>
      <x:c r="B120" t="str">
        <x:v>4sdance_fast431</x:v>
      </x:c>
      <x:c r="C120" t="str">
        <x:v>CH-4STOKEN</x:v>
      </x:c>
      <x:c r="D120" t="str">
        <x:v>4sdance_fast431</x:v>
      </x:c>
      <x:c r="E120" t="str">
        <x:v>SKU-SD20-FAST-480</x:v>
      </x:c>
      <x:c r="F120" t="str">
        <x:v>no_video</x:v>
      </x:c>
      <x:c r="G120" t="str">
        <x:v>否</x:v>
      </x:c>
      <x:c r="H120" t="n">
        <x:v>46229.393565162034</x:v>
      </x:c>
      <x:c r="I120"/>
      <x:c r="J120" t="str">
        <x:v>SRC-CH-09</x:v>
      </x:c>
      <x:c r="K120" t="str">
        <x:v>源行=sd!116；时长=4-15；比例=不限；视频输入=是；真人脸=是；超分=否；素材库=否；NSFW=否；协议=ARK API；原状态=空；素材限制=431；原表状态为空，默认停用待确认</x:v>
      </x:c>
      <x:c r="L120" t="str">
        <x:f>IF(A120="","",IF(COUNTIF($A$5:$A$1004,A120)&gt;1,"错误:重复映射ID",IF(OR(B120="",C120="",D120="",G120=""),"错误:必填项",IF(E120="","警告:SKU待映射","OK"))))</x:f>
        <x:v>OK</x:v>
      </x:c>
    </x:row>
    <x:row r="121">
      <x:c r="A121" t="str">
        <x:v>MAP-4STOKEN-R117-720</x:v>
      </x:c>
      <x:c r="B121" t="str">
        <x:v>4sdance_fast431</x:v>
      </x:c>
      <x:c r="C121" t="str">
        <x:v>CH-4STOKEN</x:v>
      </x:c>
      <x:c r="D121" t="str">
        <x:v>4sdance_fast431</x:v>
      </x:c>
      <x:c r="E121" t="str">
        <x:v>SKU-SD20-FAST-720</x:v>
      </x:c>
      <x:c r="F121" t="str">
        <x:v>no_video</x:v>
      </x:c>
      <x:c r="G121" t="str">
        <x:v>否</x:v>
      </x:c>
      <x:c r="H121" t="n">
        <x:v>46229.393565162034</x:v>
      </x:c>
      <x:c r="I121"/>
      <x:c r="J121" t="str">
        <x:v>SRC-CH-09</x:v>
      </x:c>
      <x:c r="K121" t="str">
        <x:v>源行=sd!117；时长=4-15；比例=不限；视频输入=是；真人脸=是；超分=否；素材库=否；NSFW=否；协议=ARK API；原状态=空；素材限制=431；原表状态为空，默认停用待确认</x:v>
      </x:c>
      <x:c r="L121" t="str">
        <x:f>IF(A121="","",IF(COUNTIF($A$5:$A$1004,A121)&gt;1,"错误:重复映射ID",IF(OR(B121="",C121="",D121="",G121=""),"错误:必填项",IF(E121="","警告:SKU待映射","OK"))))</x:f>
        <x:v>OK</x:v>
      </x:c>
    </x:row>
    <x:row r="122">
      <x:c r="A122" t="str">
        <x:v>MAP-4STOKEN-R118-1080</x:v>
      </x:c>
      <x:c r="B122" t="str">
        <x:v>4sdance_fast431</x:v>
      </x:c>
      <x:c r="C122" t="str">
        <x:v>CH-4STOKEN</x:v>
      </x:c>
      <x:c r="D122" t="str">
        <x:v>4sdance_fast431</x:v>
      </x:c>
      <x:c r="E122" t="str">
        <x:v>SKU-SD20-FAST-1080</x:v>
      </x:c>
      <x:c r="F122" t="str">
        <x:v>no_video</x:v>
      </x:c>
      <x:c r="G122" t="str">
        <x:v>否</x:v>
      </x:c>
      <x:c r="H122" t="n">
        <x:v>46229.393565162034</x:v>
      </x:c>
      <x:c r="I122"/>
      <x:c r="J122" t="str">
        <x:v>SRC-CH-09</x:v>
      </x:c>
      <x:c r="K122" t="str">
        <x:v>源行=sd!118；时长=4-15；比例=不限；视频输入=是；真人脸=是；超分=否；素材库=否；NSFW=否；协议=ARK API；原状态=空；素材限制=431；原表状态为空，默认停用待确认</x:v>
      </x:c>
      <x:c r="L122" t="str">
        <x:f>IF(A122="","",IF(COUNTIF($A$5:$A$1004,A122)&gt;1,"错误:重复映射ID",IF(OR(B122="",C122="",D122="",G122=""),"错误:必填项",IF(E122="","警告:SKU待映射","OK"))))</x:f>
        <x:v>OK</x:v>
      </x:c>
    </x:row>
    <x:row r="123">
      <x:c r="A123" t="str">
        <x:v>MAP-4STOKEN-R119-480</x:v>
      </x:c>
      <x:c r="B123" t="str">
        <x:v>4sdance431</x:v>
      </x:c>
      <x:c r="C123" t="str">
        <x:v>CH-4STOKEN</x:v>
      </x:c>
      <x:c r="D123" t="str">
        <x:v>4sdance431</x:v>
      </x:c>
      <x:c r="E123" t="str">
        <x:v>SKU-SD20-STD-480</x:v>
      </x:c>
      <x:c r="F123" t="str">
        <x:v>no_video</x:v>
      </x:c>
      <x:c r="G123" t="str">
        <x:v>否</x:v>
      </x:c>
      <x:c r="H123" t="n">
        <x:v>46229.393565162034</x:v>
      </x:c>
      <x:c r="I123"/>
      <x:c r="J123" t="str">
        <x:v>SRC-CH-09</x:v>
      </x:c>
      <x:c r="K123" t="str">
        <x:v>源行=sd!119；时长=4-15；比例=不限；视频输入=是；真人脸=是；超分=否；素材库=否；NSFW=否；协议=ARK API；原状态=空；素材限制=431；原表状态为空，默认停用待确认</x:v>
      </x:c>
      <x:c r="L123" t="str">
        <x:f>IF(A123="","",IF(COUNTIF($A$5:$A$1004,A123)&gt;1,"错误:重复映射ID",IF(OR(B123="",C123="",D123="",G123=""),"错误:必填项",IF(E123="","警告:SKU待映射","OK"))))</x:f>
        <x:v>OK</x:v>
      </x:c>
    </x:row>
    <x:row r="124">
      <x:c r="A124" t="str">
        <x:v>MAP-4STOKEN-R120-720</x:v>
      </x:c>
      <x:c r="B124" t="str">
        <x:v>4sdance431</x:v>
      </x:c>
      <x:c r="C124" t="str">
        <x:v>CH-4STOKEN</x:v>
      </x:c>
      <x:c r="D124" t="str">
        <x:v>4sdance431</x:v>
      </x:c>
      <x:c r="E124" t="str">
        <x:v>SKU-SD20-STD-720</x:v>
      </x:c>
      <x:c r="F124" t="str">
        <x:v>no_video</x:v>
      </x:c>
      <x:c r="G124" t="str">
        <x:v>否</x:v>
      </x:c>
      <x:c r="H124" t="n">
        <x:v>46229.393565162034</x:v>
      </x:c>
      <x:c r="I124"/>
      <x:c r="J124" t="str">
        <x:v>SRC-CH-09</x:v>
      </x:c>
      <x:c r="K124" t="str">
        <x:v>源行=sd!120；时长=4-15；比例=不限；视频输入=是；真人脸=是；超分=否；素材库=否；NSFW=否；协议=ARK API；原状态=空；素材限制=431；原表状态为空，默认停用待确认</x:v>
      </x:c>
      <x:c r="L124" t="str">
        <x:f>IF(A124="","",IF(COUNTIF($A$5:$A$1004,A124)&gt;1,"错误:重复映射ID",IF(OR(B124="",C124="",D124="",G124=""),"错误:必填项",IF(E124="","警告:SKU待映射","OK"))))</x:f>
        <x:v>OK</x:v>
      </x:c>
    </x:row>
    <x:row r="125">
      <x:c r="A125" t="str">
        <x:v>MAP-4STOKEN-R121-720</x:v>
      </x:c>
      <x:c r="B125" t="str">
        <x:v>4sdance_v2.0_900</x:v>
      </x:c>
      <x:c r="C125" t="str">
        <x:v>CH-4STOKEN</x:v>
      </x:c>
      <x:c r="D125" t="str">
        <x:v>4sdance_v2.0_900</x:v>
      </x:c>
      <x:c r="E125" t="str">
        <x:v>SKU-SD20-STD-720</x:v>
      </x:c>
      <x:c r="F125" t="str">
        <x:v>no_video</x:v>
      </x:c>
      <x:c r="G125" t="str">
        <x:v>否</x:v>
      </x:c>
      <x:c r="H125" t="n">
        <x:v>46229.393565162034</x:v>
      </x:c>
      <x:c r="I125"/>
      <x:c r="J125" t="str">
        <x:v>SRC-CH-09</x:v>
      </x:c>
      <x:c r="K125" t="str">
        <x:v>源行=sd!121；时长=4-15；比例=不限；视频输入=否；真人脸=是；超分=否；素材库=否；NSFW=否；协议=ARK API；原状态=空；素材限制=900；原表状态为空，默认停用待确认</x:v>
      </x:c>
      <x:c r="L125" t="str">
        <x:f>IF(A125="","",IF(COUNTIF($A$5:$A$1004,A125)&gt;1,"错误:重复映射ID",IF(OR(B125="",C125="",D125="",G125=""),"错误:必填项",IF(E125="","警告:SKU待映射","OK"))))</x:f>
        <x:v>OK</x:v>
      </x:c>
    </x:row>
    <x:row r="126">
      <x:c r="A126" t="str">
        <x:v>MAP-4STOKEN-R122-720</x:v>
      </x:c>
      <x:c r="B126" t="str">
        <x:v>4sdance933_fast</x:v>
      </x:c>
      <x:c r="C126" t="str">
        <x:v>CH-4STOKEN</x:v>
      </x:c>
      <x:c r="D126" t="str">
        <x:v>4sdance933_fast</x:v>
      </x:c>
      <x:c r="E126" t="str">
        <x:v>SKU-SD20-FAST-720</x:v>
      </x:c>
      <x:c r="F126" t="str">
        <x:v>no_video</x:v>
      </x:c>
      <x:c r="G126" t="str">
        <x:v>否</x:v>
      </x:c>
      <x:c r="H126" t="n">
        <x:v>46229.393565162034</x:v>
      </x:c>
      <x:c r="I126"/>
      <x:c r="J126" t="str">
        <x:v>SRC-CH-09</x:v>
      </x:c>
      <x:c r="K126" t="str">
        <x:v>源行=sd!122；时长=4-15；比例=不限；视频输入=是；真人脸=否；超分=否；素材库=否；NSFW=否；协议=ARK API；原状态=空；素材限制=933；原表状态为空，默认停用待确认</x:v>
      </x:c>
      <x:c r="L126" t="str">
        <x:f>IF(A126="","",IF(COUNTIF($A$5:$A$1004,A126)&gt;1,"错误:重复映射ID",IF(OR(B126="",C126="",D126="",G126=""),"错误:必填项",IF(E126="","警告:SKU待映射","OK"))))</x:f>
        <x:v>OK</x:v>
      </x:c>
    </x:row>
    <x:row r="127">
      <x:c r="A127" t="str">
        <x:v>MAP-4STOKEN-R123-720</x:v>
      </x:c>
      <x:c r="B127" t="str">
        <x:v>4sdance_fast_933face</x:v>
      </x:c>
      <x:c r="C127" t="str">
        <x:v>CH-4STOKEN</x:v>
      </x:c>
      <x:c r="D127" t="str">
        <x:v>4sdance_fast_933face</x:v>
      </x:c>
      <x:c r="E127" t="str">
        <x:v>SKU-SD20-FAST-720</x:v>
      </x:c>
      <x:c r="F127" t="str">
        <x:v>no_video</x:v>
      </x:c>
      <x:c r="G127" t="str">
        <x:v>否</x:v>
      </x:c>
      <x:c r="H127" t="n">
        <x:v>46229.393565162034</x:v>
      </x:c>
      <x:c r="I127"/>
      <x:c r="J127" t="str">
        <x:v>SRC-CH-09</x:v>
      </x:c>
      <x:c r="K127" t="str">
        <x:v>源行=sd!123；时长=4-15；比例=不限；视频输入=是；真人脸=是；超分=否；素材库=否；NSFW=否；协议=ARK API；原状态=空；素材限制=933；原表状态为空，默认停用待确认</x:v>
      </x:c>
      <x:c r="L127" t="str">
        <x:f>IF(A127="","",IF(COUNTIF($A$5:$A$1004,A127)&gt;1,"错误:重复映射ID",IF(OR(B127="",C127="",D127="",G127=""),"错误:必填项",IF(E127="","警告:SKU待映射","OK"))))</x:f>
        <x:v>OK</x:v>
      </x:c>
    </x:row>
    <x:row r="128">
      <x:c r="A128" t="str">
        <x:v>MAP-4STOKEN-R124-720</x:v>
      </x:c>
      <x:c r="B128" t="str">
        <x:v>4sdance933</x:v>
      </x:c>
      <x:c r="C128" t="str">
        <x:v>CH-4STOKEN</x:v>
      </x:c>
      <x:c r="D128" t="str">
        <x:v>4sdance933</x:v>
      </x:c>
      <x:c r="E128" t="str">
        <x:v>SKU-SD20-STD-720</x:v>
      </x:c>
      <x:c r="F128" t="str">
        <x:v>no_video</x:v>
      </x:c>
      <x:c r="G128" t="str">
        <x:v>否</x:v>
      </x:c>
      <x:c r="H128" t="n">
        <x:v>46229.393565162034</x:v>
      </x:c>
      <x:c r="I128"/>
      <x:c r="J128" t="str">
        <x:v>SRC-CH-09</x:v>
      </x:c>
      <x:c r="K128" t="str">
        <x:v>源行=sd!124；时长=4-15；比例=不限；视频输入=是；真人脸=否；超分=否；素材库=否；NSFW=否；协议=ARK API；原状态=空；素材限制=933；原表状态为空，默认停用待确认</x:v>
      </x:c>
      <x:c r="L128" t="str">
        <x:f>IF(A128="","",IF(COUNTIF($A$5:$A$1004,A128)&gt;1,"错误:重复映射ID",IF(OR(B128="",C128="",D128="",G128=""),"错误:必填项",IF(E128="","警告:SKU待映射","OK"))))</x:f>
        <x:v>OK</x:v>
      </x:c>
    </x:row>
    <x:row r="129">
      <x:c r="A129" t="str">
        <x:v>MAP-4STOKEN-R125-480</x:v>
      </x:c>
      <x:c r="B129" t="str">
        <x:v>4sdance_431_480p</x:v>
      </x:c>
      <x:c r="C129" t="str">
        <x:v>CH-4STOKEN</x:v>
      </x:c>
      <x:c r="D129" t="str">
        <x:v>4sdance_431_480p</x:v>
      </x:c>
      <x:c r="E129" t="str">
        <x:v>SKU-SD20-STD-480</x:v>
      </x:c>
      <x:c r="F129" t="str">
        <x:v>no_video</x:v>
      </x:c>
      <x:c r="G129" t="str">
        <x:v>否</x:v>
      </x:c>
      <x:c r="H129" t="n">
        <x:v>46229.393565162034</x:v>
      </x:c>
      <x:c r="I129"/>
      <x:c r="J129" t="str">
        <x:v>SRC-CH-09</x:v>
      </x:c>
      <x:c r="K129" t="str">
        <x:v>源行=sd!125；时长=4-15；比例=不限；视频输入=是；真人脸=否；超分=否；素材库=否；NSFW=否；协议=ARK API；原状态=空；素材限制=431；原表状态为空，默认停用待确认</x:v>
      </x:c>
      <x:c r="L129" t="str">
        <x:f>IF(A129="","",IF(COUNTIF($A$5:$A$1004,A129)&gt;1,"错误:重复映射ID",IF(OR(B129="",C129="",D129="",G129=""),"错误:必填项",IF(E129="","警告:SKU待映射","OK"))))</x:f>
        <x:v>OK</x:v>
      </x:c>
    </x:row>
  </x:sheetData>
  <x:mergeCells>
    <x:mergeCell ref="A1:L1"/>
    <x:mergeCell ref="A2:L2"/>
  </x:mergeCells>
  <x:conditionalFormatting sqref="L5:L119">
    <x:cfRule type="containsText" dxfId="7" priority="1" operator="containsText" text="警告"/>
  </x:conditionalFormatting>
  <x:dataValidations count="2">
    <x:dataValidation type="list" sqref="F5:F1004">
      <x:formula1>"no_video,with_video"</x:formula1>
    </x:dataValidation>
    <x:dataValidation type="list" sqref="G5:G1004">
      <x:formula1>"是,否"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000000000000022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3.5"/>
  <x:cols>
    <x:col min="1" max="1" width="22" customWidth="1"/>
    <x:col min="2" max="2" width="30" customWidth="1"/>
    <x:col min="3" max="3" width="44" customWidth="1"/>
    <x:col min="4" max="4" width="13" customWidth="1"/>
    <x:col min="5" max="6" width="15" customWidth="1"/>
    <x:col min="7" max="7" width="24" customWidth="1"/>
    <x:col min="8" max="8" width="15" customWidth="1"/>
    <x:col min="9" max="10" width="11" customWidth="1"/>
    <x:col min="11" max="11" width="9" customWidth="1"/>
    <x:col min="12" max="12" width="18" customWidth="1"/>
    <x:col min="13" max="13" width="16" customWidth="1"/>
    <x:col min="14" max="18" width="17" customWidth="1"/>
    <x:col min="19" max="19" width="13" customWidth="1"/>
    <x:col min="20" max="20" width="20" customWidth="1"/>
    <x:col min="21" max="21" width="44" customWidth="1"/>
  </x:cols>
  <x:sheetData>
    <x:row r="1" ht="34.04999923706055" customHeight="1">
      <x:c r="A1" s="33" t="s">
        <x:v>54</x:v>
      </x:c>
      <x:c r="B1" s="33"/>
      <x:c r="C1" s="33"/>
      <x:c r="D1" s="33"/>
      <x:c r="E1" s="33"/>
      <x:c r="F1" s="33"/>
      <x:c r="G1" s="33"/>
      <x:c r="H1" s="33"/>
      <x:c r="I1" s="33"/>
      <x:c r="J1" s="33"/>
      <x:c r="K1" s="33"/>
      <x:c r="L1" s="33"/>
      <x:c r="M1" s="33"/>
      <x:c r="N1" s="33"/>
      <x:c r="O1" s="33"/>
      <x:c r="P1" s="33"/>
      <x:c r="Q1" s="33"/>
      <x:c r="R1" s="33"/>
      <x:c r="S1" s="33"/>
      <x:c r="T1" s="33"/>
      <x:c r="U1" s="33"/>
    </x:row>
    <x:row r="2" ht="32" customHeight="1">
      <x:c r="A2" s="34" t="s">
        <x:v>187</x:v>
      </x:c>
      <x:c r="B2" s="34"/>
      <x:c r="C2" s="34"/>
      <x:c r="D2" s="34"/>
      <x:c r="E2" s="34"/>
      <x:c r="F2" s="34"/>
      <x:c r="G2" s="34"/>
      <x:c r="H2" s="34"/>
      <x:c r="I2" s="34"/>
      <x:c r="J2" s="34"/>
      <x:c r="K2" s="34"/>
      <x:c r="L2" s="34"/>
      <x:c r="M2" s="34"/>
      <x:c r="N2" s="34"/>
      <x:c r="O2" s="34"/>
      <x:c r="P2" s="34"/>
      <x:c r="Q2" s="34"/>
      <x:c r="R2" s="34"/>
      <x:c r="S2" s="34"/>
      <x:c r="T2" s="34"/>
      <x:c r="U2" s="34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</x:row>
    <x:row r="4" ht="34.04999923706055" customHeight="1">
      <x:c r="A4" s="1" t="s">
        <x:v>56</x:v>
      </x:c>
      <x:c r="B4" s="1" t="s">
        <x:v>188</x:v>
      </x:c>
      <x:c r="C4" s="1" t="s">
        <x:v>42</x:v>
      </x:c>
      <x:c r="D4" s="1" t="s">
        <x:v>189</x:v>
      </x:c>
      <x:c r="E4" s="1" t="s">
        <x:v>190</x:v>
      </x:c>
      <x:c r="F4" s="1" t="s">
        <x:v>191</x:v>
      </x:c>
      <x:c r="G4" s="1" t="s">
        <x:v>28</x:v>
      </x:c>
      <x:c r="H4" s="1" t="s">
        <x:v>161</x:v>
      </x:c>
      <x:c r="I4" s="1" t="s">
        <x:v>149</x:v>
      </x:c>
      <x:c r="J4" s="1" t="s">
        <x:v>150</x:v>
      </x:c>
      <x:c r="K4" s="1" t="s">
        <x:v>151</x:v>
      </x:c>
      <x:c r="L4" s="1" t="s">
        <x:v>192</x:v>
      </x:c>
      <x:c r="M4" s="1" t="s">
        <x:v>173</x:v>
      </x:c>
      <x:c r="N4" s="1" t="s">
        <x:v>75</x:v>
      </x:c>
      <x:c r="O4" s="1" t="s">
        <x:v>193</x:v>
      </x:c>
      <x:c r="P4" s="1" t="s">
        <x:v>194</x:v>
      </x:c>
      <x:c r="Q4" s="1" t="s">
        <x:v>195</x:v>
      </x:c>
      <x:c r="R4" s="1" t="s">
        <x:v>196</x:v>
      </x:c>
      <x:c r="S4" s="1" t="s">
        <x:v>197</x:v>
      </x:c>
      <x:c r="T4" s="1" t="s">
        <x:v>198</x:v>
      </x:c>
      <x:c r="U4" s="1" t="s">
        <x:v>93</x:v>
      </x:c>
    </x:row>
    <x:row r="5" ht="15" customHeight="1">
      <x:c r="A5" s="19" t="str">
        <x:v>CASE-CLMM-R3-720-SEC-NOV</x:v>
      </x:c>
      <x:c r="B5" s="19" t="str">
        <x:v>SALE-SD20-FAST-720-NOV</x:v>
      </x:c>
      <x:c r="C5" s="19" t="str">
        <x:v>COST-CLMM-R3-720-SEC-NOV</x:v>
      </x:c>
      <x:c r="D5" s="28" t="n">
        <x:v>1</x:v>
      </x:c>
      <x:c r="E5" s="28" t="n">
        <x:v>0</x:v>
      </x:c>
      <x:c r="F5" s="28" t="n">
        <x:v>5</x:v>
      </x:c>
      <x:c r="G5" s="23" t="str">
        <x:f>IFERROR(INDEX('官方售价'!$C$5:$C$204,MATCH(B5,'官方售价'!$A$5:$A$204,0)),"")</x:f>
        <x:v>SKU-SD20-FAST-720</x:v>
      </x:c>
      <x:c r="H5" s="23" t="str">
        <x:f>IFERROR(INDEX('官方售价'!$D$5:$D$204,MATCH(B5,'官方售价'!$A$5:$A$204,0)),"")</x:f>
        <x:v>no_video</x:v>
      </x:c>
      <x:c r="I5" s="23" t="n">
        <x:f>IFERROR(INDEX('官方售价'!$H$5:$H$204,MATCH(B5,'官方售价'!$A$5:$A$204,0)),0)</x:f>
        <x:v>1280</x:v>
      </x:c>
      <x:c r="J5" s="23" t="n">
        <x:f>IFERROR(INDEX('官方售价'!$I$5:$I$204,MATCH(B5,'官方售价'!$A$5:$A$204,0)),0)</x:f>
        <x:v>720</x:v>
      </x:c>
      <x:c r="K5" s="23" t="n">
        <x:f>IFERROR(INDEX('官方售价'!$J$5:$J$204,MATCH(B5,'官方售价'!$A$5:$A$204,0)),0)</x:f>
        <x:v>24</x:v>
      </x:c>
      <x:c r="L5" s="25" t="n">
        <x:f>(E5+F5)*I5*J5*K5/'参数'!$B$7</x:f>
        <x:v>108000</x:v>
      </x:c>
      <x:c r="M5" s="23" t="str">
        <x:f>IFERROR(INDEX('渠道成本'!$F$5:$F$1004,MATCH(C5,'渠道成本'!$A$5:$A$1004,0)),"")</x:f>
        <x:v>per_duration</x:v>
      </x:c>
      <x:c r="N5" s="26" t="n">
        <x:f>IFERROR(INDEX('渠道成本'!$U$5:$U$1004,MATCH(C5,'渠道成本'!$A$5:$A$1004,0)),0)</x:f>
        <x:v>0.18904109589041093</x:v>
      </x:c>
      <x:c r="O5" s="26" t="n">
        <x:f>IFERROR(L5/'参数'!$B$8*INDEX('官方售价'!$M$5:$M$204,MATCH(B5,'官方售价'!$A$5:$A$204,0)),0)</x:f>
        <x:v>0.5473972602739726</x:v>
      </x:c>
      <x:c r="P5" s="26" t="n">
        <x:f>IF(M5="per_token",L5/'参数'!$B$8*N5,IF(M5="per_duration",F5*N5,IF(M5="per_request",N5,0)))</x:f>
        <x:v>0.9452054794520547</x:v>
      </x:c>
      <x:c r="Q5" s="26" t="n">
        <x:f>O5*D5</x:f>
        <x:v>0.5473972602739726</x:v>
      </x:c>
      <x:c r="R5" s="26" t="n">
        <x:f>Q5-P5</x:f>
        <x:v>-0.39780821917808207</x:v>
      </x:c>
      <x:c r="S5" s="29" t="n">
        <x:f>IF(Q5=0,"",R5/Q5)</x:f>
        <x:v>-0.7267267267267264</x:v>
      </x:c>
      <x:c r="T5" s="23" t="str">
        <x:f>IF(OR(B5="",C5=""),"pending",IF(OR(O5&lt;0,P5&lt;0),"settlement_failed","settled"))</x:f>
        <x:v>settled</x:v>
      </x:c>
      <x:c r="U5" s="7" t="str">
        <x:v>源行=sd!3；自动利润预览；分组倍率可改为用户折扣</x:v>
      </x:c>
    </x:row>
    <x:row r="6" ht="15" customHeight="1">
      <x:c r="A6" s="19" t="str">
        <x:v>CASE-CLMM-R3-720-SEC-VID</x:v>
      </x:c>
      <x:c r="B6" s="19" t="str">
        <x:v>SALE-SD20-FAST-720-VID</x:v>
      </x:c>
      <x:c r="C6" s="19" t="str">
        <x:v>COST-CLMM-R3-720-SEC-VID</x:v>
      </x:c>
      <x:c r="D6" s="28" t="n">
        <x:v>1</x:v>
      </x:c>
      <x:c r="E6" s="28" t="n">
        <x:v>3</x:v>
      </x:c>
      <x:c r="F6" s="28" t="n">
        <x:v>5</x:v>
      </x:c>
      <x:c r="G6" s="23" t="str">
        <x:f>IFERROR(INDEX('官方售价'!$C$5:$C$204,MATCH(B6,'官方售价'!$A$5:$A$204,0)),"")</x:f>
        <x:v>SKU-SD20-FAST-720</x:v>
      </x:c>
      <x:c r="H6" s="23" t="str">
        <x:f>IFERROR(INDEX('官方售价'!$D$5:$D$204,MATCH(B6,'官方售价'!$A$5:$A$204,0)),"")</x:f>
        <x:v>with_video</x:v>
      </x:c>
      <x:c r="I6" s="23" t="n">
        <x:f>IFERROR(INDEX('官方售价'!$H$5:$H$204,MATCH(B6,'官方售价'!$A$5:$A$204,0)),0)</x:f>
        <x:v>1280</x:v>
      </x:c>
      <x:c r="J6" s="23" t="n">
        <x:f>IFERROR(INDEX('官方售价'!$I$5:$I$204,MATCH(B6,'官方售价'!$A$5:$A$204,0)),0)</x:f>
        <x:v>720</x:v>
      </x:c>
      <x:c r="K6" s="23" t="n">
        <x:f>IFERROR(INDEX('官方售价'!$J$5:$J$204,MATCH(B6,'官方售价'!$A$5:$A$204,0)),0)</x:f>
        <x:v>24</x:v>
      </x:c>
      <x:c r="L6" s="25" t="n">
        <x:f>(E6+F6)*I6*J6*K6/'参数'!$B$7</x:f>
        <x:v>172800</x:v>
      </x:c>
      <x:c r="M6" s="23" t="str">
        <x:f>IFERROR(INDEX('渠道成本'!$F$5:$F$1004,MATCH(C6,'渠道成本'!$A$5:$A$1004,0)),"")</x:f>
        <x:v>per_duration</x:v>
      </x:c>
      <x:c r="N6" s="26" t="n">
        <x:f>IFERROR(INDEX('渠道成本'!$U$5:$U$1004,MATCH(C6,'渠道成本'!$A$5:$A$1004,0)),0)</x:f>
        <x:v>0.18904109589041093</x:v>
      </x:c>
      <x:c r="O6" s="26" t="n">
        <x:f>IFERROR(L6/'参数'!$B$8*INDEX('官方售价'!$M$5:$M$204,MATCH(B6,'官方售价'!$A$5:$A$204,0)),0)</x:f>
        <x:v>0.5207671232876712</x:v>
      </x:c>
      <x:c r="P6" s="26" t="n">
        <x:f>IF(M6="per_token",L6/'参数'!$B$8*N6,IF(M6="per_duration",F6*N6,IF(M6="per_request",N6,0)))</x:f>
        <x:v>0.9452054794520547</x:v>
      </x:c>
      <x:c r="Q6" s="26" t="n">
        <x:f>O6*D6</x:f>
        <x:v>0.5207671232876712</x:v>
      </x:c>
      <x:c r="R6" s="26" t="n">
        <x:f>Q6-P6</x:f>
        <x:v>-0.4244383561643835</x:v>
      </x:c>
      <x:c r="S6" s="29" t="n">
        <x:f>IF(Q6=0,"",R6/Q6)</x:f>
        <x:v>-0.8150252525252526</x:v>
      </x:c>
      <x:c r="T6" s="23" t="str">
        <x:f>IF(OR(B6="",C6=""),"pending",IF(OR(O6&lt;0,P6&lt;0),"settlement_failed","settled"))</x:f>
        <x:v>settled</x:v>
      </x:c>
      <x:c r="U6" s="7" t="str">
        <x:v>源行=sd!3；自动利润预览；分组倍率可改为用户折扣</x:v>
      </x:c>
    </x:row>
    <x:row r="7" ht="15" customHeight="1">
      <x:c r="A7" s="19" t="str">
        <x:v>CASE-CLMM-R4-1080-REQ-NOV</x:v>
      </x:c>
      <x:c r="B7" s="19" t="str">
        <x:v>SALE-SD20-STD-1080-NOV</x:v>
      </x:c>
      <x:c r="C7" s="19" t="str">
        <x:v>COST-CLMM-R4-1080-REQ-NOV</x:v>
      </x:c>
      <x:c r="D7" s="28" t="n">
        <x:v>1</x:v>
      </x:c>
      <x:c r="E7" s="28" t="n">
        <x:v>0</x:v>
      </x:c>
      <x:c r="F7" s="28" t="n">
        <x:v>15</x:v>
      </x:c>
      <x:c r="G7" s="23" t="str">
        <x:f>IFERROR(INDEX('官方售价'!$C$5:$C$204,MATCH(B7,'官方售价'!$A$5:$A$204,0)),"")</x:f>
        <x:v>SKU-SD20-STD-1080</x:v>
      </x:c>
      <x:c r="H7" s="23" t="str">
        <x:f>IFERROR(INDEX('官方售价'!$D$5:$D$204,MATCH(B7,'官方售价'!$A$5:$A$204,0)),"")</x:f>
        <x:v>no_video</x:v>
      </x:c>
      <x:c r="I7" s="23" t="n">
        <x:f>IFERROR(INDEX('官方售价'!$H$5:$H$204,MATCH(B7,'官方售价'!$A$5:$A$204,0)),0)</x:f>
        <x:v>1920</x:v>
      </x:c>
      <x:c r="J7" s="23" t="n">
        <x:f>IFERROR(INDEX('官方售价'!$I$5:$I$204,MATCH(B7,'官方售价'!$A$5:$A$204,0)),0)</x:f>
        <x:v>1080</x:v>
      </x:c>
      <x:c r="K7" s="23" t="n">
        <x:f>IFERROR(INDEX('官方售价'!$J$5:$J$204,MATCH(B7,'官方售价'!$A$5:$A$204,0)),0)</x:f>
        <x:v>24</x:v>
      </x:c>
      <x:c r="L7" s="25" t="n">
        <x:f>(E7+F7)*I7*J7*K7/'参数'!$B$7</x:f>
        <x:v>729000</x:v>
      </x:c>
      <x:c r="M7" s="23" t="str">
        <x:f>IFERROR(INDEX('渠道成本'!$F$5:$F$1004,MATCH(C7,'渠道成本'!$A$5:$A$1004,0)),"")</x:f>
        <x:v>per_request</x:v>
      </x:c>
      <x:c r="N7" s="26" t="n">
        <x:f>IFERROR(INDEX('渠道成本'!$U$5:$U$1004,MATCH(C7,'渠道成本'!$A$5:$A$1004,0)),0)</x:f>
        <x:v>0.9315068493150684</x:v>
      </x:c>
      <x:c r="O7" s="26" t="n">
        <x:f>IFERROR(L7/'参数'!$B$8*INDEX('官方售价'!$M$5:$M$204,MATCH(B7,'官方售价'!$A$5:$A$204,0)),0)</x:f>
        <x:v>5.093013698630137</x:v>
      </x:c>
      <x:c r="P7" s="26" t="n">
        <x:f>IF(M7="per_token",L7/'参数'!$B$8*N7,IF(M7="per_duration",F7*N7,IF(M7="per_request",N7,0)))</x:f>
        <x:v>0.9315068493150684</x:v>
      </x:c>
      <x:c r="Q7" s="26" t="n">
        <x:f>O7*D7</x:f>
        <x:v>5.093013698630137</x:v>
      </x:c>
      <x:c r="R7" s="26" t="n">
        <x:f>Q7-P7</x:f>
        <x:v>4.161506849315068</x:v>
      </x:c>
      <x:c r="S7" s="29" t="n">
        <x:f>IF(Q7=0,"",R7/Q7)</x:f>
        <x:v>0.8171010516689529</x:v>
      </x:c>
      <x:c r="T7" s="23" t="str">
        <x:f>IF(OR(B7="",C7=""),"pending",IF(OR(O7&lt;0,P7&lt;0),"settlement_failed","settled"))</x:f>
        <x:v>settled</x:v>
      </x:c>
      <x:c r="U7" s="7" t="str">
        <x:v>源行=sd!4；自动利润预览；分组倍率可改为用户折扣</x:v>
      </x:c>
    </x:row>
    <x:row r="8" ht="15" customHeight="1">
      <x:c r="A8" s="19" t="str">
        <x:v>CASE-CLMM-R4-1080-REQ-VID</x:v>
      </x:c>
      <x:c r="B8" s="19" t="str">
        <x:v>SALE-SD20-STD-1080-VID</x:v>
      </x:c>
      <x:c r="C8" s="19" t="str">
        <x:v>COST-CLMM-R4-1080-REQ-VID</x:v>
      </x:c>
      <x:c r="D8" s="28" t="n">
        <x:v>1</x:v>
      </x:c>
      <x:c r="E8" s="28" t="n">
        <x:v>3</x:v>
      </x:c>
      <x:c r="F8" s="28" t="n">
        <x:v>15</x:v>
      </x:c>
      <x:c r="G8" s="23" t="str">
        <x:f>IFERROR(INDEX('官方售价'!$C$5:$C$204,MATCH(B8,'官方售价'!$A$5:$A$204,0)),"")</x:f>
        <x:v>SKU-SD20-STD-1080</x:v>
      </x:c>
      <x:c r="H8" s="23" t="str">
        <x:f>IFERROR(INDEX('官方售价'!$D$5:$D$204,MATCH(B8,'官方售价'!$A$5:$A$204,0)),"")</x:f>
        <x:v>with_video</x:v>
      </x:c>
      <x:c r="I8" s="23" t="n">
        <x:f>IFERROR(INDEX('官方售价'!$H$5:$H$204,MATCH(B8,'官方售价'!$A$5:$A$204,0)),0)</x:f>
        <x:v>1920</x:v>
      </x:c>
      <x:c r="J8" s="23" t="n">
        <x:f>IFERROR(INDEX('官方售价'!$I$5:$I$204,MATCH(B8,'官方售价'!$A$5:$A$204,0)),0)</x:f>
        <x:v>1080</x:v>
      </x:c>
      <x:c r="K8" s="23" t="n">
        <x:f>IFERROR(INDEX('官方售价'!$J$5:$J$204,MATCH(B8,'官方售价'!$A$5:$A$204,0)),0)</x:f>
        <x:v>24</x:v>
      </x:c>
      <x:c r="L8" s="25" t="n">
        <x:f>(E8+F8)*I8*J8*K8/'参数'!$B$7</x:f>
        <x:v>874800</x:v>
      </x:c>
      <x:c r="M8" s="23" t="str">
        <x:f>IFERROR(INDEX('渠道成本'!$F$5:$F$1004,MATCH(C8,'渠道成本'!$A$5:$A$1004,0)),"")</x:f>
        <x:v>per_request</x:v>
      </x:c>
      <x:c r="N8" s="26" t="n">
        <x:f>IFERROR(INDEX('渠道成本'!$U$5:$U$1004,MATCH(C8,'渠道成本'!$A$5:$A$1004,0)),0)</x:f>
        <x:v>0.9315068493150684</x:v>
      </x:c>
      <x:c r="O8" s="26" t="n">
        <x:f>IFERROR(L8/'参数'!$B$8*INDEX('官方售价'!$M$5:$M$204,MATCH(B8,'官方售价'!$A$5:$A$204,0)),0)</x:f>
        <x:v>3.714904109589041</x:v>
      </x:c>
      <x:c r="P8" s="26" t="n">
        <x:f>IF(M8="per_token",L8/'参数'!$B$8*N8,IF(M8="per_duration",F8*N8,IF(M8="per_request",N8,0)))</x:f>
        <x:v>0.9315068493150684</x:v>
      </x:c>
      <x:c r="Q8" s="26" t="n">
        <x:f>O8*D8</x:f>
        <x:v>3.714904109589041</x:v>
      </x:c>
      <x:c r="R8" s="26" t="n">
        <x:f>Q8-P8</x:f>
        <x:v>2.783397260273973</x:v>
      </x:c>
      <x:c r="S8" s="29" t="n">
        <x:f>IF(Q8=0,"",R8/Q8)</x:f>
        <x:v>0.7492514418042097</x:v>
      </x:c>
      <x:c r="T8" s="23" t="str">
        <x:f>IF(OR(B8="",C8=""),"pending",IF(OR(O8&lt;0,P8&lt;0),"settlement_failed","settled"))</x:f>
        <x:v>settled</x:v>
      </x:c>
      <x:c r="U8" s="7" t="str">
        <x:v>源行=sd!4；自动利润预览；分组倍率可改为用户折扣</x:v>
      </x:c>
    </x:row>
    <x:row r="9" ht="15" customHeight="1">
      <x:c r="A9" s="19" t="str">
        <x:v>CASE-CLMM-R5-720-REQ-NOV</x:v>
      </x:c>
      <x:c r="B9" s="19" t="str">
        <x:v>SALE-SD20-FAST-720-NOV</x:v>
      </x:c>
      <x:c r="C9" s="19" t="str">
        <x:v>COST-CLMM-R5-720-REQ-NOV</x:v>
      </x:c>
      <x:c r="D9" s="28" t="n">
        <x:v>1</x:v>
      </x:c>
      <x:c r="E9" s="28" t="n">
        <x:v>0</x:v>
      </x:c>
      <x:c r="F9" s="28" t="n">
        <x:v>15</x:v>
      </x:c>
      <x:c r="G9" s="23" t="str">
        <x:f>IFERROR(INDEX('官方售价'!$C$5:$C$204,MATCH(B9,'官方售价'!$A$5:$A$204,0)),"")</x:f>
        <x:v>SKU-SD20-FAST-720</x:v>
      </x:c>
      <x:c r="H9" s="23" t="str">
        <x:f>IFERROR(INDEX('官方售价'!$D$5:$D$204,MATCH(B9,'官方售价'!$A$5:$A$204,0)),"")</x:f>
        <x:v>no_video</x:v>
      </x:c>
      <x:c r="I9" s="23" t="n">
        <x:f>IFERROR(INDEX('官方售价'!$H$5:$H$204,MATCH(B9,'官方售价'!$A$5:$A$204,0)),0)</x:f>
        <x:v>1280</x:v>
      </x:c>
      <x:c r="J9" s="23" t="n">
        <x:f>IFERROR(INDEX('官方售价'!$I$5:$I$204,MATCH(B9,'官方售价'!$A$5:$A$204,0)),0)</x:f>
        <x:v>720</x:v>
      </x:c>
      <x:c r="K9" s="23" t="n">
        <x:f>IFERROR(INDEX('官方售价'!$J$5:$J$204,MATCH(B9,'官方售价'!$A$5:$A$204,0)),0)</x:f>
        <x:v>24</x:v>
      </x:c>
      <x:c r="L9" s="25" t="n">
        <x:f>(E9+F9)*I9*J9*K9/'参数'!$B$7</x:f>
        <x:v>324000</x:v>
      </x:c>
      <x:c r="M9" s="23" t="str">
        <x:f>IFERROR(INDEX('渠道成本'!$F$5:$F$1004,MATCH(C9,'渠道成本'!$A$5:$A$1004,0)),"")</x:f>
        <x:v>per_request</x:v>
      </x:c>
      <x:c r="N9" s="26" t="n">
        <x:f>IFERROR(INDEX('渠道成本'!$U$5:$U$1004,MATCH(C9,'渠道成本'!$A$5:$A$1004,0)),0)</x:f>
        <x:v>0.6410958904109588</x:v>
      </x:c>
      <x:c r="O9" s="26" t="n">
        <x:f>IFERROR(L9/'参数'!$B$8*INDEX('官方售价'!$M$5:$M$204,MATCH(B9,'官方售价'!$A$5:$A$204,0)),0)</x:f>
        <x:v>1.6421917808219177</x:v>
      </x:c>
      <x:c r="P9" s="26" t="n">
        <x:f>IF(M9="per_token",L9/'参数'!$B$8*N9,IF(M9="per_duration",F9*N9,IF(M9="per_request",N9,0)))</x:f>
        <x:v>0.6410958904109588</x:v>
      </x:c>
      <x:c r="Q9" s="26" t="n">
        <x:f>O9*D9</x:f>
        <x:v>1.6421917808219177</x:v>
      </x:c>
      <x:c r="R9" s="26" t="n">
        <x:f>Q9-P9</x:f>
        <x:v>1.001095890410959</x:v>
      </x:c>
      <x:c r="S9" s="29" t="n">
        <x:f>IF(Q9=0,"",R9/Q9)</x:f>
        <x:v>0.6096096096096097</x:v>
      </x:c>
      <x:c r="T9" s="23" t="str">
        <x:f>IF(OR(B9="",C9=""),"pending",IF(OR(O9&lt;0,P9&lt;0),"settlement_failed","settled"))</x:f>
        <x:v>settled</x:v>
      </x:c>
      <x:c r="U9" s="7" t="str">
        <x:v>源行=sd!5；自动利润预览；分组倍率可改为用户折扣</x:v>
      </x:c>
    </x:row>
    <x:row r="10" ht="15" customHeight="1">
      <x:c r="A10" s="19" t="str">
        <x:v>CASE-CLMM-R5-720-REQ-VID</x:v>
      </x:c>
      <x:c r="B10" s="19" t="str">
        <x:v>SALE-SD20-FAST-720-VID</x:v>
      </x:c>
      <x:c r="C10" s="19" t="str">
        <x:v>COST-CLMM-R5-720-REQ-VID</x:v>
      </x:c>
      <x:c r="D10" s="28" t="n">
        <x:v>1</x:v>
      </x:c>
      <x:c r="E10" s="28" t="n">
        <x:v>3</x:v>
      </x:c>
      <x:c r="F10" s="28" t="n">
        <x:v>15</x:v>
      </x:c>
      <x:c r="G10" s="23" t="str">
        <x:f>IFERROR(INDEX('官方售价'!$C$5:$C$204,MATCH(B10,'官方售价'!$A$5:$A$204,0)),"")</x:f>
        <x:v>SKU-SD20-FAST-720</x:v>
      </x:c>
      <x:c r="H10" s="23" t="str">
        <x:f>IFERROR(INDEX('官方售价'!$D$5:$D$204,MATCH(B10,'官方售价'!$A$5:$A$204,0)),"")</x:f>
        <x:v>with_video</x:v>
      </x:c>
      <x:c r="I10" s="23" t="n">
        <x:f>IFERROR(INDEX('官方售价'!$H$5:$H$204,MATCH(B10,'官方售价'!$A$5:$A$204,0)),0)</x:f>
        <x:v>1280</x:v>
      </x:c>
      <x:c r="J10" s="23" t="n">
        <x:f>IFERROR(INDEX('官方售价'!$I$5:$I$204,MATCH(B10,'官方售价'!$A$5:$A$204,0)),0)</x:f>
        <x:v>720</x:v>
      </x:c>
      <x:c r="K10" s="23" t="n">
        <x:f>IFERROR(INDEX('官方售价'!$J$5:$J$204,MATCH(B10,'官方售价'!$A$5:$A$204,0)),0)</x:f>
        <x:v>24</x:v>
      </x:c>
      <x:c r="L10" s="25" t="n">
        <x:f>(E10+F10)*I10*J10*K10/'参数'!$B$7</x:f>
        <x:v>388800</x:v>
      </x:c>
      <x:c r="M10" s="23" t="str">
        <x:f>IFERROR(INDEX('渠道成本'!$F$5:$F$1004,MATCH(C10,'渠道成本'!$A$5:$A$1004,0)),"")</x:f>
        <x:v>per_request</x:v>
      </x:c>
      <x:c r="N10" s="26" t="n">
        <x:f>IFERROR(INDEX('渠道成本'!$U$5:$U$1004,MATCH(C10,'渠道成本'!$A$5:$A$1004,0)),0)</x:f>
        <x:v>0.6410958904109588</x:v>
      </x:c>
      <x:c r="O10" s="26" t="n">
        <x:f>IFERROR(L10/'参数'!$B$8*INDEX('官方售价'!$M$5:$M$204,MATCH(B10,'官方售价'!$A$5:$A$204,0)),0)</x:f>
        <x:v>1.17172602739726</x:v>
      </x:c>
      <x:c r="P10" s="26" t="n">
        <x:f>IF(M10="per_token",L10/'参数'!$B$8*N10,IF(M10="per_duration",F10*N10,IF(M10="per_request",N10,0)))</x:f>
        <x:v>0.6410958904109588</x:v>
      </x:c>
      <x:c r="Q10" s="26" t="n">
        <x:f>O10*D10</x:f>
        <x:v>1.17172602739726</x:v>
      </x:c>
      <x:c r="R10" s="26" t="n">
        <x:f>Q10-P10</x:f>
        <x:v>0.5306301369863012</x:v>
      </x:c>
      <x:c r="S10" s="29" t="n">
        <x:f>IF(Q10=0,"",R10/Q10)</x:f>
        <x:v>0.45286195286195285</x:v>
      </x:c>
      <x:c r="T10" s="23" t="str">
        <x:f>IF(OR(B10="",C10=""),"pending",IF(OR(O10&lt;0,P10&lt;0),"settlement_failed","settled"))</x:f>
        <x:v>settled</x:v>
      </x:c>
      <x:c r="U10" s="7" t="str">
        <x:v>源行=sd!5；自动利润预览；分组倍率可改为用户折扣</x:v>
      </x:c>
    </x:row>
    <x:row r="11" ht="15" customHeight="1">
      <x:c r="A11" s="19" t="str">
        <x:v>CASE-CLMM-R6-720-REQ-NOV</x:v>
      </x:c>
      <x:c r="B11" s="19" t="str">
        <x:v>SALE-SD20-STD-720-NOV</x:v>
      </x:c>
      <x:c r="C11" s="19" t="str">
        <x:v>COST-CLMM-R6-720-REQ-NOV</x:v>
      </x:c>
      <x:c r="D11" s="28" t="n">
        <x:v>1</x:v>
      </x:c>
      <x:c r="E11" s="28" t="n">
        <x:v>0</x:v>
      </x:c>
      <x:c r="F11" s="28" t="n">
        <x:v>15</x:v>
      </x:c>
      <x:c r="G11" s="23" t="str">
        <x:f>IFERROR(INDEX('官方售价'!$C$5:$C$204,MATCH(B11,'官方售价'!$A$5:$A$204,0)),"")</x:f>
        <x:v>SKU-SD20-STD-720</x:v>
      </x:c>
      <x:c r="H11" s="23" t="str">
        <x:f>IFERROR(INDEX('官方售价'!$D$5:$D$204,MATCH(B11,'官方售价'!$A$5:$A$204,0)),"")</x:f>
        <x:v>no_video</x:v>
      </x:c>
      <x:c r="I11" s="23" t="n">
        <x:f>IFERROR(INDEX('官方售价'!$H$5:$H$204,MATCH(B11,'官方售价'!$A$5:$A$204,0)),0)</x:f>
        <x:v>1280</x:v>
      </x:c>
      <x:c r="J11" s="23" t="n">
        <x:f>IFERROR(INDEX('官方售价'!$I$5:$I$204,MATCH(B11,'官方售价'!$A$5:$A$204,0)),0)</x:f>
        <x:v>720</x:v>
      </x:c>
      <x:c r="K11" s="23" t="n">
        <x:f>IFERROR(INDEX('官方售价'!$J$5:$J$204,MATCH(B11,'官方售价'!$A$5:$A$204,0)),0)</x:f>
        <x:v>24</x:v>
      </x:c>
      <x:c r="L11" s="25" t="n">
        <x:f>(E11+F11)*I11*J11*K11/'参数'!$B$7</x:f>
        <x:v>324000</x:v>
      </x:c>
      <x:c r="M11" s="23" t="str">
        <x:f>IFERROR(INDEX('渠道成本'!$F$5:$F$1004,MATCH(C11,'渠道成本'!$A$5:$A$1004,0)),"")</x:f>
        <x:v>per_request</x:v>
      </x:c>
      <x:c r="N11" s="26" t="n">
        <x:f>IFERROR(INDEX('渠道成本'!$U$5:$U$1004,MATCH(C11,'渠道成本'!$A$5:$A$1004,0)),0)</x:f>
        <x:v>0.7643835616438356</x:v>
      </x:c>
      <x:c r="O11" s="26" t="n">
        <x:f>IFERROR(L11/'参数'!$B$8*INDEX('官方售价'!$M$5:$M$204,MATCH(B11,'官方售价'!$A$5:$A$204,0)),0)</x:f>
        <x:v>2.0416438356164384</x:v>
      </x:c>
      <x:c r="P11" s="26" t="n">
        <x:f>IF(M11="per_token",L11/'参数'!$B$8*N11,IF(M11="per_duration",F11*N11,IF(M11="per_request",N11,0)))</x:f>
        <x:v>0.7643835616438356</x:v>
      </x:c>
      <x:c r="Q11" s="26" t="n">
        <x:f>O11*D11</x:f>
        <x:v>2.0416438356164384</x:v>
      </x:c>
      <x:c r="R11" s="26" t="n">
        <x:f>Q11-P11</x:f>
        <x:v>1.2772602739726029</x:v>
      </x:c>
      <x:c r="S11" s="29" t="n">
        <x:f>IF(Q11=0,"",R11/Q11)</x:f>
        <x:v>0.6256038647342996</x:v>
      </x:c>
      <x:c r="T11" s="23" t="str">
        <x:f>IF(OR(B11="",C11=""),"pending",IF(OR(O11&lt;0,P11&lt;0),"settlement_failed","settled"))</x:f>
        <x:v>settled</x:v>
      </x:c>
      <x:c r="U11" s="7" t="str">
        <x:v>源行=sd!6；自动利润预览；分组倍率可改为用户折扣</x:v>
      </x:c>
    </x:row>
    <x:row r="12" ht="15" customHeight="1">
      <x:c r="A12" s="19" t="str">
        <x:v>CASE-CLMM-R6-720-REQ-VID</x:v>
      </x:c>
      <x:c r="B12" s="19" t="str">
        <x:v>SALE-SD20-STD-720-VID</x:v>
      </x:c>
      <x:c r="C12" s="19" t="str">
        <x:v>COST-CLMM-R6-720-REQ-VID</x:v>
      </x:c>
      <x:c r="D12" s="28" t="n">
        <x:v>1</x:v>
      </x:c>
      <x:c r="E12" s="28" t="n">
        <x:v>3</x:v>
      </x:c>
      <x:c r="F12" s="28" t="n">
        <x:v>15</x:v>
      </x:c>
      <x:c r="G12" s="23" t="str">
        <x:f>IFERROR(INDEX('官方售价'!$C$5:$C$204,MATCH(B12,'官方售价'!$A$5:$A$204,0)),"")</x:f>
        <x:v>SKU-SD20-STD-720</x:v>
      </x:c>
      <x:c r="H12" s="23" t="str">
        <x:f>IFERROR(INDEX('官方售价'!$D$5:$D$204,MATCH(B12,'官方售价'!$A$5:$A$204,0)),"")</x:f>
        <x:v>with_video</x:v>
      </x:c>
      <x:c r="I12" s="23" t="n">
        <x:f>IFERROR(INDEX('官方售价'!$H$5:$H$204,MATCH(B12,'官方售价'!$A$5:$A$204,0)),0)</x:f>
        <x:v>1280</x:v>
      </x:c>
      <x:c r="J12" s="23" t="n">
        <x:f>IFERROR(INDEX('官方售价'!$I$5:$I$204,MATCH(B12,'官方售价'!$A$5:$A$204,0)),0)</x:f>
        <x:v>720</x:v>
      </x:c>
      <x:c r="K12" s="23" t="n">
        <x:f>IFERROR(INDEX('官方售价'!$J$5:$J$204,MATCH(B12,'官方售价'!$A$5:$A$204,0)),0)</x:f>
        <x:v>24</x:v>
      </x:c>
      <x:c r="L12" s="25" t="n">
        <x:f>(E12+F12)*I12*J12*K12/'参数'!$B$7</x:f>
        <x:v>388800</x:v>
      </x:c>
      <x:c r="M12" s="23" t="str">
        <x:f>IFERROR(INDEX('渠道成本'!$F$5:$F$1004,MATCH(C12,'渠道成本'!$A$5:$A$1004,0)),"")</x:f>
        <x:v>per_request</x:v>
      </x:c>
      <x:c r="N12" s="26" t="n">
        <x:f>IFERROR(INDEX('渠道成本'!$U$5:$U$1004,MATCH(C12,'渠道成本'!$A$5:$A$1004,0)),0)</x:f>
        <x:v>0.7643835616438356</x:v>
      </x:c>
      <x:c r="O12" s="26" t="n">
        <x:f>IFERROR(L12/'参数'!$B$8*INDEX('官方售价'!$M$5:$M$204,MATCH(B12,'官方售价'!$A$5:$A$204,0)),0)</x:f>
        <x:v>1.4912876712328766</x:v>
      </x:c>
      <x:c r="P12" s="26" t="n">
        <x:f>IF(M12="per_token",L12/'参数'!$B$8*N12,IF(M12="per_duration",F12*N12,IF(M12="per_request",N12,0)))</x:f>
        <x:v>0.7643835616438356</x:v>
      </x:c>
      <x:c r="Q12" s="26" t="n">
        <x:f>O12*D12</x:f>
        <x:v>1.4912876712328766</x:v>
      </x:c>
      <x:c r="R12" s="26" t="n">
        <x:f>Q12-P12</x:f>
        <x:v>0.7269041095890411</x:v>
      </x:c>
      <x:c r="S12" s="29" t="n">
        <x:f>IF(Q12=0,"",R12/Q12)</x:f>
        <x:v>0.48743386243386244</x:v>
      </x:c>
      <x:c r="T12" s="23" t="str">
        <x:f>IF(OR(B12="",C12=""),"pending",IF(OR(O12&lt;0,P12&lt;0),"settlement_failed","settled"))</x:f>
        <x:v>settled</x:v>
      </x:c>
      <x:c r="U12" s="7" t="str">
        <x:v>源行=sd!6；自动利润预览；分组倍率可改为用户折扣</x:v>
      </x:c>
    </x:row>
    <x:row r="13" ht="15" customHeight="1">
      <x:c r="A13" s="19" t="str">
        <x:v>CASE-CLMM-R7-480-SEC-NOV</x:v>
      </x:c>
      <x:c r="B13" s="19" t="str">
        <x:v>SALE-SD20-STD-480-NOV</x:v>
      </x:c>
      <x:c r="C13" s="19" t="str">
        <x:v>COST-CLMM-R7-480-SEC-NOV</x:v>
      </x:c>
      <x:c r="D13" s="28" t="n">
        <x:v>1</x:v>
      </x:c>
      <x:c r="E13" s="28" t="n">
        <x:v>0</x:v>
      </x:c>
      <x:c r="F13" s="28" t="n">
        <x:v>5</x:v>
      </x:c>
      <x:c r="G13" s="23" t="str">
        <x:f>IFERROR(INDEX('官方售价'!$C$5:$C$204,MATCH(B13,'官方售价'!$A$5:$A$204,0)),"")</x:f>
        <x:v>SKU-SD20-STD-480</x:v>
      </x:c>
      <x:c r="H13" s="23" t="str">
        <x:f>IFERROR(INDEX('官方售价'!$D$5:$D$204,MATCH(B13,'官方售价'!$A$5:$A$204,0)),"")</x:f>
        <x:v>no_video</x:v>
      </x:c>
      <x:c r="I13" s="23" t="n">
        <x:f>IFERROR(INDEX('官方售价'!$H$5:$H$204,MATCH(B13,'官方售价'!$A$5:$A$204,0)),0)</x:f>
        <x:v>864</x:v>
      </x:c>
      <x:c r="J13" s="23" t="n">
        <x:f>IFERROR(INDEX('官方售价'!$I$5:$I$204,MATCH(B13,'官方售价'!$A$5:$A$204,0)),0)</x:f>
        <x:v>496</x:v>
      </x:c>
      <x:c r="K13" s="23" t="n">
        <x:f>IFERROR(INDEX('官方售价'!$J$5:$J$204,MATCH(B13,'官方售价'!$A$5:$A$204,0)),0)</x:f>
        <x:v>24</x:v>
      </x:c>
      <x:c r="L13" s="25" t="n">
        <x:f>(E13+F13)*I13*J13*K13/'参数'!$B$7</x:f>
        <x:v>50220</x:v>
      </x:c>
      <x:c r="M13" s="23" t="str">
        <x:f>IFERROR(INDEX('渠道成本'!$F$5:$F$1004,MATCH(C13,'渠道成本'!$A$5:$A$1004,0)),"")</x:f>
        <x:v>per_duration</x:v>
      </x:c>
      <x:c r="N13" s="26" t="n">
        <x:f>IFERROR(INDEX('渠道成本'!$U$5:$U$1004,MATCH(C13,'渠道成本'!$A$5:$A$1004,0)),0)</x:f>
        <x:v>0.03671232876712329</x:v>
      </x:c>
      <x:c r="O13" s="26" t="n">
        <x:f>IFERROR(L13/'参数'!$B$8*INDEX('官方售价'!$M$5:$M$204,MATCH(B13,'官方售价'!$A$5:$A$204,0)),0)</x:f>
        <x:v>0.3164547945205479</x:v>
      </x:c>
      <x:c r="P13" s="26" t="n">
        <x:f>IF(M13="per_token",L13/'参数'!$B$8*N13,IF(M13="per_duration",F13*N13,IF(M13="per_request",N13,0)))</x:f>
        <x:v>0.18356164383561646</x:v>
      </x:c>
      <x:c r="Q13" s="26" t="n">
        <x:f>O13*D13</x:f>
        <x:v>0.3164547945205479</x:v>
      </x:c>
      <x:c r="R13" s="26" t="n">
        <x:f>Q13-P13</x:f>
        <x:v>0.13289315068493146</x:v>
      </x:c>
      <x:c r="S13" s="29" t="n">
        <x:f>IF(Q13=0,"",R13/Q13)</x:f>
        <x:v>0.41994355271587613</x:v>
      </x:c>
      <x:c r="T13" s="23" t="str">
        <x:f>IF(OR(B13="",C13=""),"pending",IF(OR(O13&lt;0,P13&lt;0),"settlement_failed","settled"))</x:f>
        <x:v>settled</x:v>
      </x:c>
      <x:c r="U13" s="7" t="str">
        <x:v>源行=sd!7；自动利润预览；分组倍率可改为用户折扣</x:v>
      </x:c>
    </x:row>
    <x:row r="14" ht="15" customHeight="1">
      <x:c r="A14" s="19" t="str">
        <x:v>CASE-CLMM-R7-480-SEC-VID</x:v>
      </x:c>
      <x:c r="B14" s="19" t="str">
        <x:v>SALE-SD20-STD-480-VID</x:v>
      </x:c>
      <x:c r="C14" s="19" t="str">
        <x:v>COST-CLMM-R7-480-SEC-VID</x:v>
      </x:c>
      <x:c r="D14" s="28" t="n">
        <x:v>1</x:v>
      </x:c>
      <x:c r="E14" s="28" t="n">
        <x:v>3</x:v>
      </x:c>
      <x:c r="F14" s="28" t="n">
        <x:v>5</x:v>
      </x:c>
      <x:c r="G14" s="23" t="str">
        <x:f>IFERROR(INDEX('官方售价'!$C$5:$C$204,MATCH(B14,'官方售价'!$A$5:$A$204,0)),"")</x:f>
        <x:v>SKU-SD20-STD-480</x:v>
      </x:c>
      <x:c r="H14" s="23" t="str">
        <x:f>IFERROR(INDEX('官方售价'!$D$5:$D$204,MATCH(B14,'官方售价'!$A$5:$A$204,0)),"")</x:f>
        <x:v>with_video</x:v>
      </x:c>
      <x:c r="I14" s="23" t="n">
        <x:f>IFERROR(INDEX('官方售价'!$H$5:$H$204,MATCH(B14,'官方售价'!$A$5:$A$204,0)),0)</x:f>
        <x:v>864</x:v>
      </x:c>
      <x:c r="J14" s="23" t="n">
        <x:f>IFERROR(INDEX('官方售价'!$I$5:$I$204,MATCH(B14,'官方售价'!$A$5:$A$204,0)),0)</x:f>
        <x:v>496</x:v>
      </x:c>
      <x:c r="K14" s="23" t="n">
        <x:f>IFERROR(INDEX('官方售价'!$J$5:$J$204,MATCH(B14,'官方售价'!$A$5:$A$204,0)),0)</x:f>
        <x:v>24</x:v>
      </x:c>
      <x:c r="L14" s="25" t="n">
        <x:f>(E14+F14)*I14*J14*K14/'参数'!$B$7</x:f>
        <x:v>80352</x:v>
      </x:c>
      <x:c r="M14" s="23" t="str">
        <x:f>IFERROR(INDEX('渠道成本'!$F$5:$F$1004,MATCH(C14,'渠道成本'!$A$5:$A$1004,0)),"")</x:f>
        <x:v>per_duration</x:v>
      </x:c>
      <x:c r="N14" s="26" t="n">
        <x:f>IFERROR(INDEX('渠道成本'!$U$5:$U$1004,MATCH(C14,'渠道成本'!$A$5:$A$1004,0)),0)</x:f>
        <x:v>0.03671232876712329</x:v>
      </x:c>
      <x:c r="O14" s="26" t="n">
        <x:f>IFERROR(L14/'参数'!$B$8*INDEX('官方售价'!$M$5:$M$204,MATCH(B14,'官方售价'!$A$5:$A$204,0)),0)</x:f>
        <x:v>0.30819945205479454</x:v>
      </x:c>
      <x:c r="P14" s="26" t="n">
        <x:f>IF(M14="per_token",L14/'参数'!$B$8*N14,IF(M14="per_duration",F14*N14,IF(M14="per_request",N14,0)))</x:f>
        <x:v>0.18356164383561646</x:v>
      </x:c>
      <x:c r="Q14" s="26" t="n">
        <x:f>O14*D14</x:f>
        <x:v>0.30819945205479454</x:v>
      </x:c>
      <x:c r="R14" s="26" t="n">
        <x:f>Q14-P14</x:f>
        <x:v>0.12463780821917808</x:v>
      </x:c>
      <x:c r="S14" s="29" t="n">
        <x:f>IF(Q14=0,"",R14/Q14)</x:f>
        <x:v>0.40440632644933716</x:v>
      </x:c>
      <x:c r="T14" s="23" t="str">
        <x:f>IF(OR(B14="",C14=""),"pending",IF(OR(O14&lt;0,P14&lt;0),"settlement_failed","settled"))</x:f>
        <x:v>settled</x:v>
      </x:c>
      <x:c r="U14" s="7" t="str">
        <x:v>源行=sd!7；自动利润预览；分组倍率可改为用户折扣</x:v>
      </x:c>
    </x:row>
    <x:row r="15" ht="15" customHeight="1">
      <x:c r="A15" s="19" t="str">
        <x:v>CASE-CLMM-R8-480-SEC-NOV</x:v>
      </x:c>
      <x:c r="B15" s="19" t="str">
        <x:v>SALE-SD20-FAST-480-NOV</x:v>
      </x:c>
      <x:c r="C15" s="19" t="str">
        <x:v>COST-CLMM-R8-480-SEC-NOV</x:v>
      </x:c>
      <x:c r="D15" s="28" t="n">
        <x:v>1</x:v>
      </x:c>
      <x:c r="E15" s="28" t="n">
        <x:v>0</x:v>
      </x:c>
      <x:c r="F15" s="28" t="n">
        <x:v>5</x:v>
      </x:c>
      <x:c r="G15" s="23" t="str">
        <x:f>IFERROR(INDEX('官方售价'!$C$5:$C$204,MATCH(B15,'官方售价'!$A$5:$A$204,0)),"")</x:f>
        <x:v>SKU-SD20-FAST-480</x:v>
      </x:c>
      <x:c r="H15" s="23" t="str">
        <x:f>IFERROR(INDEX('官方售价'!$D$5:$D$204,MATCH(B15,'官方售价'!$A$5:$A$204,0)),"")</x:f>
        <x:v>no_video</x:v>
      </x:c>
      <x:c r="I15" s="23" t="n">
        <x:f>IFERROR(INDEX('官方售价'!$H$5:$H$204,MATCH(B15,'官方售价'!$A$5:$A$204,0)),0)</x:f>
        <x:v>864</x:v>
      </x:c>
      <x:c r="J15" s="23" t="n">
        <x:f>IFERROR(INDEX('官方售价'!$I$5:$I$204,MATCH(B15,'官方售价'!$A$5:$A$204,0)),0)</x:f>
        <x:v>496</x:v>
      </x:c>
      <x:c r="K15" s="23" t="n">
        <x:f>IFERROR(INDEX('官方售价'!$J$5:$J$204,MATCH(B15,'官方售价'!$A$5:$A$204,0)),0)</x:f>
        <x:v>24</x:v>
      </x:c>
      <x:c r="L15" s="25" t="n">
        <x:f>(E15+F15)*I15*J15*K15/'参数'!$B$7</x:f>
        <x:v>50220</x:v>
      </x:c>
      <x:c r="M15" s="23" t="str">
        <x:f>IFERROR(INDEX('渠道成本'!$F$5:$F$1004,MATCH(C15,'渠道成本'!$A$5:$A$1004,0)),"")</x:f>
        <x:v>per_duration</x:v>
      </x:c>
      <x:c r="N15" s="26" t="n">
        <x:f>IFERROR(INDEX('渠道成本'!$U$5:$U$1004,MATCH(C15,'渠道成本'!$A$5:$A$1004,0)),0)</x:f>
        <x:v>0.022602739726027398</x:v>
      </x:c>
      <x:c r="O15" s="26" t="n">
        <x:f>IFERROR(L15/'参数'!$B$8*INDEX('官方售价'!$M$5:$M$204,MATCH(B15,'官方售价'!$A$5:$A$204,0)),0)</x:f>
        <x:v>0.2545397260273973</x:v>
      </x:c>
      <x:c r="P15" s="26" t="n">
        <x:f>IF(M15="per_token",L15/'参数'!$B$8*N15,IF(M15="per_duration",F15*N15,IF(M15="per_request",N15,0)))</x:f>
        <x:v>0.113013698630137</x:v>
      </x:c>
      <x:c r="Q15" s="26" t="n">
        <x:f>O15*D15</x:f>
        <x:v>0.2545397260273973</x:v>
      </x:c>
      <x:c r="R15" s="26" t="n">
        <x:f>Q15-P15</x:f>
        <x:v>0.14152602739726028</x:v>
      </x:c>
      <x:c r="S15" s="29" t="n">
        <x:f>IF(Q15=0,"",R15/Q15)</x:f>
        <x:v>0.5560076205237495</x:v>
      </x:c>
      <x:c r="T15" s="23" t="str">
        <x:f>IF(OR(B15="",C15=""),"pending",IF(OR(O15&lt;0,P15&lt;0),"settlement_failed","settled"))</x:f>
        <x:v>settled</x:v>
      </x:c>
      <x:c r="U15" s="7" t="str">
        <x:v>源行=sd!8；自动利润预览；分组倍率可改为用户折扣</x:v>
      </x:c>
    </x:row>
    <x:row r="16" ht="15" customHeight="1">
      <x:c r="A16" s="19" t="str">
        <x:v>CASE-CLMM-R8-480-SEC-VID</x:v>
      </x:c>
      <x:c r="B16" s="19" t="str">
        <x:v>SALE-SD20-FAST-480-VID</x:v>
      </x:c>
      <x:c r="C16" s="19" t="str">
        <x:v>COST-CLMM-R8-480-SEC-VID</x:v>
      </x:c>
      <x:c r="D16" s="28" t="n">
        <x:v>1</x:v>
      </x:c>
      <x:c r="E16" s="28" t="n">
        <x:v>3</x:v>
      </x:c>
      <x:c r="F16" s="28" t="n">
        <x:v>5</x:v>
      </x:c>
      <x:c r="G16" s="23" t="str">
        <x:f>IFERROR(INDEX('官方售价'!$C$5:$C$204,MATCH(B16,'官方售价'!$A$5:$A$204,0)),"")</x:f>
        <x:v>SKU-SD20-FAST-480</x:v>
      </x:c>
      <x:c r="H16" s="23" t="str">
        <x:f>IFERROR(INDEX('官方售价'!$D$5:$D$204,MATCH(B16,'官方售价'!$A$5:$A$204,0)),"")</x:f>
        <x:v>with_video</x:v>
      </x:c>
      <x:c r="I16" s="23" t="n">
        <x:f>IFERROR(INDEX('官方售价'!$H$5:$H$204,MATCH(B16,'官方售价'!$A$5:$A$204,0)),0)</x:f>
        <x:v>864</x:v>
      </x:c>
      <x:c r="J16" s="23" t="n">
        <x:f>IFERROR(INDEX('官方售价'!$I$5:$I$204,MATCH(B16,'官方售价'!$A$5:$A$204,0)),0)</x:f>
        <x:v>496</x:v>
      </x:c>
      <x:c r="K16" s="23" t="n">
        <x:f>IFERROR(INDEX('官方售价'!$J$5:$J$204,MATCH(B16,'官方售价'!$A$5:$A$204,0)),0)</x:f>
        <x:v>24</x:v>
      </x:c>
      <x:c r="L16" s="25" t="n">
        <x:f>(E16+F16)*I16*J16*K16/'参数'!$B$7</x:f>
        <x:v>80352</x:v>
      </x:c>
      <x:c r="M16" s="23" t="str">
        <x:f>IFERROR(INDEX('渠道成本'!$F$5:$F$1004,MATCH(C16,'渠道成本'!$A$5:$A$1004,0)),"")</x:f>
        <x:v>per_duration</x:v>
      </x:c>
      <x:c r="N16" s="26" t="n">
        <x:f>IFERROR(INDEX('渠道成本'!$U$5:$U$1004,MATCH(C16,'渠道成本'!$A$5:$A$1004,0)),0)</x:f>
        <x:v>0.022602739726027398</x:v>
      </x:c>
      <x:c r="O16" s="26" t="n">
        <x:f>IFERROR(L16/'参数'!$B$8*INDEX('官方售价'!$M$5:$M$204,MATCH(B16,'官方售价'!$A$5:$A$204,0)),0)</x:f>
        <x:v>0.24215671232876712</x:v>
      </x:c>
      <x:c r="P16" s="26" t="n">
        <x:f>IF(M16="per_token",L16/'参数'!$B$8*N16,IF(M16="per_duration",F16*N16,IF(M16="per_request",N16,0)))</x:f>
        <x:v>0.113013698630137</x:v>
      </x:c>
      <x:c r="Q16" s="26" t="n">
        <x:f>O16*D16</x:f>
        <x:v>0.24215671232876712</x:v>
      </x:c>
      <x:c r="R16" s="26" t="n">
        <x:f>Q16-P16</x:f>
        <x:v>0.12914301369863013</x:v>
      </x:c>
      <x:c r="S16" s="29" t="n">
        <x:f>IF(Q16=0,"",R16/Q16)</x:f>
        <x:v>0.5333034647550776</x:v>
      </x:c>
      <x:c r="T16" s="23" t="str">
        <x:f>IF(OR(B16="",C16=""),"pending",IF(OR(O16&lt;0,P16&lt;0),"settlement_failed","settled"))</x:f>
        <x:v>settled</x:v>
      </x:c>
      <x:c r="U16" s="7" t="str">
        <x:v>源行=sd!8；自动利润预览；分组倍率可改为用户折扣</x:v>
      </x:c>
    </x:row>
    <x:row r="17" ht="15" customHeight="1">
      <x:c r="A17" s="19" t="str">
        <x:v>CASE-CLMM-R9-480-SEC-NOV</x:v>
      </x:c>
      <x:c r="B17" s="19" t="str">
        <x:v>SALE-SD20-MINI-480-NOV</x:v>
      </x:c>
      <x:c r="C17" s="19" t="str">
        <x:v>COST-CLMM-R9-480-SEC-NOV</x:v>
      </x:c>
      <x:c r="D17" s="28" t="n">
        <x:v>1</x:v>
      </x:c>
      <x:c r="E17" s="28" t="n">
        <x:v>0</x:v>
      </x:c>
      <x:c r="F17" s="28" t="n">
        <x:v>5</x:v>
      </x:c>
      <x:c r="G17" s="23" t="str">
        <x:f>IFERROR(INDEX('官方售价'!$C$5:$C$204,MATCH(B17,'官方售价'!$A$5:$A$204,0)),"")</x:f>
        <x:v>SKU-SD20-MINI-480</x:v>
      </x:c>
      <x:c r="H17" s="23" t="str">
        <x:f>IFERROR(INDEX('官方售价'!$D$5:$D$204,MATCH(B17,'官方售价'!$A$5:$A$204,0)),"")</x:f>
        <x:v>no_video</x:v>
      </x:c>
      <x:c r="I17" s="23" t="n">
        <x:f>IFERROR(INDEX('官方售价'!$H$5:$H$204,MATCH(B17,'官方售价'!$A$5:$A$204,0)),0)</x:f>
        <x:v>864</x:v>
      </x:c>
      <x:c r="J17" s="23" t="n">
        <x:f>IFERROR(INDEX('官方售价'!$I$5:$I$204,MATCH(B17,'官方售价'!$A$5:$A$204,0)),0)</x:f>
        <x:v>496</x:v>
      </x:c>
      <x:c r="K17" s="23" t="n">
        <x:f>IFERROR(INDEX('官方售价'!$J$5:$J$204,MATCH(B17,'官方售价'!$A$5:$A$204,0)),0)</x:f>
        <x:v>24</x:v>
      </x:c>
      <x:c r="L17" s="25" t="n">
        <x:f>(E17+F17)*I17*J17*K17/'参数'!$B$7</x:f>
        <x:v>50220</x:v>
      </x:c>
      <x:c r="M17" s="23" t="str">
        <x:f>IFERROR(INDEX('渠道成本'!$F$5:$F$1004,MATCH(C17,'渠道成本'!$A$5:$A$1004,0)),"")</x:f>
        <x:v>per_duration</x:v>
      </x:c>
      <x:c r="N17" s="26" t="n">
        <x:f>IFERROR(INDEX('渠道成本'!$U$5:$U$1004,MATCH(C17,'渠道成本'!$A$5:$A$1004,0)),0)</x:f>
        <x:v>0.017534246575342465</x:v>
      </x:c>
      <x:c r="O17" s="26" t="n">
        <x:f>IFERROR(L17/'参数'!$B$8*INDEX('官方售价'!$M$5:$M$204,MATCH(B17,'官方售价'!$A$5:$A$204,0)),0)</x:f>
        <x:v>0.15822739726027396</x:v>
      </x:c>
      <x:c r="P17" s="26" t="n">
        <x:f>IF(M17="per_token",L17/'参数'!$B$8*N17,IF(M17="per_duration",F17*N17,IF(M17="per_request",N17,0)))</x:f>
        <x:v>0.08767123287671233</x:v>
      </x:c>
      <x:c r="Q17" s="26" t="n">
        <x:f>O17*D17</x:f>
        <x:v>0.15822739726027396</x:v>
      </x:c>
      <x:c r="R17" s="26" t="n">
        <x:f>Q17-P17</x:f>
        <x:v>0.07055616438356163</x:v>
      </x:c>
      <x:c r="S17" s="29" t="n">
        <x:f>IF(Q17=0,"",R17/Q17)</x:f>
        <x:v>0.4459162294599414</x:v>
      </x:c>
      <x:c r="T17" s="23" t="str">
        <x:f>IF(OR(B17="",C17=""),"pending",IF(OR(O17&lt;0,P17&lt;0),"settlement_failed","settled"))</x:f>
        <x:v>settled</x:v>
      </x:c>
      <x:c r="U17" s="7" t="str">
        <x:v>源行=sd!9；自动利润预览；分组倍率可改为用户折扣</x:v>
      </x:c>
    </x:row>
    <x:row r="18" ht="15" customHeight="1">
      <x:c r="A18" s="19" t="str">
        <x:v>CASE-CLMM-R9-480-SEC-VID</x:v>
      </x:c>
      <x:c r="B18" s="19" t="str">
        <x:v>SALE-SD20-MINI-480-VID</x:v>
      </x:c>
      <x:c r="C18" s="19" t="str">
        <x:v>COST-CLMM-R9-480-SEC-VID</x:v>
      </x:c>
      <x:c r="D18" s="28" t="n">
        <x:v>1</x:v>
      </x:c>
      <x:c r="E18" s="28" t="n">
        <x:v>3</x:v>
      </x:c>
      <x:c r="F18" s="28" t="n">
        <x:v>5</x:v>
      </x:c>
      <x:c r="G18" s="23" t="str">
        <x:f>IFERROR(INDEX('官方售价'!$C$5:$C$204,MATCH(B18,'官方售价'!$A$5:$A$204,0)),"")</x:f>
        <x:v>SKU-SD20-MINI-480</x:v>
      </x:c>
      <x:c r="H18" s="23" t="str">
        <x:f>IFERROR(INDEX('官方售价'!$D$5:$D$204,MATCH(B18,'官方售价'!$A$5:$A$204,0)),"")</x:f>
        <x:v>with_video</x:v>
      </x:c>
      <x:c r="I18" s="23" t="n">
        <x:f>IFERROR(INDEX('官方售价'!$H$5:$H$204,MATCH(B18,'官方售价'!$A$5:$A$204,0)),0)</x:f>
        <x:v>864</x:v>
      </x:c>
      <x:c r="J18" s="23" t="n">
        <x:f>IFERROR(INDEX('官方售价'!$I$5:$I$204,MATCH(B18,'官方售价'!$A$5:$A$204,0)),0)</x:f>
        <x:v>496</x:v>
      </x:c>
      <x:c r="K18" s="23" t="n">
        <x:f>IFERROR(INDEX('官方售价'!$J$5:$J$204,MATCH(B18,'官方售价'!$A$5:$A$204,0)),0)</x:f>
        <x:v>24</x:v>
      </x:c>
      <x:c r="L18" s="25" t="n">
        <x:f>(E18+F18)*I18*J18*K18/'参数'!$B$7</x:f>
        <x:v>80352</x:v>
      </x:c>
      <x:c r="M18" s="23" t="str">
        <x:f>IFERROR(INDEX('渠道成本'!$F$5:$F$1004,MATCH(C18,'渠道成本'!$A$5:$A$1004,0)),"")</x:f>
        <x:v>per_duration</x:v>
      </x:c>
      <x:c r="N18" s="26" t="n">
        <x:f>IFERROR(INDEX('渠道成本'!$U$5:$U$1004,MATCH(C18,'渠道成本'!$A$5:$A$1004,0)),0)</x:f>
        <x:v>0.017534246575342465</x:v>
      </x:c>
      <x:c r="O18" s="26" t="n">
        <x:f>IFERROR(L18/'参数'!$B$8*INDEX('官方售价'!$M$5:$M$204,MATCH(B18,'官方售价'!$A$5:$A$204,0)),0)</x:f>
        <x:v>0.15409972602739727</x:v>
      </x:c>
      <x:c r="P18" s="26" t="n">
        <x:f>IF(M18="per_token",L18/'参数'!$B$8*N18,IF(M18="per_duration",F18*N18,IF(M18="per_request",N18,0)))</x:f>
        <x:v>0.08767123287671233</x:v>
      </x:c>
      <x:c r="Q18" s="26" t="n">
        <x:f>O18*D18</x:f>
        <x:v>0.15409972602739727</x:v>
      </x:c>
      <x:c r="R18" s="26" t="n">
        <x:f>Q18-P18</x:f>
        <x:v>0.06642849315068494</x:v>
      </x:c>
      <x:c r="S18" s="29" t="n">
        <x:f>IF(Q18=0,"",R18/Q18)</x:f>
        <x:v>0.4310746998919042</x:v>
      </x:c>
      <x:c r="T18" s="23" t="str">
        <x:f>IF(OR(B18="",C18=""),"pending",IF(OR(O18&lt;0,P18&lt;0),"settlement_failed","settled"))</x:f>
        <x:v>settled</x:v>
      </x:c>
      <x:c r="U18" s="7" t="str">
        <x:v>源行=sd!9；自动利润预览；分组倍率可改为用户折扣</x:v>
      </x:c>
    </x:row>
    <x:row r="19" ht="26.350000381469727" customHeight="1">
      <x:c r="A19" s="19" t="str">
        <x:v>CASE-CLMM-R10-720-SEC-NOV</x:v>
      </x:c>
      <x:c r="B19" s="19" t="str">
        <x:v>SALE-SD20-FAST-720-NOV</x:v>
      </x:c>
      <x:c r="C19" s="19" t="str">
        <x:v>COST-CLMM-R10-720-SEC-NOV</x:v>
      </x:c>
      <x:c r="D19" s="28" t="n">
        <x:v>1</x:v>
      </x:c>
      <x:c r="E19" s="28" t="n">
        <x:v>0</x:v>
      </x:c>
      <x:c r="F19" s="28" t="n">
        <x:v>5</x:v>
      </x:c>
      <x:c r="G19" s="23" t="str">
        <x:f>IFERROR(INDEX('官方售价'!$C$5:$C$204,MATCH(B19,'官方售价'!$A$5:$A$204,0)),"")</x:f>
        <x:v>SKU-SD20-FAST-720</x:v>
      </x:c>
      <x:c r="H19" s="23" t="str">
        <x:f>IFERROR(INDEX('官方售价'!$D$5:$D$204,MATCH(B19,'官方售价'!$A$5:$A$204,0)),"")</x:f>
        <x:v>no_video</x:v>
      </x:c>
      <x:c r="I19" s="23" t="n">
        <x:f>IFERROR(INDEX('官方售价'!$H$5:$H$204,MATCH(B19,'官方售价'!$A$5:$A$204,0)),0)</x:f>
        <x:v>1280</x:v>
      </x:c>
      <x:c r="J19" s="23" t="n">
        <x:f>IFERROR(INDEX('官方售价'!$I$5:$I$204,MATCH(B19,'官方售价'!$A$5:$A$204,0)),0)</x:f>
        <x:v>720</x:v>
      </x:c>
      <x:c r="K19" s="23" t="n">
        <x:f>IFERROR(INDEX('官方售价'!$J$5:$J$204,MATCH(B19,'官方售价'!$A$5:$A$204,0)),0)</x:f>
        <x:v>24</x:v>
      </x:c>
      <x:c r="L19" s="25" t="n">
        <x:f>(E19+F19)*I19*J19*K19/'参数'!$B$7</x:f>
        <x:v>108000</x:v>
      </x:c>
      <x:c r="M19" s="23" t="str">
        <x:f>IFERROR(INDEX('渠道成本'!$F$5:$F$1004,MATCH(C19,'渠道成本'!$A$5:$A$1004,0)),"")</x:f>
        <x:v>per_duration</x:v>
      </x:c>
      <x:c r="N19" s="26" t="n">
        <x:f>IFERROR(INDEX('渠道成本'!$U$5:$U$1004,MATCH(C19,'渠道成本'!$A$5:$A$1004,0)),0)</x:f>
        <x:v>0.03671232876712329</x:v>
      </x:c>
      <x:c r="O19" s="26" t="n">
        <x:f>IFERROR(L19/'参数'!$B$8*INDEX('官方售价'!$M$5:$M$204,MATCH(B19,'官方售价'!$A$5:$A$204,0)),0)</x:f>
        <x:v>0.5473972602739726</x:v>
      </x:c>
      <x:c r="P19" s="26" t="n">
        <x:f>IF(M19="per_token",L19/'参数'!$B$8*N19,IF(M19="per_duration",F19*N19,IF(M19="per_request",N19,0)))</x:f>
        <x:v>0.18356164383561646</x:v>
      </x:c>
      <x:c r="Q19" s="26" t="n">
        <x:f>O19*D19</x:f>
        <x:v>0.5473972602739726</x:v>
      </x:c>
      <x:c r="R19" s="26" t="n">
        <x:f>Q19-P19</x:f>
        <x:v>0.36383561643835616</x:v>
      </x:c>
      <x:c r="S19" s="29" t="n">
        <x:f>IF(Q19=0,"",R19/Q19)</x:f>
        <x:v>0.6646646646646647</x:v>
      </x:c>
      <x:c r="T19" s="23" t="str">
        <x:f>IF(OR(B19="",C19=""),"pending",IF(OR(O19&lt;0,P19&lt;0),"settlement_failed","settled"))</x:f>
        <x:v>settled</x:v>
      </x:c>
      <x:c r="U19" s="7" t="str">
        <x:v>源行=sd!10；自动利润预览；分组倍率可改为用户折扣</x:v>
      </x:c>
    </x:row>
    <x:row r="20" ht="26.350000381469727" customHeight="1">
      <x:c r="A20" s="19" t="str">
        <x:v>CASE-CLMM-R10-720-SEC-VID</x:v>
      </x:c>
      <x:c r="B20" s="19" t="str">
        <x:v>SALE-SD20-FAST-720-VID</x:v>
      </x:c>
      <x:c r="C20" s="19" t="str">
        <x:v>COST-CLMM-R10-720-SEC-VID</x:v>
      </x:c>
      <x:c r="D20" s="28" t="n">
        <x:v>1</x:v>
      </x:c>
      <x:c r="E20" s="28" t="n">
        <x:v>3</x:v>
      </x:c>
      <x:c r="F20" s="28" t="n">
        <x:v>5</x:v>
      </x:c>
      <x:c r="G20" s="23" t="str">
        <x:f>IFERROR(INDEX('官方售价'!$C$5:$C$204,MATCH(B20,'官方售价'!$A$5:$A$204,0)),"")</x:f>
        <x:v>SKU-SD20-FAST-720</x:v>
      </x:c>
      <x:c r="H20" s="23" t="str">
        <x:f>IFERROR(INDEX('官方售价'!$D$5:$D$204,MATCH(B20,'官方售价'!$A$5:$A$204,0)),"")</x:f>
        <x:v>with_video</x:v>
      </x:c>
      <x:c r="I20" s="23" t="n">
        <x:f>IFERROR(INDEX('官方售价'!$H$5:$H$204,MATCH(B20,'官方售价'!$A$5:$A$204,0)),0)</x:f>
        <x:v>1280</x:v>
      </x:c>
      <x:c r="J20" s="23" t="n">
        <x:f>IFERROR(INDEX('官方售价'!$I$5:$I$204,MATCH(B20,'官方售价'!$A$5:$A$204,0)),0)</x:f>
        <x:v>720</x:v>
      </x:c>
      <x:c r="K20" s="23" t="n">
        <x:f>IFERROR(INDEX('官方售价'!$J$5:$J$204,MATCH(B20,'官方售价'!$A$5:$A$204,0)),0)</x:f>
        <x:v>24</x:v>
      </x:c>
      <x:c r="L20" s="25" t="n">
        <x:f>(E20+F20)*I20*J20*K20/'参数'!$B$7</x:f>
        <x:v>172800</x:v>
      </x:c>
      <x:c r="M20" s="23" t="str">
        <x:f>IFERROR(INDEX('渠道成本'!$F$5:$F$1004,MATCH(C20,'渠道成本'!$A$5:$A$1004,0)),"")</x:f>
        <x:v>per_duration</x:v>
      </x:c>
      <x:c r="N20" s="26" t="n">
        <x:f>IFERROR(INDEX('渠道成本'!$U$5:$U$1004,MATCH(C20,'渠道成本'!$A$5:$A$1004,0)),0)</x:f>
        <x:v>0.03671232876712329</x:v>
      </x:c>
      <x:c r="O20" s="26" t="n">
        <x:f>IFERROR(L20/'参数'!$B$8*INDEX('官方售价'!$M$5:$M$204,MATCH(B20,'官方售价'!$A$5:$A$204,0)),0)</x:f>
        <x:v>0.5207671232876712</x:v>
      </x:c>
      <x:c r="P20" s="26" t="n">
        <x:f>IF(M20="per_token",L20/'参数'!$B$8*N20,IF(M20="per_duration",F20*N20,IF(M20="per_request",N20,0)))</x:f>
        <x:v>0.18356164383561646</x:v>
      </x:c>
      <x:c r="Q20" s="26" t="n">
        <x:f>O20*D20</x:f>
        <x:v>0.5207671232876712</x:v>
      </x:c>
      <x:c r="R20" s="26" t="n">
        <x:f>Q20-P20</x:f>
        <x:v>0.3372054794520547</x:v>
      </x:c>
      <x:c r="S20" s="29" t="n">
        <x:f>IF(Q20=0,"",R20/Q20)</x:f>
        <x:v>0.6475168350168349</x:v>
      </x:c>
      <x:c r="T20" s="23" t="str">
        <x:f>IF(OR(B20="",C20=""),"pending",IF(OR(O20&lt;0,P20&lt;0),"settlement_failed","settled"))</x:f>
        <x:v>settled</x:v>
      </x:c>
      <x:c r="U20" s="7" t="str">
        <x:v>源行=sd!10；自动利润预览；分组倍率可改为用户折扣</x:v>
      </x:c>
    </x:row>
    <x:row r="21" ht="26.350000381469727" customHeight="1">
      <x:c r="A21" s="19" t="str">
        <x:v>CASE-CLMM-R11-720-SEC-NOV</x:v>
      </x:c>
      <x:c r="B21" s="19" t="str">
        <x:v>SALE-SD20-MINI-720-NOV</x:v>
      </x:c>
      <x:c r="C21" s="19" t="str">
        <x:v>COST-CLMM-R11-720-SEC-NOV</x:v>
      </x:c>
      <x:c r="D21" s="28" t="n">
        <x:v>1</x:v>
      </x:c>
      <x:c r="E21" s="28" t="n">
        <x:v>0</x:v>
      </x:c>
      <x:c r="F21" s="28" t="n">
        <x:v>5</x:v>
      </x:c>
      <x:c r="G21" s="23" t="str">
        <x:f>IFERROR(INDEX('官方售价'!$C$5:$C$204,MATCH(B21,'官方售价'!$A$5:$A$204,0)),"")</x:f>
        <x:v>SKU-SD20-MINI-720</x:v>
      </x:c>
      <x:c r="H21" s="23" t="str">
        <x:f>IFERROR(INDEX('官方售价'!$D$5:$D$204,MATCH(B21,'官方售价'!$A$5:$A$204,0)),"")</x:f>
        <x:v>no_video</x:v>
      </x:c>
      <x:c r="I21" s="23" t="n">
        <x:f>IFERROR(INDEX('官方售价'!$H$5:$H$204,MATCH(B21,'官方售价'!$A$5:$A$204,0)),0)</x:f>
        <x:v>1280</x:v>
      </x:c>
      <x:c r="J21" s="23" t="n">
        <x:f>IFERROR(INDEX('官方售价'!$I$5:$I$204,MATCH(B21,'官方售价'!$A$5:$A$204,0)),0)</x:f>
        <x:v>720</x:v>
      </x:c>
      <x:c r="K21" s="23" t="n">
        <x:f>IFERROR(INDEX('官方售价'!$J$5:$J$204,MATCH(B21,'官方售价'!$A$5:$A$204,0)),0)</x:f>
        <x:v>24</x:v>
      </x:c>
      <x:c r="L21" s="25" t="n">
        <x:f>(E21+F21)*I21*J21*K21/'参数'!$B$7</x:f>
        <x:v>108000</x:v>
      </x:c>
      <x:c r="M21" s="23" t="str">
        <x:f>IFERROR(INDEX('渠道成本'!$F$5:$F$1004,MATCH(C21,'渠道成本'!$A$5:$A$1004,0)),"")</x:f>
        <x:v>per_duration</x:v>
      </x:c>
      <x:c r="N21" s="26" t="n">
        <x:f>IFERROR(INDEX('渠道成本'!$U$5:$U$1004,MATCH(C21,'渠道成本'!$A$5:$A$1004,0)),0)</x:f>
        <x:v>0.027123287671232878</x:v>
      </x:c>
      <x:c r="O21" s="26" t="n">
        <x:f>IFERROR(L21/'参数'!$B$8*INDEX('官方售价'!$M$5:$M$204,MATCH(B21,'官方售价'!$A$5:$A$204,0)),0)</x:f>
        <x:v>0.34027397260273967</x:v>
      </x:c>
      <x:c r="P21" s="26" t="n">
        <x:f>IF(M21="per_token",L21/'参数'!$B$8*N21,IF(M21="per_duration",F21*N21,IF(M21="per_request",N21,0)))</x:f>
        <x:v>0.13561643835616438</x:v>
      </x:c>
      <x:c r="Q21" s="26" t="n">
        <x:f>O21*D21</x:f>
        <x:v>0.34027397260273967</x:v>
      </x:c>
      <x:c r="R21" s="26" t="n">
        <x:f>Q21-P21</x:f>
        <x:v>0.2046575342465753</x:v>
      </x:c>
      <x:c r="S21" s="29" t="n">
        <x:f>IF(Q21=0,"",R21/Q21)</x:f>
        <x:v>0.6014492753623187</x:v>
      </x:c>
      <x:c r="T21" s="23" t="str">
        <x:f>IF(OR(B21="",C21=""),"pending",IF(OR(O21&lt;0,P21&lt;0),"settlement_failed","settled"))</x:f>
        <x:v>settled</x:v>
      </x:c>
      <x:c r="U21" s="7" t="str">
        <x:v>源行=sd!11；自动利润预览；分组倍率可改为用户折扣</x:v>
      </x:c>
    </x:row>
    <x:row r="22" ht="26.350000381469727" customHeight="1">
      <x:c r="A22" s="19" t="str">
        <x:v>CASE-CLMM-R11-720-SEC-VID</x:v>
      </x:c>
      <x:c r="B22" s="19" t="str">
        <x:v>SALE-SD20-MINI-720-VID</x:v>
      </x:c>
      <x:c r="C22" s="19" t="str">
        <x:v>COST-CLMM-R11-720-SEC-VID</x:v>
      </x:c>
      <x:c r="D22" s="28" t="n">
        <x:v>1</x:v>
      </x:c>
      <x:c r="E22" s="28" t="n">
        <x:v>3</x:v>
      </x:c>
      <x:c r="F22" s="28" t="n">
        <x:v>5</x:v>
      </x:c>
      <x:c r="G22" s="23" t="str">
        <x:f>IFERROR(INDEX('官方售价'!$C$5:$C$204,MATCH(B22,'官方售价'!$A$5:$A$204,0)),"")</x:f>
        <x:v>SKU-SD20-MINI-720</x:v>
      </x:c>
      <x:c r="H22" s="23" t="str">
        <x:f>IFERROR(INDEX('官方售价'!$D$5:$D$204,MATCH(B22,'官方售价'!$A$5:$A$204,0)),"")</x:f>
        <x:v>with_video</x:v>
      </x:c>
      <x:c r="I22" s="23" t="n">
        <x:f>IFERROR(INDEX('官方售价'!$H$5:$H$204,MATCH(B22,'官方售价'!$A$5:$A$204,0)),0)</x:f>
        <x:v>1280</x:v>
      </x:c>
      <x:c r="J22" s="23" t="n">
        <x:f>IFERROR(INDEX('官方售价'!$I$5:$I$204,MATCH(B22,'官方售价'!$A$5:$A$204,0)),0)</x:f>
        <x:v>720</x:v>
      </x:c>
      <x:c r="K22" s="23" t="n">
        <x:f>IFERROR(INDEX('官方售价'!$J$5:$J$204,MATCH(B22,'官方售价'!$A$5:$A$204,0)),0)</x:f>
        <x:v>24</x:v>
      </x:c>
      <x:c r="L22" s="25" t="n">
        <x:f>(E22+F22)*I22*J22*K22/'参数'!$B$7</x:f>
        <x:v>172800</x:v>
      </x:c>
      <x:c r="M22" s="23" t="str">
        <x:f>IFERROR(INDEX('渠道成本'!$F$5:$F$1004,MATCH(C22,'渠道成本'!$A$5:$A$1004,0)),"")</x:f>
        <x:v>per_duration</x:v>
      </x:c>
      <x:c r="N22" s="26" t="n">
        <x:f>IFERROR(INDEX('渠道成本'!$U$5:$U$1004,MATCH(C22,'渠道成本'!$A$5:$A$1004,0)),0)</x:f>
        <x:v>0.027123287671232878</x:v>
      </x:c>
      <x:c r="O22" s="26" t="n">
        <x:f>IFERROR(L22/'参数'!$B$8*INDEX('官方售价'!$M$5:$M$204,MATCH(B22,'官方售价'!$A$5:$A$204,0)),0)</x:f>
        <x:v>0.3313972602739726</x:v>
      </x:c>
      <x:c r="P22" s="26" t="n">
        <x:f>IF(M22="per_token",L22/'参数'!$B$8*N22,IF(M22="per_duration",F22*N22,IF(M22="per_request",N22,0)))</x:f>
        <x:v>0.13561643835616438</x:v>
      </x:c>
      <x:c r="Q22" s="26" t="n">
        <x:f>O22*D22</x:f>
        <x:v>0.3313972602739726</x:v>
      </x:c>
      <x:c r="R22" s="26" t="n">
        <x:f>Q22-P22</x:f>
        <x:v>0.1957808219178082</x:v>
      </x:c>
      <x:c r="S22" s="29" t="n">
        <x:f>IF(Q22=0,"",R22/Q22)</x:f>
        <x:v>0.5907738095238095</x:v>
      </x:c>
      <x:c r="T22" s="23" t="str">
        <x:f>IF(OR(B22="",C22=""),"pending",IF(OR(O22&lt;0,P22&lt;0),"settlement_failed","settled"))</x:f>
        <x:v>settled</x:v>
      </x:c>
      <x:c r="U22" s="7" t="str">
        <x:v>源行=sd!11；自动利润预览；分组倍率可改为用户折扣</x:v>
      </x:c>
    </x:row>
    <x:row r="23" ht="26.350000381469727" customHeight="1">
      <x:c r="A23" s="19" t="str">
        <x:v>CASE-CLMM-R12-720-SEC-NOV</x:v>
      </x:c>
      <x:c r="B23" s="19" t="str">
        <x:v>SALE-SD20-STD-720-NOV</x:v>
      </x:c>
      <x:c r="C23" s="19" t="str">
        <x:v>COST-CLMM-R12-720-SEC-NOV</x:v>
      </x:c>
      <x:c r="D23" s="28" t="n">
        <x:v>1</x:v>
      </x:c>
      <x:c r="E23" s="28" t="n">
        <x:v>0</x:v>
      </x:c>
      <x:c r="F23" s="28" t="n">
        <x:v>5</x:v>
      </x:c>
      <x:c r="G23" s="23" t="str">
        <x:f>IFERROR(INDEX('官方售价'!$C$5:$C$204,MATCH(B23,'官方售价'!$A$5:$A$204,0)),"")</x:f>
        <x:v>SKU-SD20-STD-720</x:v>
      </x:c>
      <x:c r="H23" s="23" t="str">
        <x:f>IFERROR(INDEX('官方售价'!$D$5:$D$204,MATCH(B23,'官方售价'!$A$5:$A$204,0)),"")</x:f>
        <x:v>no_video</x:v>
      </x:c>
      <x:c r="I23" s="23" t="n">
        <x:f>IFERROR(INDEX('官方售价'!$H$5:$H$204,MATCH(B23,'官方售价'!$A$5:$A$204,0)),0)</x:f>
        <x:v>1280</x:v>
      </x:c>
      <x:c r="J23" s="23" t="n">
        <x:f>IFERROR(INDEX('官方售价'!$I$5:$I$204,MATCH(B23,'官方售价'!$A$5:$A$204,0)),0)</x:f>
        <x:v>720</x:v>
      </x:c>
      <x:c r="K23" s="23" t="n">
        <x:f>IFERROR(INDEX('官方售价'!$J$5:$J$204,MATCH(B23,'官方售价'!$A$5:$A$204,0)),0)</x:f>
        <x:v>24</x:v>
      </x:c>
      <x:c r="L23" s="25" t="n">
        <x:f>(E23+F23)*I23*J23*K23/'参数'!$B$7</x:f>
        <x:v>108000</x:v>
      </x:c>
      <x:c r="M23" s="23" t="str">
        <x:f>IFERROR(INDEX('渠道成本'!$F$5:$F$1004,MATCH(C23,'渠道成本'!$A$5:$A$1004,0)),"")</x:f>
        <x:v>per_duration</x:v>
      </x:c>
      <x:c r="N23" s="26" t="n">
        <x:f>IFERROR(INDEX('渠道成本'!$U$5:$U$1004,MATCH(C23,'渠道成本'!$A$5:$A$1004,0)),0)</x:f>
        <x:v>0.050410958904109585</x:v>
      </x:c>
      <x:c r="O23" s="26" t="n">
        <x:f>IFERROR(L23/'参数'!$B$8*INDEX('官方售价'!$M$5:$M$204,MATCH(B23,'官方售价'!$A$5:$A$204,0)),0)</x:f>
        <x:v>0.6805479452054793</x:v>
      </x:c>
      <x:c r="P23" s="26" t="n">
        <x:f>IF(M23="per_token",L23/'参数'!$B$8*N23,IF(M23="per_duration",F23*N23,IF(M23="per_request",N23,0)))</x:f>
        <x:v>0.2520547945205479</x:v>
      </x:c>
      <x:c r="Q23" s="26" t="n">
        <x:f>O23*D23</x:f>
        <x:v>0.6805479452054793</x:v>
      </x:c>
      <x:c r="R23" s="26" t="n">
        <x:f>Q23-P23</x:f>
        <x:v>0.42849315068493143</x:v>
      </x:c>
      <x:c r="S23" s="29" t="n">
        <x:f>IF(Q23=0,"",R23/Q23)</x:f>
        <x:v>0.6296296296296297</x:v>
      </x:c>
      <x:c r="T23" s="23" t="str">
        <x:f>IF(OR(B23="",C23=""),"pending",IF(OR(O23&lt;0,P23&lt;0),"settlement_failed","settled"))</x:f>
        <x:v>settled</x:v>
      </x:c>
      <x:c r="U23" s="7" t="str">
        <x:v>源行=sd!12；自动利润预览；分组倍率可改为用户折扣</x:v>
      </x:c>
    </x:row>
    <x:row r="24" ht="26.350000381469727" customHeight="1">
      <x:c r="A24" s="19" t="str">
        <x:v>CASE-CLMM-R12-720-SEC-VID</x:v>
      </x:c>
      <x:c r="B24" s="19" t="str">
        <x:v>SALE-SD20-STD-720-VID</x:v>
      </x:c>
      <x:c r="C24" s="19" t="str">
        <x:v>COST-CLMM-R12-720-SEC-VID</x:v>
      </x:c>
      <x:c r="D24" s="28" t="n">
        <x:v>1</x:v>
      </x:c>
      <x:c r="E24" s="28" t="n">
        <x:v>3</x:v>
      </x:c>
      <x:c r="F24" s="28" t="n">
        <x:v>5</x:v>
      </x:c>
      <x:c r="G24" s="23" t="str">
        <x:f>IFERROR(INDEX('官方售价'!$C$5:$C$204,MATCH(B24,'官方售价'!$A$5:$A$204,0)),"")</x:f>
        <x:v>SKU-SD20-STD-720</x:v>
      </x:c>
      <x:c r="H24" s="23" t="str">
        <x:f>IFERROR(INDEX('官方售价'!$D$5:$D$204,MATCH(B24,'官方售价'!$A$5:$A$204,0)),"")</x:f>
        <x:v>with_video</x:v>
      </x:c>
      <x:c r="I24" s="23" t="n">
        <x:f>IFERROR(INDEX('官方售价'!$H$5:$H$204,MATCH(B24,'官方售价'!$A$5:$A$204,0)),0)</x:f>
        <x:v>1280</x:v>
      </x:c>
      <x:c r="J24" s="23" t="n">
        <x:f>IFERROR(INDEX('官方售价'!$I$5:$I$204,MATCH(B24,'官方售价'!$A$5:$A$204,0)),0)</x:f>
        <x:v>720</x:v>
      </x:c>
      <x:c r="K24" s="23" t="n">
        <x:f>IFERROR(INDEX('官方售价'!$J$5:$J$204,MATCH(B24,'官方售价'!$A$5:$A$204,0)),0)</x:f>
        <x:v>24</x:v>
      </x:c>
      <x:c r="L24" s="25" t="n">
        <x:f>(E24+F24)*I24*J24*K24/'参数'!$B$7</x:f>
        <x:v>172800</x:v>
      </x:c>
      <x:c r="M24" s="23" t="str">
        <x:f>IFERROR(INDEX('渠道成本'!$F$5:$F$1004,MATCH(C24,'渠道成本'!$A$5:$A$1004,0)),"")</x:f>
        <x:v>per_duration</x:v>
      </x:c>
      <x:c r="N24" s="26" t="n">
        <x:f>IFERROR(INDEX('渠道成本'!$U$5:$U$1004,MATCH(C24,'渠道成本'!$A$5:$A$1004,0)),0)</x:f>
        <x:v>0.050410958904109585</x:v>
      </x:c>
      <x:c r="O24" s="26" t="n">
        <x:f>IFERROR(L24/'参数'!$B$8*INDEX('官方售价'!$M$5:$M$204,MATCH(B24,'官方售价'!$A$5:$A$204,0)),0)</x:f>
        <x:v>0.6627945205479452</x:v>
      </x:c>
      <x:c r="P24" s="26" t="n">
        <x:f>IF(M24="per_token",L24/'参数'!$B$8*N24,IF(M24="per_duration",F24*N24,IF(M24="per_request",N24,0)))</x:f>
        <x:v>0.2520547945205479</x:v>
      </x:c>
      <x:c r="Q24" s="26" t="n">
        <x:f>O24*D24</x:f>
        <x:v>0.6627945205479452</x:v>
      </x:c>
      <x:c r="R24" s="26" t="n">
        <x:f>Q24-P24</x:f>
        <x:v>0.4107397260273973</x:v>
      </x:c>
      <x:c r="S24" s="29" t="n">
        <x:f>IF(Q24=0,"",R24/Q24)</x:f>
        <x:v>0.6197089947089948</x:v>
      </x:c>
      <x:c r="T24" s="23" t="str">
        <x:f>IF(OR(B24="",C24=""),"pending",IF(OR(O24&lt;0,P24&lt;0),"settlement_failed","settled"))</x:f>
        <x:v>settled</x:v>
      </x:c>
      <x:c r="U24" s="7" t="str">
        <x:v>源行=sd!12；自动利润预览；分组倍率可改为用户折扣</x:v>
      </x:c>
    </x:row>
    <x:row r="25" ht="26.350000381469727" customHeight="1">
      <x:c r="A25" s="19" t="str">
        <x:v>CASE-PAIPU-R14-720-REQ-NOV</x:v>
      </x:c>
      <x:c r="B25" s="19" t="str">
        <x:v>SALE-SD20-STD-720-NOV</x:v>
      </x:c>
      <x:c r="C25" s="19" t="str">
        <x:v>COST-PAIPU-R14-720-REQ-NOV</x:v>
      </x:c>
      <x:c r="D25" s="28" t="n">
        <x:v>1</x:v>
      </x:c>
      <x:c r="E25" s="28" t="n">
        <x:v>0</x:v>
      </x:c>
      <x:c r="F25" s="28" t="n">
        <x:v>5</x:v>
      </x:c>
      <x:c r="G25" s="23" t="str">
        <x:f>IFERROR(INDEX('官方售价'!$C$5:$C$204,MATCH(B25,'官方售价'!$A$5:$A$204,0)),"")</x:f>
        <x:v>SKU-SD20-STD-720</x:v>
      </x:c>
      <x:c r="H25" s="23" t="str">
        <x:f>IFERROR(INDEX('官方售价'!$D$5:$D$204,MATCH(B25,'官方售价'!$A$5:$A$204,0)),"")</x:f>
        <x:v>no_video</x:v>
      </x:c>
      <x:c r="I25" s="23" t="n">
        <x:f>IFERROR(INDEX('官方售价'!$H$5:$H$204,MATCH(B25,'官方售价'!$A$5:$A$204,0)),0)</x:f>
        <x:v>1280</x:v>
      </x:c>
      <x:c r="J25" s="23" t="n">
        <x:f>IFERROR(INDEX('官方售价'!$I$5:$I$204,MATCH(B25,'官方售价'!$A$5:$A$204,0)),0)</x:f>
        <x:v>720</x:v>
      </x:c>
      <x:c r="K25" s="23" t="n">
        <x:f>IFERROR(INDEX('官方售价'!$J$5:$J$204,MATCH(B25,'官方售价'!$A$5:$A$204,0)),0)</x:f>
        <x:v>24</x:v>
      </x:c>
      <x:c r="L25" s="25" t="n">
        <x:f>(E25+F25)*I25*J25*K25/'参数'!$B$7</x:f>
        <x:v>108000</x:v>
      </x:c>
      <x:c r="M25" s="23" t="str">
        <x:f>IFERROR(INDEX('渠道成本'!$F$5:$F$1004,MATCH(C25,'渠道成本'!$A$5:$A$1004,0)),"")</x:f>
        <x:v>per_request</x:v>
      </x:c>
      <x:c r="N25" s="26" t="n">
        <x:f>IFERROR(INDEX('渠道成本'!$U$5:$U$1004,MATCH(C25,'渠道成本'!$A$5:$A$1004,0)),0)</x:f>
        <x:v>0.3150684931506849</x:v>
      </x:c>
      <x:c r="O25" s="26" t="n">
        <x:f>IFERROR(L25/'参数'!$B$8*INDEX('官方售价'!$M$5:$M$204,MATCH(B25,'官方售价'!$A$5:$A$204,0)),0)</x:f>
        <x:v>0.6805479452054793</x:v>
      </x:c>
      <x:c r="P25" s="26" t="n">
        <x:f>IF(M25="per_token",L25/'参数'!$B$8*N25,IF(M25="per_duration",F25*N25,IF(M25="per_request",N25,0)))</x:f>
        <x:v>0.3150684931506849</x:v>
      </x:c>
      <x:c r="Q25" s="26" t="n">
        <x:f>O25*D25</x:f>
        <x:v>0.6805479452054793</x:v>
      </x:c>
      <x:c r="R25" s="26" t="n">
        <x:f>Q25-P25</x:f>
        <x:v>0.36547945205479443</x:v>
      </x:c>
      <x:c r="S25" s="29" t="n">
        <x:f>IF(Q25=0,"",R25/Q25)</x:f>
        <x:v>0.537037037037037</x:v>
      </x:c>
      <x:c r="T25" s="23" t="str">
        <x:f>IF(OR(B25="",C25=""),"pending",IF(OR(O25&lt;0,P25&lt;0),"settlement_failed","settled"))</x:f>
        <x:v>settled</x:v>
      </x:c>
      <x:c r="U25" s="7" t="str">
        <x:v>源行=sd!14；自动利润预览；分组倍率可改为用户折扣</x:v>
      </x:c>
    </x:row>
    <x:row r="26" ht="26.350000381469727" customHeight="1">
      <x:c r="A26" s="19" t="str">
        <x:v>CASE-PAIPU-R15-720-REQ-NOV</x:v>
      </x:c>
      <x:c r="B26" s="19" t="str">
        <x:v>SALE-SD20-FAST-720-NOV</x:v>
      </x:c>
      <x:c r="C26" s="19" t="str">
        <x:v>COST-PAIPU-R15-720-REQ-NOV</x:v>
      </x:c>
      <x:c r="D26" s="28" t="n">
        <x:v>1</x:v>
      </x:c>
      <x:c r="E26" s="28" t="n">
        <x:v>0</x:v>
      </x:c>
      <x:c r="F26" s="28" t="n">
        <x:v>10</x:v>
      </x:c>
      <x:c r="G26" s="23" t="str">
        <x:f>IFERROR(INDEX('官方售价'!$C$5:$C$204,MATCH(B26,'官方售价'!$A$5:$A$204,0)),"")</x:f>
        <x:v>SKU-SD20-FAST-720</x:v>
      </x:c>
      <x:c r="H26" s="23" t="str">
        <x:f>IFERROR(INDEX('官方售价'!$D$5:$D$204,MATCH(B26,'官方售价'!$A$5:$A$204,0)),"")</x:f>
        <x:v>no_video</x:v>
      </x:c>
      <x:c r="I26" s="23" t="n">
        <x:f>IFERROR(INDEX('官方售价'!$H$5:$H$204,MATCH(B26,'官方售价'!$A$5:$A$204,0)),0)</x:f>
        <x:v>1280</x:v>
      </x:c>
      <x:c r="J26" s="23" t="n">
        <x:f>IFERROR(INDEX('官方售价'!$I$5:$I$204,MATCH(B26,'官方售价'!$A$5:$A$204,0)),0)</x:f>
        <x:v>720</x:v>
      </x:c>
      <x:c r="K26" s="23" t="n">
        <x:f>IFERROR(INDEX('官方售价'!$J$5:$J$204,MATCH(B26,'官方售价'!$A$5:$A$204,0)),0)</x:f>
        <x:v>24</x:v>
      </x:c>
      <x:c r="L26" s="25" t="n">
        <x:f>(E26+F26)*I26*J26*K26/'参数'!$B$7</x:f>
        <x:v>216000</x:v>
      </x:c>
      <x:c r="M26" s="23" t="str">
        <x:f>IFERROR(INDEX('渠道成本'!$F$5:$F$1004,MATCH(C26,'渠道成本'!$A$5:$A$1004,0)),"")</x:f>
        <x:v>per_request</x:v>
      </x:c>
      <x:c r="N26" s="26" t="n">
        <x:f>IFERROR(INDEX('渠道成本'!$U$5:$U$1004,MATCH(C26,'渠道成本'!$A$5:$A$1004,0)),0)</x:f>
        <x:v>0.273972602739726</x:v>
      </x:c>
      <x:c r="O26" s="26" t="n">
        <x:f>IFERROR(L26/'参数'!$B$8*INDEX('官方售价'!$M$5:$M$204,MATCH(B26,'官方售价'!$A$5:$A$204,0)),0)</x:f>
        <x:v>1.0947945205479452</x:v>
      </x:c>
      <x:c r="P26" s="26" t="n">
        <x:f>IF(M26="per_token",L26/'参数'!$B$8*N26,IF(M26="per_duration",F26*N26,IF(M26="per_request",N26,0)))</x:f>
        <x:v>0.273972602739726</x:v>
      </x:c>
      <x:c r="Q26" s="26" t="n">
        <x:f>O26*D26</x:f>
        <x:v>1.0947945205479452</x:v>
      </x:c>
      <x:c r="R26" s="26" t="n">
        <x:f>Q26-P26</x:f>
        <x:v>0.8208219178082192</x:v>
      </x:c>
      <x:c r="S26" s="29" t="n">
        <x:f>IF(Q26=0,"",R26/Q26)</x:f>
        <x:v>0.7497497497497497</x:v>
      </x:c>
      <x:c r="T26" s="23" t="str">
        <x:f>IF(OR(B26="",C26=""),"pending",IF(OR(O26&lt;0,P26&lt;0),"settlement_failed","settled"))</x:f>
        <x:v>settled</x:v>
      </x:c>
      <x:c r="U26" s="7" t="str">
        <x:v>源行=sd!15；自动利润预览；分组倍率可改为用户折扣</x:v>
      </x:c>
    </x:row>
    <x:row r="27" ht="26.350000381469727" customHeight="1">
      <x:c r="A27" s="19" t="str">
        <x:v>CASE-PAIPU-R16-720-REQ-NOV</x:v>
      </x:c>
      <x:c r="B27" s="19" t="str">
        <x:v>SALE-SD20-FAST-720-NOV</x:v>
      </x:c>
      <x:c r="C27" s="19" t="str">
        <x:v>COST-PAIPU-R16-720-REQ-NOV</x:v>
      </x:c>
      <x:c r="D27" s="28" t="n">
        <x:v>1</x:v>
      </x:c>
      <x:c r="E27" s="28" t="n">
        <x:v>0</x:v>
      </x:c>
      <x:c r="F27" s="28" t="n">
        <x:v>5</x:v>
      </x:c>
      <x:c r="G27" s="23" t="str">
        <x:f>IFERROR(INDEX('官方售价'!$C$5:$C$204,MATCH(B27,'官方售价'!$A$5:$A$204,0)),"")</x:f>
        <x:v>SKU-SD20-FAST-720</x:v>
      </x:c>
      <x:c r="H27" s="23" t="str">
        <x:f>IFERROR(INDEX('官方售价'!$D$5:$D$204,MATCH(B27,'官方售价'!$A$5:$A$204,0)),"")</x:f>
        <x:v>no_video</x:v>
      </x:c>
      <x:c r="I27" s="23" t="n">
        <x:f>IFERROR(INDEX('官方售价'!$H$5:$H$204,MATCH(B27,'官方售价'!$A$5:$A$204,0)),0)</x:f>
        <x:v>1280</x:v>
      </x:c>
      <x:c r="J27" s="23" t="n">
        <x:f>IFERROR(INDEX('官方售价'!$I$5:$I$204,MATCH(B27,'官方售价'!$A$5:$A$204,0)),0)</x:f>
        <x:v>720</x:v>
      </x:c>
      <x:c r="K27" s="23" t="n">
        <x:f>IFERROR(INDEX('官方售价'!$J$5:$J$204,MATCH(B27,'官方售价'!$A$5:$A$204,0)),0)</x:f>
        <x:v>24</x:v>
      </x:c>
      <x:c r="L27" s="25" t="n">
        <x:f>(E27+F27)*I27*J27*K27/'参数'!$B$7</x:f>
        <x:v>108000</x:v>
      </x:c>
      <x:c r="M27" s="23" t="str">
        <x:f>IFERROR(INDEX('渠道成本'!$F$5:$F$1004,MATCH(C27,'渠道成本'!$A$5:$A$1004,0)),"")</x:f>
        <x:v>per_request</x:v>
      </x:c>
      <x:c r="N27" s="26" t="n">
        <x:f>IFERROR(INDEX('渠道成本'!$U$5:$U$1004,MATCH(C27,'渠道成本'!$A$5:$A$1004,0)),0)</x:f>
        <x:v>0.5890410958904109</x:v>
      </x:c>
      <x:c r="O27" s="26" t="n">
        <x:f>IFERROR(L27/'参数'!$B$8*INDEX('官方售价'!$M$5:$M$204,MATCH(B27,'官方售价'!$A$5:$A$204,0)),0)</x:f>
        <x:v>0.5473972602739726</x:v>
      </x:c>
      <x:c r="P27" s="26" t="n">
        <x:f>IF(M27="per_token",L27/'参数'!$B$8*N27,IF(M27="per_duration",F27*N27,IF(M27="per_request",N27,0)))</x:f>
        <x:v>0.5890410958904109</x:v>
      </x:c>
      <x:c r="Q27" s="26" t="n">
        <x:f>O27*D27</x:f>
        <x:v>0.5473972602739726</x:v>
      </x:c>
      <x:c r="R27" s="26" t="n">
        <x:f>Q27-P27</x:f>
        <x:v>-0.04164383561643825</x:v>
      </x:c>
      <x:c r="S27" s="29" t="n">
        <x:f>IF(Q27=0,"",R27/Q27)</x:f>
        <x:v>-0.07607607607607589</x:v>
      </x:c>
      <x:c r="T27" s="23" t="str">
        <x:f>IF(OR(B27="",C27=""),"pending",IF(OR(O27&lt;0,P27&lt;0),"settlement_failed","settled"))</x:f>
        <x:v>settled</x:v>
      </x:c>
      <x:c r="U27" s="7" t="str">
        <x:v>源行=sd!16；自动利润预览；分组倍率可改为用户折扣</x:v>
      </x:c>
    </x:row>
    <x:row r="28" ht="26.350000381469727" customHeight="1">
      <x:c r="A28" s="19" t="str">
        <x:v>CASE-PAIPU-R16-720-REQ-VID</x:v>
      </x:c>
      <x:c r="B28" s="19" t="str">
        <x:v>SALE-SD20-FAST-720-VID</x:v>
      </x:c>
      <x:c r="C28" s="19" t="str">
        <x:v>COST-PAIPU-R16-720-REQ-VID</x:v>
      </x:c>
      <x:c r="D28" s="28" t="n">
        <x:v>1</x:v>
      </x:c>
      <x:c r="E28" s="28" t="n">
        <x:v>3</x:v>
      </x:c>
      <x:c r="F28" s="28" t="n">
        <x:v>5</x:v>
      </x:c>
      <x:c r="G28" s="23" t="str">
        <x:f>IFERROR(INDEX('官方售价'!$C$5:$C$204,MATCH(B28,'官方售价'!$A$5:$A$204,0)),"")</x:f>
        <x:v>SKU-SD20-FAST-720</x:v>
      </x:c>
      <x:c r="H28" s="23" t="str">
        <x:f>IFERROR(INDEX('官方售价'!$D$5:$D$204,MATCH(B28,'官方售价'!$A$5:$A$204,0)),"")</x:f>
        <x:v>with_video</x:v>
      </x:c>
      <x:c r="I28" s="23" t="n">
        <x:f>IFERROR(INDEX('官方售价'!$H$5:$H$204,MATCH(B28,'官方售价'!$A$5:$A$204,0)),0)</x:f>
        <x:v>1280</x:v>
      </x:c>
      <x:c r="J28" s="23" t="n">
        <x:f>IFERROR(INDEX('官方售价'!$I$5:$I$204,MATCH(B28,'官方售价'!$A$5:$A$204,0)),0)</x:f>
        <x:v>720</x:v>
      </x:c>
      <x:c r="K28" s="23" t="n">
        <x:f>IFERROR(INDEX('官方售价'!$J$5:$J$204,MATCH(B28,'官方售价'!$A$5:$A$204,0)),0)</x:f>
        <x:v>24</x:v>
      </x:c>
      <x:c r="L28" s="25" t="n">
        <x:f>(E28+F28)*I28*J28*K28/'参数'!$B$7</x:f>
        <x:v>172800</x:v>
      </x:c>
      <x:c r="M28" s="23" t="str">
        <x:f>IFERROR(INDEX('渠道成本'!$F$5:$F$1004,MATCH(C28,'渠道成本'!$A$5:$A$1004,0)),"")</x:f>
        <x:v>per_request</x:v>
      </x:c>
      <x:c r="N28" s="26" t="n">
        <x:f>IFERROR(INDEX('渠道成本'!$U$5:$U$1004,MATCH(C28,'渠道成本'!$A$5:$A$1004,0)),0)</x:f>
        <x:v>0.5890410958904109</x:v>
      </x:c>
      <x:c r="O28" s="26" t="n">
        <x:f>IFERROR(L28/'参数'!$B$8*INDEX('官方售价'!$M$5:$M$204,MATCH(B28,'官方售价'!$A$5:$A$204,0)),0)</x:f>
        <x:v>0.5207671232876712</x:v>
      </x:c>
      <x:c r="P28" s="26" t="n">
        <x:f>IF(M28="per_token",L28/'参数'!$B$8*N28,IF(M28="per_duration",F28*N28,IF(M28="per_request",N28,0)))</x:f>
        <x:v>0.5890410958904109</x:v>
      </x:c>
      <x:c r="Q28" s="26" t="n">
        <x:f>O28*D28</x:f>
        <x:v>0.5207671232876712</x:v>
      </x:c>
      <x:c r="R28" s="26" t="n">
        <x:f>Q28-P28</x:f>
        <x:v>-0.06827397260273971</x:v>
      </x:c>
      <x:c r="S28" s="29" t="n">
        <x:f>IF(Q28=0,"",R28/Q28)</x:f>
        <x:v>-0.13110269360269358</x:v>
      </x:c>
      <x:c r="T28" s="23" t="str">
        <x:f>IF(OR(B28="",C28=""),"pending",IF(OR(O28&lt;0,P28&lt;0),"settlement_failed","settled"))</x:f>
        <x:v>settled</x:v>
      </x:c>
      <x:c r="U28" s="7" t="str">
        <x:v>源行=sd!16；自动利润预览；分组倍率可改为用户折扣</x:v>
      </x:c>
    </x:row>
    <x:row r="29" ht="26.350000381469727" customHeight="1">
      <x:c r="A29" s="19" t="str">
        <x:v>CASE-PAIPU-R17-720-REQ-NOV</x:v>
      </x:c>
      <x:c r="B29" s="19" t="str">
        <x:v>SALE-SD20-STD-720-NOV</x:v>
      </x:c>
      <x:c r="C29" s="19" t="str">
        <x:v>COST-PAIPU-R17-720-REQ-NOV</x:v>
      </x:c>
      <x:c r="D29" s="28" t="n">
        <x:v>1</x:v>
      </x:c>
      <x:c r="E29" s="28" t="n">
        <x:v>0</x:v>
      </x:c>
      <x:c r="F29" s="28" t="n">
        <x:v>5</x:v>
      </x:c>
      <x:c r="G29" s="23" t="str">
        <x:f>IFERROR(INDEX('官方售价'!$C$5:$C$204,MATCH(B29,'官方售价'!$A$5:$A$204,0)),"")</x:f>
        <x:v>SKU-SD20-STD-720</x:v>
      </x:c>
      <x:c r="H29" s="23" t="str">
        <x:f>IFERROR(INDEX('官方售价'!$D$5:$D$204,MATCH(B29,'官方售价'!$A$5:$A$204,0)),"")</x:f>
        <x:v>no_video</x:v>
      </x:c>
      <x:c r="I29" s="23" t="n">
        <x:f>IFERROR(INDEX('官方售价'!$H$5:$H$204,MATCH(B29,'官方售价'!$A$5:$A$204,0)),0)</x:f>
        <x:v>1280</x:v>
      </x:c>
      <x:c r="J29" s="23" t="n">
        <x:f>IFERROR(INDEX('官方售价'!$I$5:$I$204,MATCH(B29,'官方售价'!$A$5:$A$204,0)),0)</x:f>
        <x:v>720</x:v>
      </x:c>
      <x:c r="K29" s="23" t="n">
        <x:f>IFERROR(INDEX('官方售价'!$J$5:$J$204,MATCH(B29,'官方售价'!$A$5:$A$204,0)),0)</x:f>
        <x:v>24</x:v>
      </x:c>
      <x:c r="L29" s="25" t="n">
        <x:f>(E29+F29)*I29*J29*K29/'参数'!$B$7</x:f>
        <x:v>108000</x:v>
      </x:c>
      <x:c r="M29" s="23" t="str">
        <x:f>IFERROR(INDEX('渠道成本'!$F$5:$F$1004,MATCH(C29,'渠道成本'!$A$5:$A$1004,0)),"")</x:f>
        <x:v>per_request</x:v>
      </x:c>
      <x:c r="N29" s="26" t="n">
        <x:f>IFERROR(INDEX('渠道成本'!$U$5:$U$1004,MATCH(C29,'渠道成本'!$A$5:$A$1004,0)),0)</x:f>
        <x:v>0.7260273972602739</x:v>
      </x:c>
      <x:c r="O29" s="26" t="n">
        <x:f>IFERROR(L29/'参数'!$B$8*INDEX('官方售价'!$M$5:$M$204,MATCH(B29,'官方售价'!$A$5:$A$204,0)),0)</x:f>
        <x:v>0.6805479452054793</x:v>
      </x:c>
      <x:c r="P29" s="26" t="n">
        <x:f>IF(M29="per_token",L29/'参数'!$B$8*N29,IF(M29="per_duration",F29*N29,IF(M29="per_request",N29,0)))</x:f>
        <x:v>0.7260273972602739</x:v>
      </x:c>
      <x:c r="Q29" s="26" t="n">
        <x:f>O29*D29</x:f>
        <x:v>0.6805479452054793</x:v>
      </x:c>
      <x:c r="R29" s="26" t="n">
        <x:f>Q29-P29</x:f>
        <x:v>-0.045479452054794534</x:v>
      </x:c>
      <x:c r="S29" s="29" t="n">
        <x:f>IF(Q29=0,"",R29/Q29)</x:f>
        <x:v>-0.0668276972624799</x:v>
      </x:c>
      <x:c r="T29" s="23" t="str">
        <x:f>IF(OR(B29="",C29=""),"pending",IF(OR(O29&lt;0,P29&lt;0),"settlement_failed","settled"))</x:f>
        <x:v>settled</x:v>
      </x:c>
      <x:c r="U29" s="7" t="str">
        <x:v>源行=sd!17；自动利润预览；分组倍率可改为用户折扣</x:v>
      </x:c>
    </x:row>
    <x:row r="30" ht="26.350000381469727" customHeight="1">
      <x:c r="A30" s="19" t="str">
        <x:v>CASE-PAIPU-R17-720-REQ-VID</x:v>
      </x:c>
      <x:c r="B30" s="19" t="str">
        <x:v>SALE-SD20-STD-720-VID</x:v>
      </x:c>
      <x:c r="C30" s="19" t="str">
        <x:v>COST-PAIPU-R17-720-REQ-VID</x:v>
      </x:c>
      <x:c r="D30" s="28" t="n">
        <x:v>1</x:v>
      </x:c>
      <x:c r="E30" s="28" t="n">
        <x:v>3</x:v>
      </x:c>
      <x:c r="F30" s="28" t="n">
        <x:v>5</x:v>
      </x:c>
      <x:c r="G30" s="23" t="str">
        <x:f>IFERROR(INDEX('官方售价'!$C$5:$C$204,MATCH(B30,'官方售价'!$A$5:$A$204,0)),"")</x:f>
        <x:v>SKU-SD20-STD-720</x:v>
      </x:c>
      <x:c r="H30" s="23" t="str">
        <x:f>IFERROR(INDEX('官方售价'!$D$5:$D$204,MATCH(B30,'官方售价'!$A$5:$A$204,0)),"")</x:f>
        <x:v>with_video</x:v>
      </x:c>
      <x:c r="I30" s="23" t="n">
        <x:f>IFERROR(INDEX('官方售价'!$H$5:$H$204,MATCH(B30,'官方售价'!$A$5:$A$204,0)),0)</x:f>
        <x:v>1280</x:v>
      </x:c>
      <x:c r="J30" s="23" t="n">
        <x:f>IFERROR(INDEX('官方售价'!$I$5:$I$204,MATCH(B30,'官方售价'!$A$5:$A$204,0)),0)</x:f>
        <x:v>720</x:v>
      </x:c>
      <x:c r="K30" s="23" t="n">
        <x:f>IFERROR(INDEX('官方售价'!$J$5:$J$204,MATCH(B30,'官方售价'!$A$5:$A$204,0)),0)</x:f>
        <x:v>24</x:v>
      </x:c>
      <x:c r="L30" s="25" t="n">
        <x:f>(E30+F30)*I30*J30*K30/'参数'!$B$7</x:f>
        <x:v>172800</x:v>
      </x:c>
      <x:c r="M30" s="23" t="str">
        <x:f>IFERROR(INDEX('渠道成本'!$F$5:$F$1004,MATCH(C30,'渠道成本'!$A$5:$A$1004,0)),"")</x:f>
        <x:v>per_request</x:v>
      </x:c>
      <x:c r="N30" s="26" t="n">
        <x:f>IFERROR(INDEX('渠道成本'!$U$5:$U$1004,MATCH(C30,'渠道成本'!$A$5:$A$1004,0)),0)</x:f>
        <x:v>0.7260273972602739</x:v>
      </x:c>
      <x:c r="O30" s="26" t="n">
        <x:f>IFERROR(L30/'参数'!$B$8*INDEX('官方售价'!$M$5:$M$204,MATCH(B30,'官方售价'!$A$5:$A$204,0)),0)</x:f>
        <x:v>0.6627945205479452</x:v>
      </x:c>
      <x:c r="P30" s="26" t="n">
        <x:f>IF(M30="per_token",L30/'参数'!$B$8*N30,IF(M30="per_duration",F30*N30,IF(M30="per_request",N30,0)))</x:f>
        <x:v>0.7260273972602739</x:v>
      </x:c>
      <x:c r="Q30" s="26" t="n">
        <x:f>O30*D30</x:f>
        <x:v>0.6627945205479452</x:v>
      </x:c>
      <x:c r="R30" s="26" t="n">
        <x:f>Q30-P30</x:f>
        <x:v>-0.06323287671232869</x:v>
      </x:c>
      <x:c r="S30" s="29" t="n">
        <x:f>IF(Q30=0,"",R30/Q30)</x:f>
        <x:v>-0.09540343915343905</x:v>
      </x:c>
      <x:c r="T30" s="23" t="str">
        <x:f>IF(OR(B30="",C30=""),"pending",IF(OR(O30&lt;0,P30&lt;0),"settlement_failed","settled"))</x:f>
        <x:v>settled</x:v>
      </x:c>
      <x:c r="U30" s="7" t="str">
        <x:v>源行=sd!17；自动利润预览；分组倍率可改为用户折扣</x:v>
      </x:c>
    </x:row>
    <x:row r="31" ht="26.350000381469727" customHeight="1">
      <x:c r="A31" s="19" t="str">
        <x:v>CASE-PAIPU-R18-720-REQ-NOV</x:v>
      </x:c>
      <x:c r="B31" s="19" t="str">
        <x:v>SALE-SD20-STD-720-NOV</x:v>
      </x:c>
      <x:c r="C31" s="19" t="str">
        <x:v>COST-PAIPU-R18-720-REQ-NOV</x:v>
      </x:c>
      <x:c r="D31" s="28" t="n">
        <x:v>1</x:v>
      </x:c>
      <x:c r="E31" s="28" t="n">
        <x:v>0</x:v>
      </x:c>
      <x:c r="F31" s="28" t="n">
        <x:v>5</x:v>
      </x:c>
      <x:c r="G31" s="23" t="str">
        <x:f>IFERROR(INDEX('官方售价'!$C$5:$C$204,MATCH(B31,'官方售价'!$A$5:$A$204,0)),"")</x:f>
        <x:v>SKU-SD20-STD-720</x:v>
      </x:c>
      <x:c r="H31" s="23" t="str">
        <x:f>IFERROR(INDEX('官方售价'!$D$5:$D$204,MATCH(B31,'官方售价'!$A$5:$A$204,0)),"")</x:f>
        <x:v>no_video</x:v>
      </x:c>
      <x:c r="I31" s="23" t="n">
        <x:f>IFERROR(INDEX('官方售价'!$H$5:$H$204,MATCH(B31,'官方售价'!$A$5:$A$204,0)),0)</x:f>
        <x:v>1280</x:v>
      </x:c>
      <x:c r="J31" s="23" t="n">
        <x:f>IFERROR(INDEX('官方售价'!$I$5:$I$204,MATCH(B31,'官方售价'!$A$5:$A$204,0)),0)</x:f>
        <x:v>720</x:v>
      </x:c>
      <x:c r="K31" s="23" t="n">
        <x:f>IFERROR(INDEX('官方售价'!$J$5:$J$204,MATCH(B31,'官方售价'!$A$5:$A$204,0)),0)</x:f>
        <x:v>24</x:v>
      </x:c>
      <x:c r="L31" s="25" t="n">
        <x:f>(E31+F31)*I31*J31*K31/'参数'!$B$7</x:f>
        <x:v>108000</x:v>
      </x:c>
      <x:c r="M31" s="23" t="str">
        <x:f>IFERROR(INDEX('渠道成本'!$F$5:$F$1004,MATCH(C31,'渠道成本'!$A$5:$A$1004,0)),"")</x:f>
        <x:v>per_request</x:v>
      </x:c>
      <x:c r="N31" s="26" t="n">
        <x:f>IFERROR(INDEX('渠道成本'!$U$5:$U$1004,MATCH(C31,'渠道成本'!$A$5:$A$1004,0)),0)</x:f>
        <x:v>0.821917808219178</x:v>
      </x:c>
      <x:c r="O31" s="26" t="n">
        <x:f>IFERROR(L31/'参数'!$B$8*INDEX('官方售价'!$M$5:$M$204,MATCH(B31,'官方售价'!$A$5:$A$204,0)),0)</x:f>
        <x:v>0.6805479452054793</x:v>
      </x:c>
      <x:c r="P31" s="26" t="n">
        <x:f>IF(M31="per_token",L31/'参数'!$B$8*N31,IF(M31="per_duration",F31*N31,IF(M31="per_request",N31,0)))</x:f>
        <x:v>0.821917808219178</x:v>
      </x:c>
      <x:c r="Q31" s="26" t="n">
        <x:f>O31*D31</x:f>
        <x:v>0.6805479452054793</x:v>
      </x:c>
      <x:c r="R31" s="26" t="n">
        <x:f>Q31-P31</x:f>
        <x:v>-0.1413698630136987</x:v>
      </x:c>
      <x:c r="S31" s="29" t="n">
        <x:f>IF(Q31=0,"",R31/Q31)</x:f>
        <x:v>-0.20772946859903393</x:v>
      </x:c>
      <x:c r="T31" s="23" t="str">
        <x:f>IF(OR(B31="",C31=""),"pending",IF(OR(O31&lt;0,P31&lt;0),"settlement_failed","settled"))</x:f>
        <x:v>settled</x:v>
      </x:c>
      <x:c r="U31" s="7" t="str">
        <x:v>源行=sd!18；自动利润预览；分组倍率可改为用户折扣</x:v>
      </x:c>
    </x:row>
    <x:row r="32" ht="26.350000381469727" customHeight="1">
      <x:c r="A32" s="19" t="str">
        <x:v>CASE-PAIPU-R18-720-REQ-VID</x:v>
      </x:c>
      <x:c r="B32" s="19" t="str">
        <x:v>SALE-SD20-STD-720-VID</x:v>
      </x:c>
      <x:c r="C32" s="19" t="str">
        <x:v>COST-PAIPU-R18-720-REQ-VID</x:v>
      </x:c>
      <x:c r="D32" s="28" t="n">
        <x:v>1</x:v>
      </x:c>
      <x:c r="E32" s="28" t="n">
        <x:v>3</x:v>
      </x:c>
      <x:c r="F32" s="28" t="n">
        <x:v>5</x:v>
      </x:c>
      <x:c r="G32" s="23" t="str">
        <x:f>IFERROR(INDEX('官方售价'!$C$5:$C$204,MATCH(B32,'官方售价'!$A$5:$A$204,0)),"")</x:f>
        <x:v>SKU-SD20-STD-720</x:v>
      </x:c>
      <x:c r="H32" s="23" t="str">
        <x:f>IFERROR(INDEX('官方售价'!$D$5:$D$204,MATCH(B32,'官方售价'!$A$5:$A$204,0)),"")</x:f>
        <x:v>with_video</x:v>
      </x:c>
      <x:c r="I32" s="23" t="n">
        <x:f>IFERROR(INDEX('官方售价'!$H$5:$H$204,MATCH(B32,'官方售价'!$A$5:$A$204,0)),0)</x:f>
        <x:v>1280</x:v>
      </x:c>
      <x:c r="J32" s="23" t="n">
        <x:f>IFERROR(INDEX('官方售价'!$I$5:$I$204,MATCH(B32,'官方售价'!$A$5:$A$204,0)),0)</x:f>
        <x:v>720</x:v>
      </x:c>
      <x:c r="K32" s="23" t="n">
        <x:f>IFERROR(INDEX('官方售价'!$J$5:$J$204,MATCH(B32,'官方售价'!$A$5:$A$204,0)),0)</x:f>
        <x:v>24</x:v>
      </x:c>
      <x:c r="L32" s="25" t="n">
        <x:f>(E32+F32)*I32*J32*K32/'参数'!$B$7</x:f>
        <x:v>172800</x:v>
      </x:c>
      <x:c r="M32" s="23" t="str">
        <x:f>IFERROR(INDEX('渠道成本'!$F$5:$F$1004,MATCH(C32,'渠道成本'!$A$5:$A$1004,0)),"")</x:f>
        <x:v>per_request</x:v>
      </x:c>
      <x:c r="N32" s="26" t="n">
        <x:f>IFERROR(INDEX('渠道成本'!$U$5:$U$1004,MATCH(C32,'渠道成本'!$A$5:$A$1004,0)),0)</x:f>
        <x:v>0.821917808219178</x:v>
      </x:c>
      <x:c r="O32" s="26" t="n">
        <x:f>IFERROR(L32/'参数'!$B$8*INDEX('官方售价'!$M$5:$M$204,MATCH(B32,'官方售价'!$A$5:$A$204,0)),0)</x:f>
        <x:v>0.6627945205479452</x:v>
      </x:c>
      <x:c r="P32" s="26" t="n">
        <x:f>IF(M32="per_token",L32/'参数'!$B$8*N32,IF(M32="per_duration",F32*N32,IF(M32="per_request",N32,0)))</x:f>
        <x:v>0.821917808219178</x:v>
      </x:c>
      <x:c r="Q32" s="26" t="n">
        <x:f>O32*D32</x:f>
        <x:v>0.6627945205479452</x:v>
      </x:c>
      <x:c r="R32" s="26" t="n">
        <x:f>Q32-P32</x:f>
        <x:v>-0.15912328767123285</x:v>
      </x:c>
      <x:c r="S32" s="29" t="n">
        <x:f>IF(Q32=0,"",R32/Q32)</x:f>
        <x:v>-0.24007936507936503</x:v>
      </x:c>
      <x:c r="T32" s="23" t="str">
        <x:f>IF(OR(B32="",C32=""),"pending",IF(OR(O32&lt;0,P32&lt;0),"settlement_failed","settled"))</x:f>
        <x:v>settled</x:v>
      </x:c>
      <x:c r="U32" s="7" t="str">
        <x:v>源行=sd!18；自动利润预览；分组倍率可改为用户折扣</x:v>
      </x:c>
    </x:row>
    <x:row r="33" ht="26.350000381469727" customHeight="1">
      <x:c r="A33" s="19" t="str">
        <x:v>CASE-PAIPU-R19-720-SEC-NOV</x:v>
      </x:c>
      <x:c r="B33" s="19" t="str">
        <x:v>SALE-SD20-STD-720-NOV</x:v>
      </x:c>
      <x:c r="C33" s="19" t="str">
        <x:v>COST-PAIPU-R19-720-SEC-NOV</x:v>
      </x:c>
      <x:c r="D33" s="28" t="n">
        <x:v>1</x:v>
      </x:c>
      <x:c r="E33" s="28" t="n">
        <x:v>0</x:v>
      </x:c>
      <x:c r="F33" s="28" t="n">
        <x:v>5</x:v>
      </x:c>
      <x:c r="G33" s="23" t="str">
        <x:f>IFERROR(INDEX('官方售价'!$C$5:$C$204,MATCH(B33,'官方售价'!$A$5:$A$204,0)),"")</x:f>
        <x:v>SKU-SD20-STD-720</x:v>
      </x:c>
      <x:c r="H33" s="23" t="str">
        <x:f>IFERROR(INDEX('官方售价'!$D$5:$D$204,MATCH(B33,'官方售价'!$A$5:$A$204,0)),"")</x:f>
        <x:v>no_video</x:v>
      </x:c>
      <x:c r="I33" s="23" t="n">
        <x:f>IFERROR(INDEX('官方售价'!$H$5:$H$204,MATCH(B33,'官方售价'!$A$5:$A$204,0)),0)</x:f>
        <x:v>1280</x:v>
      </x:c>
      <x:c r="J33" s="23" t="n">
        <x:f>IFERROR(INDEX('官方售价'!$I$5:$I$204,MATCH(B33,'官方售价'!$A$5:$A$204,0)),0)</x:f>
        <x:v>720</x:v>
      </x:c>
      <x:c r="K33" s="23" t="n">
        <x:f>IFERROR(INDEX('官方售价'!$J$5:$J$204,MATCH(B33,'官方售价'!$A$5:$A$204,0)),0)</x:f>
        <x:v>24</x:v>
      </x:c>
      <x:c r="L33" s="25" t="n">
        <x:f>(E33+F33)*I33*J33*K33/'参数'!$B$7</x:f>
        <x:v>108000</x:v>
      </x:c>
      <x:c r="M33" s="23" t="str">
        <x:f>IFERROR(INDEX('渠道成本'!$F$5:$F$1004,MATCH(C33,'渠道成本'!$A$5:$A$1004,0)),"")</x:f>
        <x:v>per_duration</x:v>
      </x:c>
      <x:c r="N33" s="26" t="n">
        <x:f>IFERROR(INDEX('渠道成本'!$U$5:$U$1004,MATCH(C33,'渠道成本'!$A$5:$A$1004,0)),0)</x:f>
        <x:v>0.03424657534246575</x:v>
      </x:c>
      <x:c r="O33" s="26" t="n">
        <x:f>IFERROR(L33/'参数'!$B$8*INDEX('官方售价'!$M$5:$M$204,MATCH(B33,'官方售价'!$A$5:$A$204,0)),0)</x:f>
        <x:v>0.6805479452054793</x:v>
      </x:c>
      <x:c r="P33" s="26" t="n">
        <x:f>IF(M33="per_token",L33/'参数'!$B$8*N33,IF(M33="per_duration",F33*N33,IF(M33="per_request",N33,0)))</x:f>
        <x:v>0.17123287671232876</x:v>
      </x:c>
      <x:c r="Q33" s="26" t="n">
        <x:f>O33*D33</x:f>
        <x:v>0.6805479452054793</x:v>
      </x:c>
      <x:c r="R33" s="26" t="n">
        <x:f>Q33-P33</x:f>
        <x:v>0.5093150684931506</x:v>
      </x:c>
      <x:c r="S33" s="29" t="n">
        <x:f>IF(Q33=0,"",R33/Q33)</x:f>
        <x:v>0.7483896940418678</x:v>
      </x:c>
      <x:c r="T33" s="23" t="str">
        <x:f>IF(OR(B33="",C33=""),"pending",IF(OR(O33&lt;0,P33&lt;0),"settlement_failed","settled"))</x:f>
        <x:v>settled</x:v>
      </x:c>
      <x:c r="U33" s="7" t="str">
        <x:v>源行=sd!19；自动利润预览；分组倍率可改为用户折扣</x:v>
      </x:c>
    </x:row>
    <x:row r="34" ht="26.350000381469727" customHeight="1">
      <x:c r="A34" s="19" t="str">
        <x:v>CASE-PAIPU-R20-720-REQ-NOV</x:v>
      </x:c>
      <x:c r="B34" s="19" t="str">
        <x:v>SALE-SD20-STD-720-NOV</x:v>
      </x:c>
      <x:c r="C34" s="19" t="str">
        <x:v>COST-PAIPU-R20-720-REQ-NOV</x:v>
      </x:c>
      <x:c r="D34" s="28" t="n">
        <x:v>1</x:v>
      </x:c>
      <x:c r="E34" s="28" t="n">
        <x:v>0</x:v>
      </x:c>
      <x:c r="F34" s="28" t="n">
        <x:v>5</x:v>
      </x:c>
      <x:c r="G34" s="23" t="str">
        <x:f>IFERROR(INDEX('官方售价'!$C$5:$C$204,MATCH(B34,'官方售价'!$A$5:$A$204,0)),"")</x:f>
        <x:v>SKU-SD20-STD-720</x:v>
      </x:c>
      <x:c r="H34" s="23" t="str">
        <x:f>IFERROR(INDEX('官方售价'!$D$5:$D$204,MATCH(B34,'官方售价'!$A$5:$A$204,0)),"")</x:f>
        <x:v>no_video</x:v>
      </x:c>
      <x:c r="I34" s="23" t="n">
        <x:f>IFERROR(INDEX('官方售价'!$H$5:$H$204,MATCH(B34,'官方售价'!$A$5:$A$204,0)),0)</x:f>
        <x:v>1280</x:v>
      </x:c>
      <x:c r="J34" s="23" t="n">
        <x:f>IFERROR(INDEX('官方售价'!$I$5:$I$204,MATCH(B34,'官方售价'!$A$5:$A$204,0)),0)</x:f>
        <x:v>720</x:v>
      </x:c>
      <x:c r="K34" s="23" t="n">
        <x:f>IFERROR(INDEX('官方售价'!$J$5:$J$204,MATCH(B34,'官方售价'!$A$5:$A$204,0)),0)</x:f>
        <x:v>24</x:v>
      </x:c>
      <x:c r="L34" s="25" t="n">
        <x:f>(E34+F34)*I34*J34*K34/'参数'!$B$7</x:f>
        <x:v>108000</x:v>
      </x:c>
      <x:c r="M34" s="23" t="str">
        <x:f>IFERROR(INDEX('渠道成本'!$F$5:$F$1004,MATCH(C34,'渠道成本'!$A$5:$A$1004,0)),"")</x:f>
        <x:v>per_request</x:v>
      </x:c>
      <x:c r="N34" s="26" t="n">
        <x:f>IFERROR(INDEX('渠道成本'!$U$5:$U$1004,MATCH(C34,'渠道成本'!$A$5:$A$1004,0)),0)</x:f>
        <x:v>0.821917808219178</x:v>
      </x:c>
      <x:c r="O34" s="26" t="n">
        <x:f>IFERROR(L34/'参数'!$B$8*INDEX('官方售价'!$M$5:$M$204,MATCH(B34,'官方售价'!$A$5:$A$204,0)),0)</x:f>
        <x:v>0.6805479452054793</x:v>
      </x:c>
      <x:c r="P34" s="26" t="n">
        <x:f>IF(M34="per_token",L34/'参数'!$B$8*N34,IF(M34="per_duration",F34*N34,IF(M34="per_request",N34,0)))</x:f>
        <x:v>0.821917808219178</x:v>
      </x:c>
      <x:c r="Q34" s="26" t="n">
        <x:f>O34*D34</x:f>
        <x:v>0.6805479452054793</x:v>
      </x:c>
      <x:c r="R34" s="26" t="n">
        <x:f>Q34-P34</x:f>
        <x:v>-0.1413698630136987</x:v>
      </x:c>
      <x:c r="S34" s="29" t="n">
        <x:f>IF(Q34=0,"",R34/Q34)</x:f>
        <x:v>-0.20772946859903393</x:v>
      </x:c>
      <x:c r="T34" s="23" t="str">
        <x:f>IF(OR(B34="",C34=""),"pending",IF(OR(O34&lt;0,P34&lt;0),"settlement_failed","settled"))</x:f>
        <x:v>settled</x:v>
      </x:c>
      <x:c r="U34" s="7" t="str">
        <x:v>源行=sd!20；自动利润预览；分组倍率可改为用户折扣</x:v>
      </x:c>
    </x:row>
    <x:row r="35" ht="26.350000381469727" customHeight="1">
      <x:c r="A35" s="19" t="str">
        <x:v>CASE-PAIPU-R20-720-REQ-VID</x:v>
      </x:c>
      <x:c r="B35" s="19" t="str">
        <x:v>SALE-SD20-STD-720-VID</x:v>
      </x:c>
      <x:c r="C35" s="19" t="str">
        <x:v>COST-PAIPU-R20-720-REQ-VID</x:v>
      </x:c>
      <x:c r="D35" s="28" t="n">
        <x:v>1</x:v>
      </x:c>
      <x:c r="E35" s="28" t="n">
        <x:v>3</x:v>
      </x:c>
      <x:c r="F35" s="28" t="n">
        <x:v>5</x:v>
      </x:c>
      <x:c r="G35" s="23" t="str">
        <x:f>IFERROR(INDEX('官方售价'!$C$5:$C$204,MATCH(B35,'官方售价'!$A$5:$A$204,0)),"")</x:f>
        <x:v>SKU-SD20-STD-720</x:v>
      </x:c>
      <x:c r="H35" s="23" t="str">
        <x:f>IFERROR(INDEX('官方售价'!$D$5:$D$204,MATCH(B35,'官方售价'!$A$5:$A$204,0)),"")</x:f>
        <x:v>with_video</x:v>
      </x:c>
      <x:c r="I35" s="23" t="n">
        <x:f>IFERROR(INDEX('官方售价'!$H$5:$H$204,MATCH(B35,'官方售价'!$A$5:$A$204,0)),0)</x:f>
        <x:v>1280</x:v>
      </x:c>
      <x:c r="J35" s="23" t="n">
        <x:f>IFERROR(INDEX('官方售价'!$I$5:$I$204,MATCH(B35,'官方售价'!$A$5:$A$204,0)),0)</x:f>
        <x:v>720</x:v>
      </x:c>
      <x:c r="K35" s="23" t="n">
        <x:f>IFERROR(INDEX('官方售价'!$J$5:$J$204,MATCH(B35,'官方售价'!$A$5:$A$204,0)),0)</x:f>
        <x:v>24</x:v>
      </x:c>
      <x:c r="L35" s="25" t="n">
        <x:f>(E35+F35)*I35*J35*K35/'参数'!$B$7</x:f>
        <x:v>172800</x:v>
      </x:c>
      <x:c r="M35" s="23" t="str">
        <x:f>IFERROR(INDEX('渠道成本'!$F$5:$F$1004,MATCH(C35,'渠道成本'!$A$5:$A$1004,0)),"")</x:f>
        <x:v>per_request</x:v>
      </x:c>
      <x:c r="N35" s="26" t="n">
        <x:f>IFERROR(INDEX('渠道成本'!$U$5:$U$1004,MATCH(C35,'渠道成本'!$A$5:$A$1004,0)),0)</x:f>
        <x:v>0.821917808219178</x:v>
      </x:c>
      <x:c r="O35" s="26" t="n">
        <x:f>IFERROR(L35/'参数'!$B$8*INDEX('官方售价'!$M$5:$M$204,MATCH(B35,'官方售价'!$A$5:$A$204,0)),0)</x:f>
        <x:v>0.6627945205479452</x:v>
      </x:c>
      <x:c r="P35" s="26" t="n">
        <x:f>IF(M35="per_token",L35/'参数'!$B$8*N35,IF(M35="per_duration",F35*N35,IF(M35="per_request",N35,0)))</x:f>
        <x:v>0.821917808219178</x:v>
      </x:c>
      <x:c r="Q35" s="26" t="n">
        <x:f>O35*D35</x:f>
        <x:v>0.6627945205479452</x:v>
      </x:c>
      <x:c r="R35" s="26" t="n">
        <x:f>Q35-P35</x:f>
        <x:v>-0.15912328767123285</x:v>
      </x:c>
      <x:c r="S35" s="29" t="n">
        <x:f>IF(Q35=0,"",R35/Q35)</x:f>
        <x:v>-0.24007936507936503</x:v>
      </x:c>
      <x:c r="T35" s="23" t="str">
        <x:f>IF(OR(B35="",C35=""),"pending",IF(OR(O35&lt;0,P35&lt;0),"settlement_failed","settled"))</x:f>
        <x:v>settled</x:v>
      </x:c>
      <x:c r="U35" s="7" t="str">
        <x:v>源行=sd!20；自动利润预览；分组倍率可改为用户折扣</x:v>
      </x:c>
    </x:row>
    <x:row r="36" ht="26.350000381469727" customHeight="1">
      <x:c r="A36" s="19" t="str">
        <x:v>CASE-PAIPU-R22-1080-REQ-NOV</x:v>
      </x:c>
      <x:c r="B36" s="19" t="str">
        <x:v>SALE-SD20-STD-1080-NOV</x:v>
      </x:c>
      <x:c r="C36" s="19" t="str">
        <x:v>COST-PAIPU-R22-1080-REQ-NOV</x:v>
      </x:c>
      <x:c r="D36" s="28" t="n">
        <x:v>1</x:v>
      </x:c>
      <x:c r="E36" s="28" t="n">
        <x:v>0</x:v>
      </x:c>
      <x:c r="F36" s="28" t="n">
        <x:v>5</x:v>
      </x:c>
      <x:c r="G36" s="23" t="str">
        <x:f>IFERROR(INDEX('官方售价'!$C$5:$C$204,MATCH(B36,'官方售价'!$A$5:$A$204,0)),"")</x:f>
        <x:v>SKU-SD20-STD-1080</x:v>
      </x:c>
      <x:c r="H36" s="23" t="str">
        <x:f>IFERROR(INDEX('官方售价'!$D$5:$D$204,MATCH(B36,'官方售价'!$A$5:$A$204,0)),"")</x:f>
        <x:v>no_video</x:v>
      </x:c>
      <x:c r="I36" s="23" t="n">
        <x:f>IFERROR(INDEX('官方售价'!$H$5:$H$204,MATCH(B36,'官方售价'!$A$5:$A$204,0)),0)</x:f>
        <x:v>1920</x:v>
      </x:c>
      <x:c r="J36" s="23" t="n">
        <x:f>IFERROR(INDEX('官方售价'!$I$5:$I$204,MATCH(B36,'官方售价'!$A$5:$A$204,0)),0)</x:f>
        <x:v>1080</x:v>
      </x:c>
      <x:c r="K36" s="23" t="n">
        <x:f>IFERROR(INDEX('官方售价'!$J$5:$J$204,MATCH(B36,'官方售价'!$A$5:$A$204,0)),0)</x:f>
        <x:v>24</x:v>
      </x:c>
      <x:c r="L36" s="25" t="n">
        <x:f>(E36+F36)*I36*J36*K36/'参数'!$B$7</x:f>
        <x:v>243000</x:v>
      </x:c>
      <x:c r="M36" s="23" t="str">
        <x:f>IFERROR(INDEX('渠道成本'!$F$5:$F$1004,MATCH(C36,'渠道成本'!$A$5:$A$1004,0)),"")</x:f>
        <x:v>per_request</x:v>
      </x:c>
      <x:c r="N36" s="26" t="n">
        <x:f>IFERROR(INDEX('渠道成本'!$U$5:$U$1004,MATCH(C36,'渠道成本'!$A$5:$A$1004,0)),0)</x:f>
        <x:v>0.6575342465753424</x:v>
      </x:c>
      <x:c r="O36" s="26" t="n">
        <x:f>IFERROR(L36/'参数'!$B$8*INDEX('官方售价'!$M$5:$M$204,MATCH(B36,'官方售价'!$A$5:$A$204,0)),0)</x:f>
        <x:v>1.697671232876712</x:v>
      </x:c>
      <x:c r="P36" s="26" t="n">
        <x:f>IF(M36="per_token",L36/'参数'!$B$8*N36,IF(M36="per_duration",F36*N36,IF(M36="per_request",N36,0)))</x:f>
        <x:v>0.6575342465753424</x:v>
      </x:c>
      <x:c r="Q36" s="26" t="n">
        <x:f>O36*D36</x:f>
        <x:v>1.697671232876712</x:v>
      </x:c>
      <x:c r="R36" s="26" t="n">
        <x:f>Q36-P36</x:f>
        <x:v>1.0401369863013696</x:v>
      </x:c>
      <x:c r="S36" s="29" t="n">
        <x:f>IF(Q36=0,"",R36/Q36)</x:f>
        <x:v>0.6126845800048414</x:v>
      </x:c>
      <x:c r="T36" s="23" t="str">
        <x:f>IF(OR(B36="",C36=""),"pending",IF(OR(O36&lt;0,P36&lt;0),"settlement_failed","settled"))</x:f>
        <x:v>settled</x:v>
      </x:c>
      <x:c r="U36" s="7" t="str">
        <x:v>源行=sd!22；自动利润预览；分组倍率可改为用户折扣</x:v>
      </x:c>
    </x:row>
    <x:row r="37" ht="26.350000381469727" customHeight="1">
      <x:c r="A37" s="19" t="str">
        <x:v>CASE-PAIPU-R22-1080-REQ-VID</x:v>
      </x:c>
      <x:c r="B37" s="19" t="str">
        <x:v>SALE-SD20-STD-1080-VID</x:v>
      </x:c>
      <x:c r="C37" s="19" t="str">
        <x:v>COST-PAIPU-R22-1080-REQ-VID</x:v>
      </x:c>
      <x:c r="D37" s="28" t="n">
        <x:v>1</x:v>
      </x:c>
      <x:c r="E37" s="28" t="n">
        <x:v>3</x:v>
      </x:c>
      <x:c r="F37" s="28" t="n">
        <x:v>5</x:v>
      </x:c>
      <x:c r="G37" s="23" t="str">
        <x:f>IFERROR(INDEX('官方售价'!$C$5:$C$204,MATCH(B37,'官方售价'!$A$5:$A$204,0)),"")</x:f>
        <x:v>SKU-SD20-STD-1080</x:v>
      </x:c>
      <x:c r="H37" s="23" t="str">
        <x:f>IFERROR(INDEX('官方售价'!$D$5:$D$204,MATCH(B37,'官方售价'!$A$5:$A$204,0)),"")</x:f>
        <x:v>with_video</x:v>
      </x:c>
      <x:c r="I37" s="23" t="n">
        <x:f>IFERROR(INDEX('官方售价'!$H$5:$H$204,MATCH(B37,'官方售价'!$A$5:$A$204,0)),0)</x:f>
        <x:v>1920</x:v>
      </x:c>
      <x:c r="J37" s="23" t="n">
        <x:f>IFERROR(INDEX('官方售价'!$I$5:$I$204,MATCH(B37,'官方售价'!$A$5:$A$204,0)),0)</x:f>
        <x:v>1080</x:v>
      </x:c>
      <x:c r="K37" s="23" t="n">
        <x:f>IFERROR(INDEX('官方售价'!$J$5:$J$204,MATCH(B37,'官方售价'!$A$5:$A$204,0)),0)</x:f>
        <x:v>24</x:v>
      </x:c>
      <x:c r="L37" s="25" t="n">
        <x:f>(E37+F37)*I37*J37*K37/'参数'!$B$7</x:f>
        <x:v>388800</x:v>
      </x:c>
      <x:c r="M37" s="23" t="str">
        <x:f>IFERROR(INDEX('渠道成本'!$F$5:$F$1004,MATCH(C37,'渠道成本'!$A$5:$A$1004,0)),"")</x:f>
        <x:v>per_request</x:v>
      </x:c>
      <x:c r="N37" s="26" t="n">
        <x:f>IFERROR(INDEX('渠道成本'!$U$5:$U$1004,MATCH(C37,'渠道成本'!$A$5:$A$1004,0)),0)</x:f>
        <x:v>0.6575342465753424</x:v>
      </x:c>
      <x:c r="O37" s="26" t="n">
        <x:f>IFERROR(L37/'参数'!$B$8*INDEX('官方售价'!$M$5:$M$204,MATCH(B37,'官方售价'!$A$5:$A$204,0)),0)</x:f>
        <x:v>1.651068493150685</x:v>
      </x:c>
      <x:c r="P37" s="26" t="n">
        <x:f>IF(M37="per_token",L37/'参数'!$B$8*N37,IF(M37="per_duration",F37*N37,IF(M37="per_request",N37,0)))</x:f>
        <x:v>0.6575342465753424</x:v>
      </x:c>
      <x:c r="Q37" s="26" t="n">
        <x:f>O37*D37</x:f>
        <x:v>1.651068493150685</x:v>
      </x:c>
      <x:c r="R37" s="26" t="n">
        <x:f>Q37-P37</x:f>
        <x:v>0.9935342465753425</x:v>
      </x:c>
      <x:c r="S37" s="29" t="n">
        <x:f>IF(Q37=0,"",R37/Q37)</x:f>
        <x:v>0.6017522899243329</x:v>
      </x:c>
      <x:c r="T37" s="23" t="str">
        <x:f>IF(OR(B37="",C37=""),"pending",IF(OR(O37&lt;0,P37&lt;0),"settlement_failed","settled"))</x:f>
        <x:v>settled</x:v>
      </x:c>
      <x:c r="U37" s="7" t="str">
        <x:v>源行=sd!22；自动利润预览；分组倍率可改为用户折扣</x:v>
      </x:c>
    </x:row>
    <x:row r="38" ht="26.350000381469727" customHeight="1">
      <x:c r="A38" s="19" t="str">
        <x:v>CASE-PAIPU-R23-480-REQ-NOV</x:v>
      </x:c>
      <x:c r="B38" s="19" t="str">
        <x:v>SALE-SD20-STD-480-NOV</x:v>
      </x:c>
      <x:c r="C38" s="19" t="str">
        <x:v>COST-PAIPU-R23-480-REQ-NOV</x:v>
      </x:c>
      <x:c r="D38" s="28" t="n">
        <x:v>1</x:v>
      </x:c>
      <x:c r="E38" s="28" t="n">
        <x:v>0</x:v>
      </x:c>
      <x:c r="F38" s="28" t="n">
        <x:v>5</x:v>
      </x:c>
      <x:c r="G38" s="23" t="str">
        <x:f>IFERROR(INDEX('官方售价'!$C$5:$C$204,MATCH(B38,'官方售价'!$A$5:$A$204,0)),"")</x:f>
        <x:v>SKU-SD20-STD-480</x:v>
      </x:c>
      <x:c r="H38" s="23" t="str">
        <x:f>IFERROR(INDEX('官方售价'!$D$5:$D$204,MATCH(B38,'官方售价'!$A$5:$A$204,0)),"")</x:f>
        <x:v>no_video</x:v>
      </x:c>
      <x:c r="I38" s="23" t="n">
        <x:f>IFERROR(INDEX('官方售价'!$H$5:$H$204,MATCH(B38,'官方售价'!$A$5:$A$204,0)),0)</x:f>
        <x:v>864</x:v>
      </x:c>
      <x:c r="J38" s="23" t="n">
        <x:f>IFERROR(INDEX('官方售价'!$I$5:$I$204,MATCH(B38,'官方售价'!$A$5:$A$204,0)),0)</x:f>
        <x:v>496</x:v>
      </x:c>
      <x:c r="K38" s="23" t="n">
        <x:f>IFERROR(INDEX('官方售价'!$J$5:$J$204,MATCH(B38,'官方售价'!$A$5:$A$204,0)),0)</x:f>
        <x:v>24</x:v>
      </x:c>
      <x:c r="L38" s="25" t="n">
        <x:f>(E38+F38)*I38*J38*K38/'参数'!$B$7</x:f>
        <x:v>50220</x:v>
      </x:c>
      <x:c r="M38" s="23" t="str">
        <x:f>IFERROR(INDEX('渠道成本'!$F$5:$F$1004,MATCH(C38,'渠道成本'!$A$5:$A$1004,0)),"")</x:f>
        <x:v>per_request</x:v>
      </x:c>
      <x:c r="N38" s="26" t="n">
        <x:f>IFERROR(INDEX('渠道成本'!$U$5:$U$1004,MATCH(C38,'渠道成本'!$A$5:$A$1004,0)),0)</x:f>
        <x:v>0.6575342465753424</x:v>
      </x:c>
      <x:c r="O38" s="26" t="n">
        <x:f>IFERROR(L38/'参数'!$B$8*INDEX('官方售价'!$M$5:$M$204,MATCH(B38,'官方售价'!$A$5:$A$204,0)),0)</x:f>
        <x:v>0.3164547945205479</x:v>
      </x:c>
      <x:c r="P38" s="26" t="n">
        <x:f>IF(M38="per_token",L38/'参数'!$B$8*N38,IF(M38="per_duration",F38*N38,IF(M38="per_request",N38,0)))</x:f>
        <x:v>0.6575342465753424</x:v>
      </x:c>
      <x:c r="Q38" s="26" t="n">
        <x:f>O38*D38</x:f>
        <x:v>0.3164547945205479</x:v>
      </x:c>
      <x:c r="R38" s="26" t="n">
        <x:f>Q38-P38</x:f>
        <x:v>-0.3410794520547945</x:v>
      </x:c>
      <x:c r="S38" s="29" t="n">
        <x:f>IF(Q38=0,"",R38/Q38)</x:f>
        <x:v>-1.0778141395252194</x:v>
      </x:c>
      <x:c r="T38" s="23" t="str">
        <x:f>IF(OR(B38="",C38=""),"pending",IF(OR(O38&lt;0,P38&lt;0),"settlement_failed","settled"))</x:f>
        <x:v>settled</x:v>
      </x:c>
      <x:c r="U38" s="7" t="str">
        <x:v>源行=sd!23；自动利润预览；分组倍率可改为用户折扣</x:v>
      </x:c>
    </x:row>
    <x:row r="39" ht="26.350000381469727" customHeight="1">
      <x:c r="A39" s="19" t="str">
        <x:v>CASE-PAIPU-R23-480-REQ-VID</x:v>
      </x:c>
      <x:c r="B39" s="19" t="str">
        <x:v>SALE-SD20-STD-480-VID</x:v>
      </x:c>
      <x:c r="C39" s="19" t="str">
        <x:v>COST-PAIPU-R23-480-REQ-VID</x:v>
      </x:c>
      <x:c r="D39" s="28" t="n">
        <x:v>1</x:v>
      </x:c>
      <x:c r="E39" s="28" t="n">
        <x:v>3</x:v>
      </x:c>
      <x:c r="F39" s="28" t="n">
        <x:v>5</x:v>
      </x:c>
      <x:c r="G39" s="23" t="str">
        <x:f>IFERROR(INDEX('官方售价'!$C$5:$C$204,MATCH(B39,'官方售价'!$A$5:$A$204,0)),"")</x:f>
        <x:v>SKU-SD20-STD-480</x:v>
      </x:c>
      <x:c r="H39" s="23" t="str">
        <x:f>IFERROR(INDEX('官方售价'!$D$5:$D$204,MATCH(B39,'官方售价'!$A$5:$A$204,0)),"")</x:f>
        <x:v>with_video</x:v>
      </x:c>
      <x:c r="I39" s="23" t="n">
        <x:f>IFERROR(INDEX('官方售价'!$H$5:$H$204,MATCH(B39,'官方售价'!$A$5:$A$204,0)),0)</x:f>
        <x:v>864</x:v>
      </x:c>
      <x:c r="J39" s="23" t="n">
        <x:f>IFERROR(INDEX('官方售价'!$I$5:$I$204,MATCH(B39,'官方售价'!$A$5:$A$204,0)),0)</x:f>
        <x:v>496</x:v>
      </x:c>
      <x:c r="K39" s="23" t="n">
        <x:f>IFERROR(INDEX('官方售价'!$J$5:$J$204,MATCH(B39,'官方售价'!$A$5:$A$204,0)),0)</x:f>
        <x:v>24</x:v>
      </x:c>
      <x:c r="L39" s="25" t="n">
        <x:f>(E39+F39)*I39*J39*K39/'参数'!$B$7</x:f>
        <x:v>80352</x:v>
      </x:c>
      <x:c r="M39" s="23" t="str">
        <x:f>IFERROR(INDEX('渠道成本'!$F$5:$F$1004,MATCH(C39,'渠道成本'!$A$5:$A$1004,0)),"")</x:f>
        <x:v>per_request</x:v>
      </x:c>
      <x:c r="N39" s="26" t="n">
        <x:f>IFERROR(INDEX('渠道成本'!$U$5:$U$1004,MATCH(C39,'渠道成本'!$A$5:$A$1004,0)),0)</x:f>
        <x:v>0.6575342465753424</x:v>
      </x:c>
      <x:c r="O39" s="26" t="n">
        <x:f>IFERROR(L39/'参数'!$B$8*INDEX('官方售价'!$M$5:$M$204,MATCH(B39,'官方售价'!$A$5:$A$204,0)),0)</x:f>
        <x:v>0.30819945205479454</x:v>
      </x:c>
      <x:c r="P39" s="26" t="n">
        <x:f>IF(M39="per_token",L39/'参数'!$B$8*N39,IF(M39="per_duration",F39*N39,IF(M39="per_request",N39,0)))</x:f>
        <x:v>0.6575342465753424</x:v>
      </x:c>
      <x:c r="Q39" s="26" t="n">
        <x:f>O39*D39</x:f>
        <x:v>0.30819945205479454</x:v>
      </x:c>
      <x:c r="R39" s="26" t="n">
        <x:f>Q39-P39</x:f>
        <x:v>-0.3493347945205479</x:v>
      </x:c>
      <x:c r="S39" s="29" t="n">
        <x:f>IF(Q39=0,"",R39/Q39)</x:f>
        <x:v>-1.133469875405359</x:v>
      </x:c>
      <x:c r="T39" s="23" t="str">
        <x:f>IF(OR(B39="",C39=""),"pending",IF(OR(O39&lt;0,P39&lt;0),"settlement_failed","settled"))</x:f>
        <x:v>settled</x:v>
      </x:c>
      <x:c r="U39" s="7" t="str">
        <x:v>源行=sd!23；自动利润预览；分组倍率可改为用户折扣</x:v>
      </x:c>
    </x:row>
    <x:row r="40" ht="26.350000381469727" customHeight="1">
      <x:c r="A40" s="19" t="str">
        <x:v>CASE-PAIPU-R24-720-REQ-NOV</x:v>
      </x:c>
      <x:c r="B40" s="19" t="str">
        <x:v>SALE-SD20-STD-720-NOV</x:v>
      </x:c>
      <x:c r="C40" s="19" t="str">
        <x:v>COST-PAIPU-R24-720-REQ-NOV</x:v>
      </x:c>
      <x:c r="D40" s="28" t="n">
        <x:v>1</x:v>
      </x:c>
      <x:c r="E40" s="28" t="n">
        <x:v>0</x:v>
      </x:c>
      <x:c r="F40" s="28" t="n">
        <x:v>5</x:v>
      </x:c>
      <x:c r="G40" s="23" t="str">
        <x:f>IFERROR(INDEX('官方售价'!$C$5:$C$204,MATCH(B40,'官方售价'!$A$5:$A$204,0)),"")</x:f>
        <x:v>SKU-SD20-STD-720</x:v>
      </x:c>
      <x:c r="H40" s="23" t="str">
        <x:f>IFERROR(INDEX('官方售价'!$D$5:$D$204,MATCH(B40,'官方售价'!$A$5:$A$204,0)),"")</x:f>
        <x:v>no_video</x:v>
      </x:c>
      <x:c r="I40" s="23" t="n">
        <x:f>IFERROR(INDEX('官方售价'!$H$5:$H$204,MATCH(B40,'官方售价'!$A$5:$A$204,0)),0)</x:f>
        <x:v>1280</x:v>
      </x:c>
      <x:c r="J40" s="23" t="n">
        <x:f>IFERROR(INDEX('官方售价'!$I$5:$I$204,MATCH(B40,'官方售价'!$A$5:$A$204,0)),0)</x:f>
        <x:v>720</x:v>
      </x:c>
      <x:c r="K40" s="23" t="n">
        <x:f>IFERROR(INDEX('官方售价'!$J$5:$J$204,MATCH(B40,'官方售价'!$A$5:$A$204,0)),0)</x:f>
        <x:v>24</x:v>
      </x:c>
      <x:c r="L40" s="25" t="n">
        <x:f>(E40+F40)*I40*J40*K40/'参数'!$B$7</x:f>
        <x:v>108000</x:v>
      </x:c>
      <x:c r="M40" s="23" t="str">
        <x:f>IFERROR(INDEX('渠道成本'!$F$5:$F$1004,MATCH(C40,'渠道成本'!$A$5:$A$1004,0)),"")</x:f>
        <x:v>per_request</x:v>
      </x:c>
      <x:c r="N40" s="26" t="n">
        <x:f>IFERROR(INDEX('渠道成本'!$U$5:$U$1004,MATCH(C40,'渠道成本'!$A$5:$A$1004,0)),0)</x:f>
        <x:v>0.7945205479452054</x:v>
      </x:c>
      <x:c r="O40" s="26" t="n">
        <x:f>IFERROR(L40/'参数'!$B$8*INDEX('官方售价'!$M$5:$M$204,MATCH(B40,'官方售价'!$A$5:$A$204,0)),0)</x:f>
        <x:v>0.6805479452054793</x:v>
      </x:c>
      <x:c r="P40" s="26" t="n">
        <x:f>IF(M40="per_token",L40/'参数'!$B$8*N40,IF(M40="per_duration",F40*N40,IF(M40="per_request",N40,0)))</x:f>
        <x:v>0.7945205479452054</x:v>
      </x:c>
      <x:c r="Q40" s="26" t="n">
        <x:f>O40*D40</x:f>
        <x:v>0.6805479452054793</x:v>
      </x:c>
      <x:c r="R40" s="26" t="n">
        <x:f>Q40-P40</x:f>
        <x:v>-0.11397260273972609</x:v>
      </x:c>
      <x:c r="S40" s="29" t="n">
        <x:f>IF(Q40=0,"",R40/Q40)</x:f>
        <x:v>-0.16747181964573282</x:v>
      </x:c>
      <x:c r="T40" s="23" t="str">
        <x:f>IF(OR(B40="",C40=""),"pending",IF(OR(O40&lt;0,P40&lt;0),"settlement_failed","settled"))</x:f>
        <x:v>settled</x:v>
      </x:c>
      <x:c r="U40" s="7" t="str">
        <x:v>源行=sd!24；自动利润预览；分组倍率可改为用户折扣</x:v>
      </x:c>
    </x:row>
    <x:row r="41" ht="26.350000381469727" customHeight="1">
      <x:c r="A41" s="19" t="str">
        <x:v>CASE-PAIPU-R24-720-REQ-VID</x:v>
      </x:c>
      <x:c r="B41" s="19" t="str">
        <x:v>SALE-SD20-STD-720-VID</x:v>
      </x:c>
      <x:c r="C41" s="19" t="str">
        <x:v>COST-PAIPU-R24-720-REQ-VID</x:v>
      </x:c>
      <x:c r="D41" s="28" t="n">
        <x:v>1</x:v>
      </x:c>
      <x:c r="E41" s="28" t="n">
        <x:v>3</x:v>
      </x:c>
      <x:c r="F41" s="28" t="n">
        <x:v>5</x:v>
      </x:c>
      <x:c r="G41" s="23" t="str">
        <x:f>IFERROR(INDEX('官方售价'!$C$5:$C$204,MATCH(B41,'官方售价'!$A$5:$A$204,0)),"")</x:f>
        <x:v>SKU-SD20-STD-720</x:v>
      </x:c>
      <x:c r="H41" s="23" t="str">
        <x:f>IFERROR(INDEX('官方售价'!$D$5:$D$204,MATCH(B41,'官方售价'!$A$5:$A$204,0)),"")</x:f>
        <x:v>with_video</x:v>
      </x:c>
      <x:c r="I41" s="23" t="n">
        <x:f>IFERROR(INDEX('官方售价'!$H$5:$H$204,MATCH(B41,'官方售价'!$A$5:$A$204,0)),0)</x:f>
        <x:v>1280</x:v>
      </x:c>
      <x:c r="J41" s="23" t="n">
        <x:f>IFERROR(INDEX('官方售价'!$I$5:$I$204,MATCH(B41,'官方售价'!$A$5:$A$204,0)),0)</x:f>
        <x:v>720</x:v>
      </x:c>
      <x:c r="K41" s="23" t="n">
        <x:f>IFERROR(INDEX('官方售价'!$J$5:$J$204,MATCH(B41,'官方售价'!$A$5:$A$204,0)),0)</x:f>
        <x:v>24</x:v>
      </x:c>
      <x:c r="L41" s="25" t="n">
        <x:f>(E41+F41)*I41*J41*K41/'参数'!$B$7</x:f>
        <x:v>172800</x:v>
      </x:c>
      <x:c r="M41" s="23" t="str">
        <x:f>IFERROR(INDEX('渠道成本'!$F$5:$F$1004,MATCH(C41,'渠道成本'!$A$5:$A$1004,0)),"")</x:f>
        <x:v>per_request</x:v>
      </x:c>
      <x:c r="N41" s="26" t="n">
        <x:f>IFERROR(INDEX('渠道成本'!$U$5:$U$1004,MATCH(C41,'渠道成本'!$A$5:$A$1004,0)),0)</x:f>
        <x:v>0.7945205479452054</x:v>
      </x:c>
      <x:c r="O41" s="26" t="n">
        <x:f>IFERROR(L41/'参数'!$B$8*INDEX('官方售价'!$M$5:$M$204,MATCH(B41,'官方售价'!$A$5:$A$204,0)),0)</x:f>
        <x:v>0.6627945205479452</x:v>
      </x:c>
      <x:c r="P41" s="26" t="n">
        <x:f>IF(M41="per_token",L41/'参数'!$B$8*N41,IF(M41="per_duration",F41*N41,IF(M41="per_request",N41,0)))</x:f>
        <x:v>0.7945205479452054</x:v>
      </x:c>
      <x:c r="Q41" s="26" t="n">
        <x:f>O41*D41</x:f>
        <x:v>0.6627945205479452</x:v>
      </x:c>
      <x:c r="R41" s="26" t="n">
        <x:f>Q41-P41</x:f>
        <x:v>-0.13172602739726025</x:v>
      </x:c>
      <x:c r="S41" s="29" t="n">
        <x:f>IF(Q41=0,"",R41/Q41)</x:f>
        <x:v>-0.19874338624338622</x:v>
      </x:c>
      <x:c r="T41" s="23" t="str">
        <x:f>IF(OR(B41="",C41=""),"pending",IF(OR(O41&lt;0,P41&lt;0),"settlement_failed","settled"))</x:f>
        <x:v>settled</x:v>
      </x:c>
      <x:c r="U41" s="7" t="str">
        <x:v>源行=sd!24；自动利润预览；分组倍率可改为用户折扣</x:v>
      </x:c>
    </x:row>
    <x:row r="42" ht="26.350000381469727" customHeight="1">
      <x:c r="A42" s="19" t="str">
        <x:v>CASE-PAIPU-R25-1080-SEC-NOV</x:v>
      </x:c>
      <x:c r="B42" s="19" t="str">
        <x:v>SALE-SD20-STD-1080-NOV</x:v>
      </x:c>
      <x:c r="C42" s="19" t="str">
        <x:v>COST-PAIPU-R25-1080-SEC-NOV</x:v>
      </x:c>
      <x:c r="D42" s="28" t="n">
        <x:v>1</x:v>
      </x:c>
      <x:c r="E42" s="28" t="n">
        <x:v>0</x:v>
      </x:c>
      <x:c r="F42" s="28" t="n">
        <x:v>5</x:v>
      </x:c>
      <x:c r="G42" s="23" t="str">
        <x:f>IFERROR(INDEX('官方售价'!$C$5:$C$204,MATCH(B42,'官方售价'!$A$5:$A$204,0)),"")</x:f>
        <x:v>SKU-SD20-STD-1080</x:v>
      </x:c>
      <x:c r="H42" s="23" t="str">
        <x:f>IFERROR(INDEX('官方售价'!$D$5:$D$204,MATCH(B42,'官方售价'!$A$5:$A$204,0)),"")</x:f>
        <x:v>no_video</x:v>
      </x:c>
      <x:c r="I42" s="23" t="n">
        <x:f>IFERROR(INDEX('官方售价'!$H$5:$H$204,MATCH(B42,'官方售价'!$A$5:$A$204,0)),0)</x:f>
        <x:v>1920</x:v>
      </x:c>
      <x:c r="J42" s="23" t="n">
        <x:f>IFERROR(INDEX('官方售价'!$I$5:$I$204,MATCH(B42,'官方售价'!$A$5:$A$204,0)),0)</x:f>
        <x:v>1080</x:v>
      </x:c>
      <x:c r="K42" s="23" t="n">
        <x:f>IFERROR(INDEX('官方售价'!$J$5:$J$204,MATCH(B42,'官方售价'!$A$5:$A$204,0)),0)</x:f>
        <x:v>24</x:v>
      </x:c>
      <x:c r="L42" s="25" t="n">
        <x:f>(E42+F42)*I42*J42*K42/'参数'!$B$7</x:f>
        <x:v>243000</x:v>
      </x:c>
      <x:c r="M42" s="23" t="str">
        <x:f>IFERROR(INDEX('渠道成本'!$F$5:$F$1004,MATCH(C42,'渠道成本'!$A$5:$A$1004,0)),"")</x:f>
        <x:v>per_duration</x:v>
      </x:c>
      <x:c r="N42" s="26" t="n">
        <x:f>IFERROR(INDEX('渠道成本'!$U$5:$U$1004,MATCH(C42,'渠道成本'!$A$5:$A$1004,0)),0)</x:f>
        <x:v>0.0821917808219178</x:v>
      </x:c>
      <x:c r="O42" s="26" t="n">
        <x:f>IFERROR(L42/'参数'!$B$8*INDEX('官方售价'!$M$5:$M$204,MATCH(B42,'官方售价'!$A$5:$A$204,0)),0)</x:f>
        <x:v>1.697671232876712</x:v>
      </x:c>
      <x:c r="P42" s="26" t="n">
        <x:f>IF(M42="per_token",L42/'参数'!$B$8*N42,IF(M42="per_duration",F42*N42,IF(M42="per_request",N42,0)))</x:f>
        <x:v>0.410958904109589</x:v>
      </x:c>
      <x:c r="Q42" s="26" t="n">
        <x:f>O42*D42</x:f>
        <x:v>1.697671232876712</x:v>
      </x:c>
      <x:c r="R42" s="26" t="n">
        <x:f>Q42-P42</x:f>
        <x:v>1.286712328767123</x:v>
      </x:c>
      <x:c r="S42" s="29" t="n">
        <x:f>IF(Q42=0,"",R42/Q42)</x:f>
        <x:v>0.7579278625030258</x:v>
      </x:c>
      <x:c r="T42" s="23" t="str">
        <x:f>IF(OR(B42="",C42=""),"pending",IF(OR(O42&lt;0,P42&lt;0),"settlement_failed","settled"))</x:f>
        <x:v>settled</x:v>
      </x:c>
      <x:c r="U42" s="7" t="str">
        <x:v>源行=sd!25；自动利润预览；分组倍率可改为用户折扣</x:v>
      </x:c>
    </x:row>
    <x:row r="43" ht="26.350000381469727" customHeight="1">
      <x:c r="A43" s="19" t="str">
        <x:v>CASE-PAIPU-R25-1080-SEC-VID</x:v>
      </x:c>
      <x:c r="B43" s="19" t="str">
        <x:v>SALE-SD20-STD-1080-VID</x:v>
      </x:c>
      <x:c r="C43" s="19" t="str">
        <x:v>COST-PAIPU-R25-1080-SEC-VID</x:v>
      </x:c>
      <x:c r="D43" s="28" t="n">
        <x:v>1</x:v>
      </x:c>
      <x:c r="E43" s="28" t="n">
        <x:v>3</x:v>
      </x:c>
      <x:c r="F43" s="28" t="n">
        <x:v>5</x:v>
      </x:c>
      <x:c r="G43" s="23" t="str">
        <x:f>IFERROR(INDEX('官方售价'!$C$5:$C$204,MATCH(B43,'官方售价'!$A$5:$A$204,0)),"")</x:f>
        <x:v>SKU-SD20-STD-1080</x:v>
      </x:c>
      <x:c r="H43" s="23" t="str">
        <x:f>IFERROR(INDEX('官方售价'!$D$5:$D$204,MATCH(B43,'官方售价'!$A$5:$A$204,0)),"")</x:f>
        <x:v>with_video</x:v>
      </x:c>
      <x:c r="I43" s="23" t="n">
        <x:f>IFERROR(INDEX('官方售价'!$H$5:$H$204,MATCH(B43,'官方售价'!$A$5:$A$204,0)),0)</x:f>
        <x:v>1920</x:v>
      </x:c>
      <x:c r="J43" s="23" t="n">
        <x:f>IFERROR(INDEX('官方售价'!$I$5:$I$204,MATCH(B43,'官方售价'!$A$5:$A$204,0)),0)</x:f>
        <x:v>1080</x:v>
      </x:c>
      <x:c r="K43" s="23" t="n">
        <x:f>IFERROR(INDEX('官方售价'!$J$5:$J$204,MATCH(B43,'官方售价'!$A$5:$A$204,0)),0)</x:f>
        <x:v>24</x:v>
      </x:c>
      <x:c r="L43" s="25" t="n">
        <x:f>(E43+F43)*I43*J43*K43/'参数'!$B$7</x:f>
        <x:v>388800</x:v>
      </x:c>
      <x:c r="M43" s="23" t="str">
        <x:f>IFERROR(INDEX('渠道成本'!$F$5:$F$1004,MATCH(C43,'渠道成本'!$A$5:$A$1004,0)),"")</x:f>
        <x:v>per_duration</x:v>
      </x:c>
      <x:c r="N43" s="26" t="n">
        <x:f>IFERROR(INDEX('渠道成本'!$U$5:$U$1004,MATCH(C43,'渠道成本'!$A$5:$A$1004,0)),0)</x:f>
        <x:v>0.0821917808219178</x:v>
      </x:c>
      <x:c r="O43" s="26" t="n">
        <x:f>IFERROR(L43/'参数'!$B$8*INDEX('官方售价'!$M$5:$M$204,MATCH(B43,'官方售价'!$A$5:$A$204,0)),0)</x:f>
        <x:v>1.651068493150685</x:v>
      </x:c>
      <x:c r="P43" s="26" t="n">
        <x:f>IF(M43="per_token",L43/'参数'!$B$8*N43,IF(M43="per_duration",F43*N43,IF(M43="per_request",N43,0)))</x:f>
        <x:v>0.410958904109589</x:v>
      </x:c>
      <x:c r="Q43" s="26" t="n">
        <x:f>O43*D43</x:f>
        <x:v>1.651068493150685</x:v>
      </x:c>
      <x:c r="R43" s="26" t="n">
        <x:f>Q43-P43</x:f>
        <x:v>1.2401095890410958</x:v>
      </x:c>
      <x:c r="S43" s="29" t="n">
        <x:f>IF(Q43=0,"",R43/Q43)</x:f>
        <x:v>0.751095181202708</x:v>
      </x:c>
      <x:c r="T43" s="23" t="str">
        <x:f>IF(OR(B43="",C43=""),"pending",IF(OR(O43&lt;0,P43&lt;0),"settlement_failed","settled"))</x:f>
        <x:v>settled</x:v>
      </x:c>
      <x:c r="U43" s="7" t="str">
        <x:v>源行=sd!25；自动利润预览；分组倍率可改为用户折扣</x:v>
      </x:c>
    </x:row>
    <x:row r="44" ht="26.350000381469727" customHeight="1">
      <x:c r="A44" s="19" t="str">
        <x:v>CASE-PAIPU-R26-4K-SEC-NOV</x:v>
      </x:c>
      <x:c r="B44" s="19" t="str">
        <x:v>SALE-SD20-STD-4K-NOV</x:v>
      </x:c>
      <x:c r="C44" s="19" t="str">
        <x:v>COST-PAIPU-R26-4K-SEC-NOV</x:v>
      </x:c>
      <x:c r="D44" s="28" t="n">
        <x:v>1</x:v>
      </x:c>
      <x:c r="E44" s="28" t="n">
        <x:v>0</x:v>
      </x:c>
      <x:c r="F44" s="28" t="n">
        <x:v>5</x:v>
      </x:c>
      <x:c r="G44" s="23" t="str">
        <x:f>IFERROR(INDEX('官方售价'!$C$5:$C$204,MATCH(B44,'官方售价'!$A$5:$A$204,0)),"")</x:f>
        <x:v>SKU-SD20-STD-4K</x:v>
      </x:c>
      <x:c r="H44" s="23" t="str">
        <x:f>IFERROR(INDEX('官方售价'!$D$5:$D$204,MATCH(B44,'官方售价'!$A$5:$A$204,0)),"")</x:f>
        <x:v>no_video</x:v>
      </x:c>
      <x:c r="I44" s="23" t="n">
        <x:f>IFERROR(INDEX('官方售价'!$H$5:$H$204,MATCH(B44,'官方售价'!$A$5:$A$204,0)),0)</x:f>
        <x:v>3840</x:v>
      </x:c>
      <x:c r="J44" s="23" t="n">
        <x:f>IFERROR(INDEX('官方售价'!$I$5:$I$204,MATCH(B44,'官方售价'!$A$5:$A$204,0)),0)</x:f>
        <x:v>2160</x:v>
      </x:c>
      <x:c r="K44" s="23" t="n">
        <x:f>IFERROR(INDEX('官方售价'!$J$5:$J$204,MATCH(B44,'官方售价'!$A$5:$A$204,0)),0)</x:f>
        <x:v>24</x:v>
      </x:c>
      <x:c r="L44" s="25" t="n">
        <x:f>(E44+F44)*I44*J44*K44/'参数'!$B$7</x:f>
        <x:v>972000</x:v>
      </x:c>
      <x:c r="M44" s="23" t="str">
        <x:f>IFERROR(INDEX('渠道成本'!$F$5:$F$1004,MATCH(C44,'渠道成本'!$A$5:$A$1004,0)),"")</x:f>
        <x:v>per_duration</x:v>
      </x:c>
      <x:c r="N44" s="26" t="n">
        <x:f>IFERROR(INDEX('渠道成本'!$U$5:$U$1004,MATCH(C44,'渠道成本'!$A$5:$A$1004,0)),0)</x:f>
        <x:v>0.23424657534246573</x:v>
      </x:c>
      <x:c r="O44" s="26" t="n">
        <x:f>IFERROR(L44/'参数'!$B$8*INDEX('官方售价'!$M$5:$M$204,MATCH(B44,'官方售价'!$A$5:$A$204,0)),0)</x:f>
        <x:v>3.461917808219178</x:v>
      </x:c>
      <x:c r="P44" s="26" t="n">
        <x:f>IF(M44="per_token",L44/'参数'!$B$8*N44,IF(M44="per_duration",F44*N44,IF(M44="per_request",N44,0)))</x:f>
        <x:v>1.1712328767123288</x:v>
      </x:c>
      <x:c r="Q44" s="26" t="n">
        <x:f>O44*D44</x:f>
        <x:v>3.461917808219178</x:v>
      </x:c>
      <x:c r="R44" s="26" t="n">
        <x:f>Q44-P44</x:f>
        <x:v>2.290684931506849</x:v>
      </x:c>
      <x:c r="S44" s="29" t="n">
        <x:f>IF(Q44=0,"",R44/Q44)</x:f>
        <x:v>0.6616809116809117</x:v>
      </x:c>
      <x:c r="T44" s="23" t="str">
        <x:f>IF(OR(B44="",C44=""),"pending",IF(OR(O44&lt;0,P44&lt;0),"settlement_failed","settled"))</x:f>
        <x:v>settled</x:v>
      </x:c>
      <x:c r="U44" s="7" t="str">
        <x:v>源行=sd!26；自动利润预览；分组倍率可改为用户折扣</x:v>
      </x:c>
    </x:row>
    <x:row r="45" ht="26.350000381469727" customHeight="1">
      <x:c r="A45" s="19" t="str">
        <x:v>CASE-PAIPU-R26-4K-SEC-VID</x:v>
      </x:c>
      <x:c r="B45" s="19" t="str">
        <x:v>SALE-SD20-STD-4K-VID</x:v>
      </x:c>
      <x:c r="C45" s="19" t="str">
        <x:v>COST-PAIPU-R26-4K-SEC-VID</x:v>
      </x:c>
      <x:c r="D45" s="28" t="n">
        <x:v>1</x:v>
      </x:c>
      <x:c r="E45" s="28" t="n">
        <x:v>3</x:v>
      </x:c>
      <x:c r="F45" s="28" t="n">
        <x:v>5</x:v>
      </x:c>
      <x:c r="G45" s="23" t="str">
        <x:f>IFERROR(INDEX('官方售价'!$C$5:$C$204,MATCH(B45,'官方售价'!$A$5:$A$204,0)),"")</x:f>
        <x:v>SKU-SD20-STD-4K</x:v>
      </x:c>
      <x:c r="H45" s="23" t="str">
        <x:f>IFERROR(INDEX('官方售价'!$D$5:$D$204,MATCH(B45,'官方售价'!$A$5:$A$204,0)),"")</x:f>
        <x:v>with_video</x:v>
      </x:c>
      <x:c r="I45" s="23" t="n">
        <x:f>IFERROR(INDEX('官方售价'!$H$5:$H$204,MATCH(B45,'官方售价'!$A$5:$A$204,0)),0)</x:f>
        <x:v>3840</x:v>
      </x:c>
      <x:c r="J45" s="23" t="n">
        <x:f>IFERROR(INDEX('官方售价'!$I$5:$I$204,MATCH(B45,'官方售价'!$A$5:$A$204,0)),0)</x:f>
        <x:v>2160</x:v>
      </x:c>
      <x:c r="K45" s="23" t="n">
        <x:f>IFERROR(INDEX('官方售价'!$J$5:$J$204,MATCH(B45,'官方售价'!$A$5:$A$204,0)),0)</x:f>
        <x:v>24</x:v>
      </x:c>
      <x:c r="L45" s="25" t="n">
        <x:f>(E45+F45)*I45*J45*K45/'参数'!$B$7</x:f>
        <x:v>1555200</x:v>
      </x:c>
      <x:c r="M45" s="23" t="str">
        <x:f>IFERROR(INDEX('渠道成本'!$F$5:$F$1004,MATCH(C45,'渠道成本'!$A$5:$A$1004,0)),"")</x:f>
        <x:v>per_duration</x:v>
      </x:c>
      <x:c r="N45" s="26" t="n">
        <x:f>IFERROR(INDEX('渠道成本'!$U$5:$U$1004,MATCH(C45,'渠道成本'!$A$5:$A$1004,0)),0)</x:f>
        <x:v>0.23424657534246573</x:v>
      </x:c>
      <x:c r="O45" s="26" t="n">
        <x:f>IFERROR(L45/'参数'!$B$8*INDEX('官方售价'!$M$5:$M$204,MATCH(B45,'官方售价'!$A$5:$A$204,0)),0)</x:f>
        <x:v>3.408657534246575</x:v>
      </x:c>
      <x:c r="P45" s="26" t="n">
        <x:f>IF(M45="per_token",L45/'参数'!$B$8*N45,IF(M45="per_duration",F45*N45,IF(M45="per_request",N45,0)))</x:f>
        <x:v>1.1712328767123288</x:v>
      </x:c>
      <x:c r="Q45" s="26" t="n">
        <x:f>O45*D45</x:f>
        <x:v>3.408657534246575</x:v>
      </x:c>
      <x:c r="R45" s="26" t="n">
        <x:f>Q45-P45</x:f>
        <x:v>2.237424657534246</x:v>
      </x:c>
      <x:c r="S45" s="29" t="n">
        <x:f>IF(Q45=0,"",R45/Q45)</x:f>
        <x:v>0.6563946759259258</x:v>
      </x:c>
      <x:c r="T45" s="23" t="str">
        <x:f>IF(OR(B45="",C45=""),"pending",IF(OR(O45&lt;0,P45&lt;0),"settlement_failed","settled"))</x:f>
        <x:v>settled</x:v>
      </x:c>
      <x:c r="U45" s="7" t="str">
        <x:v>源行=sd!26；自动利润预览；分组倍率可改为用户折扣</x:v>
      </x:c>
    </x:row>
    <x:row r="46" ht="26.350000381469727" customHeight="1">
      <x:c r="A46" s="19" t="str">
        <x:v>CASE-PAIPU-R27-480-REQ-NOV</x:v>
      </x:c>
      <x:c r="B46" s="19" t="str">
        <x:v>SALE-SD20-FAST-480-NOV</x:v>
      </x:c>
      <x:c r="C46" s="19" t="str">
        <x:v>COST-PAIPU-R27-480-REQ-NOV</x:v>
      </x:c>
      <x:c r="D46" s="28" t="n">
        <x:v>1</x:v>
      </x:c>
      <x:c r="E46" s="28" t="n">
        <x:v>0</x:v>
      </x:c>
      <x:c r="F46" s="28" t="n">
        <x:v>5</x:v>
      </x:c>
      <x:c r="G46" s="23" t="str">
        <x:f>IFERROR(INDEX('官方售价'!$C$5:$C$204,MATCH(B46,'官方售价'!$A$5:$A$204,0)),"")</x:f>
        <x:v>SKU-SD20-FAST-480</x:v>
      </x:c>
      <x:c r="H46" s="23" t="str">
        <x:f>IFERROR(INDEX('官方售价'!$D$5:$D$204,MATCH(B46,'官方售价'!$A$5:$A$204,0)),"")</x:f>
        <x:v>no_video</x:v>
      </x:c>
      <x:c r="I46" s="23" t="n">
        <x:f>IFERROR(INDEX('官方售价'!$H$5:$H$204,MATCH(B46,'官方售价'!$A$5:$A$204,0)),0)</x:f>
        <x:v>864</x:v>
      </x:c>
      <x:c r="J46" s="23" t="n">
        <x:f>IFERROR(INDEX('官方售价'!$I$5:$I$204,MATCH(B46,'官方售价'!$A$5:$A$204,0)),0)</x:f>
        <x:v>496</x:v>
      </x:c>
      <x:c r="K46" s="23" t="n">
        <x:f>IFERROR(INDEX('官方售价'!$J$5:$J$204,MATCH(B46,'官方售价'!$A$5:$A$204,0)),0)</x:f>
        <x:v>24</x:v>
      </x:c>
      <x:c r="L46" s="25" t="n">
        <x:f>(E46+F46)*I46*J46*K46/'参数'!$B$7</x:f>
        <x:v>50220</x:v>
      </x:c>
      <x:c r="M46" s="23" t="str">
        <x:f>IFERROR(INDEX('渠道成本'!$F$5:$F$1004,MATCH(C46,'渠道成本'!$A$5:$A$1004,0)),"")</x:f>
        <x:v>per_request</x:v>
      </x:c>
      <x:c r="N46" s="26" t="n">
        <x:f>IFERROR(INDEX('渠道成本'!$U$5:$U$1004,MATCH(C46,'渠道成本'!$A$5:$A$1004,0)),0)</x:f>
        <x:v>0.4520547945205479</x:v>
      </x:c>
      <x:c r="O46" s="26" t="n">
        <x:f>IFERROR(L46/'参数'!$B$8*INDEX('官方售价'!$M$5:$M$204,MATCH(B46,'官方售价'!$A$5:$A$204,0)),0)</x:f>
        <x:v>0.2545397260273973</x:v>
      </x:c>
      <x:c r="P46" s="26" t="n">
        <x:f>IF(M46="per_token",L46/'参数'!$B$8*N46,IF(M46="per_duration",F46*N46,IF(M46="per_request",N46,0)))</x:f>
        <x:v>0.4520547945205479</x:v>
      </x:c>
      <x:c r="Q46" s="26" t="n">
        <x:f>O46*D46</x:f>
        <x:v>0.2545397260273973</x:v>
      </x:c>
      <x:c r="R46" s="26" t="n">
        <x:f>Q46-P46</x:f>
        <x:v>-0.19751506849315065</x:v>
      </x:c>
      <x:c r="S46" s="29" t="n">
        <x:f>IF(Q46=0,"",R46/Q46)</x:f>
        <x:v>-0.7759695179050016</x:v>
      </x:c>
      <x:c r="T46" s="23" t="str">
        <x:f>IF(OR(B46="",C46=""),"pending",IF(OR(O46&lt;0,P46&lt;0),"settlement_failed","settled"))</x:f>
        <x:v>settled</x:v>
      </x:c>
      <x:c r="U46" s="7" t="str">
        <x:v>源行=sd!27；自动利润预览；分组倍率可改为用户折扣</x:v>
      </x:c>
    </x:row>
    <x:row r="47" ht="26.350000381469727" customHeight="1">
      <x:c r="A47" s="19" t="str">
        <x:v>CASE-PAIPU-R27-480-REQ-VID</x:v>
      </x:c>
      <x:c r="B47" s="19" t="str">
        <x:v>SALE-SD20-FAST-480-VID</x:v>
      </x:c>
      <x:c r="C47" s="19" t="str">
        <x:v>COST-PAIPU-R27-480-REQ-VID</x:v>
      </x:c>
      <x:c r="D47" s="28" t="n">
        <x:v>1</x:v>
      </x:c>
      <x:c r="E47" s="28" t="n">
        <x:v>3</x:v>
      </x:c>
      <x:c r="F47" s="28" t="n">
        <x:v>5</x:v>
      </x:c>
      <x:c r="G47" s="23" t="str">
        <x:f>IFERROR(INDEX('官方售价'!$C$5:$C$204,MATCH(B47,'官方售价'!$A$5:$A$204,0)),"")</x:f>
        <x:v>SKU-SD20-FAST-480</x:v>
      </x:c>
      <x:c r="H47" s="23" t="str">
        <x:f>IFERROR(INDEX('官方售价'!$D$5:$D$204,MATCH(B47,'官方售价'!$A$5:$A$204,0)),"")</x:f>
        <x:v>with_video</x:v>
      </x:c>
      <x:c r="I47" s="23" t="n">
        <x:f>IFERROR(INDEX('官方售价'!$H$5:$H$204,MATCH(B47,'官方售价'!$A$5:$A$204,0)),0)</x:f>
        <x:v>864</x:v>
      </x:c>
      <x:c r="J47" s="23" t="n">
        <x:f>IFERROR(INDEX('官方售价'!$I$5:$I$204,MATCH(B47,'官方售价'!$A$5:$A$204,0)),0)</x:f>
        <x:v>496</x:v>
      </x:c>
      <x:c r="K47" s="23" t="n">
        <x:f>IFERROR(INDEX('官方售价'!$J$5:$J$204,MATCH(B47,'官方售价'!$A$5:$A$204,0)),0)</x:f>
        <x:v>24</x:v>
      </x:c>
      <x:c r="L47" s="25" t="n">
        <x:f>(E47+F47)*I47*J47*K47/'参数'!$B$7</x:f>
        <x:v>80352</x:v>
      </x:c>
      <x:c r="M47" s="23" t="str">
        <x:f>IFERROR(INDEX('渠道成本'!$F$5:$F$1004,MATCH(C47,'渠道成本'!$A$5:$A$1004,0)),"")</x:f>
        <x:v>per_request</x:v>
      </x:c>
      <x:c r="N47" s="26" t="n">
        <x:f>IFERROR(INDEX('渠道成本'!$U$5:$U$1004,MATCH(C47,'渠道成本'!$A$5:$A$1004,0)),0)</x:f>
        <x:v>0.4520547945205479</x:v>
      </x:c>
      <x:c r="O47" s="26" t="n">
        <x:f>IFERROR(L47/'参数'!$B$8*INDEX('官方售价'!$M$5:$M$204,MATCH(B47,'官方售价'!$A$5:$A$204,0)),0)</x:f>
        <x:v>0.24215671232876712</x:v>
      </x:c>
      <x:c r="P47" s="26" t="n">
        <x:f>IF(M47="per_token",L47/'参数'!$B$8*N47,IF(M47="per_duration",F47*N47,IF(M47="per_request",N47,0)))</x:f>
        <x:v>0.4520547945205479</x:v>
      </x:c>
      <x:c r="Q47" s="26" t="n">
        <x:f>O47*D47</x:f>
        <x:v>0.24215671232876712</x:v>
      </x:c>
      <x:c r="R47" s="26" t="n">
        <x:f>Q47-P47</x:f>
        <x:v>-0.2098980821917808</x:v>
      </x:c>
      <x:c r="S47" s="29" t="n">
        <x:f>IF(Q47=0,"",R47/Q47)</x:f>
        <x:v>-0.8667861409796893</x:v>
      </x:c>
      <x:c r="T47" s="23" t="str">
        <x:f>IF(OR(B47="",C47=""),"pending",IF(OR(O47&lt;0,P47&lt;0),"settlement_failed","settled"))</x:f>
        <x:v>settled</x:v>
      </x:c>
      <x:c r="U47" s="7" t="str">
        <x:v>源行=sd!27；自动利润预览；分组倍率可改为用户折扣</x:v>
      </x:c>
    </x:row>
    <x:row r="48" ht="26.350000381469727" customHeight="1">
      <x:c r="A48" s="19" t="str">
        <x:v>CASE-PAIPU-R28-720-REQ-NOV</x:v>
      </x:c>
      <x:c r="B48" s="19" t="str">
        <x:v>SALE-SD20-FAST-720-NOV</x:v>
      </x:c>
      <x:c r="C48" s="19" t="str">
        <x:v>COST-PAIPU-R28-720-REQ-NOV</x:v>
      </x:c>
      <x:c r="D48" s="28" t="n">
        <x:v>1</x:v>
      </x:c>
      <x:c r="E48" s="28" t="n">
        <x:v>0</x:v>
      </x:c>
      <x:c r="F48" s="28" t="n">
        <x:v>5</x:v>
      </x:c>
      <x:c r="G48" s="23" t="str">
        <x:f>IFERROR(INDEX('官方售价'!$C$5:$C$204,MATCH(B48,'官方售价'!$A$5:$A$204,0)),"")</x:f>
        <x:v>SKU-SD20-FAST-720</x:v>
      </x:c>
      <x:c r="H48" s="23" t="str">
        <x:f>IFERROR(INDEX('官方售价'!$D$5:$D$204,MATCH(B48,'官方售价'!$A$5:$A$204,0)),"")</x:f>
        <x:v>no_video</x:v>
      </x:c>
      <x:c r="I48" s="23" t="n">
        <x:f>IFERROR(INDEX('官方售价'!$H$5:$H$204,MATCH(B48,'官方售价'!$A$5:$A$204,0)),0)</x:f>
        <x:v>1280</x:v>
      </x:c>
      <x:c r="J48" s="23" t="n">
        <x:f>IFERROR(INDEX('官方售价'!$I$5:$I$204,MATCH(B48,'官方售价'!$A$5:$A$204,0)),0)</x:f>
        <x:v>720</x:v>
      </x:c>
      <x:c r="K48" s="23" t="n">
        <x:f>IFERROR(INDEX('官方售价'!$J$5:$J$204,MATCH(B48,'官方售价'!$A$5:$A$204,0)),0)</x:f>
        <x:v>24</x:v>
      </x:c>
      <x:c r="L48" s="25" t="n">
        <x:f>(E48+F48)*I48*J48*K48/'参数'!$B$7</x:f>
        <x:v>108000</x:v>
      </x:c>
      <x:c r="M48" s="23" t="str">
        <x:f>IFERROR(INDEX('渠道成本'!$F$5:$F$1004,MATCH(C48,'渠道成本'!$A$5:$A$1004,0)),"")</x:f>
        <x:v>per_request</x:v>
      </x:c>
      <x:c r="N48" s="26" t="n">
        <x:f>IFERROR(INDEX('渠道成本'!$U$5:$U$1004,MATCH(C48,'渠道成本'!$A$5:$A$1004,0)),0)</x:f>
        <x:v>0.4520547945205479</x:v>
      </x:c>
      <x:c r="O48" s="26" t="n">
        <x:f>IFERROR(L48/'参数'!$B$8*INDEX('官方售价'!$M$5:$M$204,MATCH(B48,'官方售价'!$A$5:$A$204,0)),0)</x:f>
        <x:v>0.5473972602739726</x:v>
      </x:c>
      <x:c r="P48" s="26" t="n">
        <x:f>IF(M48="per_token",L48/'参数'!$B$8*N48,IF(M48="per_duration",F48*N48,IF(M48="per_request",N48,0)))</x:f>
        <x:v>0.4520547945205479</x:v>
      </x:c>
      <x:c r="Q48" s="26" t="n">
        <x:f>O48*D48</x:f>
        <x:v>0.5473972602739726</x:v>
      </x:c>
      <x:c r="R48" s="26" t="n">
        <x:f>Q48-P48</x:f>
        <x:v>0.0953424657534247</x:v>
      </x:c>
      <x:c r="S48" s="29" t="n">
        <x:f>IF(Q48=0,"",R48/Q48)</x:f>
        <x:v>0.17417417417417425</x:v>
      </x:c>
      <x:c r="T48" s="23" t="str">
        <x:f>IF(OR(B48="",C48=""),"pending",IF(OR(O48&lt;0,P48&lt;0),"settlement_failed","settled"))</x:f>
        <x:v>settled</x:v>
      </x:c>
      <x:c r="U48" s="7" t="str">
        <x:v>源行=sd!28；自动利润预览；分组倍率可改为用户折扣</x:v>
      </x:c>
    </x:row>
    <x:row r="49" ht="26.350000381469727" customHeight="1">
      <x:c r="A49" s="19" t="str">
        <x:v>CASE-PAIPU-R28-720-REQ-VID</x:v>
      </x:c>
      <x:c r="B49" s="19" t="str">
        <x:v>SALE-SD20-FAST-720-VID</x:v>
      </x:c>
      <x:c r="C49" s="19" t="str">
        <x:v>COST-PAIPU-R28-720-REQ-VID</x:v>
      </x:c>
      <x:c r="D49" s="28" t="n">
        <x:v>1</x:v>
      </x:c>
      <x:c r="E49" s="28" t="n">
        <x:v>3</x:v>
      </x:c>
      <x:c r="F49" s="28" t="n">
        <x:v>5</x:v>
      </x:c>
      <x:c r="G49" s="23" t="str">
        <x:f>IFERROR(INDEX('官方售价'!$C$5:$C$204,MATCH(B49,'官方售价'!$A$5:$A$204,0)),"")</x:f>
        <x:v>SKU-SD20-FAST-720</x:v>
      </x:c>
      <x:c r="H49" s="23" t="str">
        <x:f>IFERROR(INDEX('官方售价'!$D$5:$D$204,MATCH(B49,'官方售价'!$A$5:$A$204,0)),"")</x:f>
        <x:v>with_video</x:v>
      </x:c>
      <x:c r="I49" s="23" t="n">
        <x:f>IFERROR(INDEX('官方售价'!$H$5:$H$204,MATCH(B49,'官方售价'!$A$5:$A$204,0)),0)</x:f>
        <x:v>1280</x:v>
      </x:c>
      <x:c r="J49" s="23" t="n">
        <x:f>IFERROR(INDEX('官方售价'!$I$5:$I$204,MATCH(B49,'官方售价'!$A$5:$A$204,0)),0)</x:f>
        <x:v>720</x:v>
      </x:c>
      <x:c r="K49" s="23" t="n">
        <x:f>IFERROR(INDEX('官方售价'!$J$5:$J$204,MATCH(B49,'官方售价'!$A$5:$A$204,0)),0)</x:f>
        <x:v>24</x:v>
      </x:c>
      <x:c r="L49" s="25" t="n">
        <x:f>(E49+F49)*I49*J49*K49/'参数'!$B$7</x:f>
        <x:v>172800</x:v>
      </x:c>
      <x:c r="M49" s="23" t="str">
        <x:f>IFERROR(INDEX('渠道成本'!$F$5:$F$1004,MATCH(C49,'渠道成本'!$A$5:$A$1004,0)),"")</x:f>
        <x:v>per_request</x:v>
      </x:c>
      <x:c r="N49" s="26" t="n">
        <x:f>IFERROR(INDEX('渠道成本'!$U$5:$U$1004,MATCH(C49,'渠道成本'!$A$5:$A$1004,0)),0)</x:f>
        <x:v>0.4520547945205479</x:v>
      </x:c>
      <x:c r="O49" s="26" t="n">
        <x:f>IFERROR(L49/'参数'!$B$8*INDEX('官方售价'!$M$5:$M$204,MATCH(B49,'官方售价'!$A$5:$A$204,0)),0)</x:f>
        <x:v>0.5207671232876712</x:v>
      </x:c>
      <x:c r="P49" s="26" t="n">
        <x:f>IF(M49="per_token",L49/'参数'!$B$8*N49,IF(M49="per_duration",F49*N49,IF(M49="per_request",N49,0)))</x:f>
        <x:v>0.4520547945205479</x:v>
      </x:c>
      <x:c r="Q49" s="26" t="n">
        <x:f>O49*D49</x:f>
        <x:v>0.5207671232876712</x:v>
      </x:c>
      <x:c r="R49" s="26" t="n">
        <x:f>Q49-P49</x:f>
        <x:v>0.06871232876712324</x:v>
      </x:c>
      <x:c r="S49" s="29" t="n">
        <x:f>IF(Q49=0,"",R49/Q49)</x:f>
        <x:v>0.13194444444444436</x:v>
      </x:c>
      <x:c r="T49" s="23" t="str">
        <x:f>IF(OR(B49="",C49=""),"pending",IF(OR(O49&lt;0,P49&lt;0),"settlement_failed","settled"))</x:f>
        <x:v>settled</x:v>
      </x:c>
      <x:c r="U49" s="7" t="str">
        <x:v>源行=sd!28；自动利润预览；分组倍率可改为用户折扣</x:v>
      </x:c>
    </x:row>
    <x:row r="50" ht="26.350000381469727" customHeight="1">
      <x:c r="A50" s="19" t="str">
        <x:v>CASE-PAIPU-R29-480-REQ-NOV</x:v>
      </x:c>
      <x:c r="B50" s="19" t="str">
        <x:v>SALE-SD20-MINI-480-NOV</x:v>
      </x:c>
      <x:c r="C50" s="19" t="str">
        <x:v>COST-PAIPU-R29-480-REQ-NOV</x:v>
      </x:c>
      <x:c r="D50" s="28" t="n">
        <x:v>1</x:v>
      </x:c>
      <x:c r="E50" s="28" t="n">
        <x:v>0</x:v>
      </x:c>
      <x:c r="F50" s="28" t="n">
        <x:v>5</x:v>
      </x:c>
      <x:c r="G50" s="23" t="str">
        <x:f>IFERROR(INDEX('官方售价'!$C$5:$C$204,MATCH(B50,'官方售价'!$A$5:$A$204,0)),"")</x:f>
        <x:v>SKU-SD20-MINI-480</x:v>
      </x:c>
      <x:c r="H50" s="23" t="str">
        <x:f>IFERROR(INDEX('官方售价'!$D$5:$D$204,MATCH(B50,'官方售价'!$A$5:$A$204,0)),"")</x:f>
        <x:v>no_video</x:v>
      </x:c>
      <x:c r="I50" s="23" t="n">
        <x:f>IFERROR(INDEX('官方售价'!$H$5:$H$204,MATCH(B50,'官方售价'!$A$5:$A$204,0)),0)</x:f>
        <x:v>864</x:v>
      </x:c>
      <x:c r="J50" s="23" t="n">
        <x:f>IFERROR(INDEX('官方售价'!$I$5:$I$204,MATCH(B50,'官方售价'!$A$5:$A$204,0)),0)</x:f>
        <x:v>496</x:v>
      </x:c>
      <x:c r="K50" s="23" t="n">
        <x:f>IFERROR(INDEX('官方售价'!$J$5:$J$204,MATCH(B50,'官方售价'!$A$5:$A$204,0)),0)</x:f>
        <x:v>24</x:v>
      </x:c>
      <x:c r="L50" s="25" t="n">
        <x:f>(E50+F50)*I50*J50*K50/'参数'!$B$7</x:f>
        <x:v>50220</x:v>
      </x:c>
      <x:c r="M50" s="23" t="str">
        <x:f>IFERROR(INDEX('渠道成本'!$F$5:$F$1004,MATCH(C50,'渠道成本'!$A$5:$A$1004,0)),"")</x:f>
        <x:v>per_request</x:v>
      </x:c>
      <x:c r="N50" s="26" t="n">
        <x:f>IFERROR(INDEX('渠道成本'!$U$5:$U$1004,MATCH(C50,'渠道成本'!$A$5:$A$1004,0)),0)</x:f>
        <x:v>0.3150684931506849</x:v>
      </x:c>
      <x:c r="O50" s="26" t="n">
        <x:f>IFERROR(L50/'参数'!$B$8*INDEX('官方售价'!$M$5:$M$204,MATCH(B50,'官方售价'!$A$5:$A$204,0)),0)</x:f>
        <x:v>0.15822739726027396</x:v>
      </x:c>
      <x:c r="P50" s="26" t="n">
        <x:f>IF(M50="per_token",L50/'参数'!$B$8*N50,IF(M50="per_duration",F50*N50,IF(M50="per_request",N50,0)))</x:f>
        <x:v>0.3150684931506849</x:v>
      </x:c>
      <x:c r="Q50" s="26" t="n">
        <x:f>O50*D50</x:f>
        <x:v>0.15822739726027396</x:v>
      </x:c>
      <x:c r="R50" s="26" t="n">
        <x:f>Q50-P50</x:f>
        <x:v>-0.15684109589041095</x:v>
      </x:c>
      <x:c r="S50" s="29" t="n">
        <x:f>IF(Q50=0,"",R50/Q50)</x:f>
        <x:v>-0.9912385503783354</x:v>
      </x:c>
      <x:c r="T50" s="23" t="str">
        <x:f>IF(OR(B50="",C50=""),"pending",IF(OR(O50&lt;0,P50&lt;0),"settlement_failed","settled"))</x:f>
        <x:v>settled</x:v>
      </x:c>
      <x:c r="U50" s="7" t="str">
        <x:v>源行=sd!29；自动利润预览；分组倍率可改为用户折扣</x:v>
      </x:c>
    </x:row>
    <x:row r="51" ht="26.350000381469727" customHeight="1">
      <x:c r="A51" s="19" t="str">
        <x:v>CASE-PAIPU-R29-480-REQ-VID</x:v>
      </x:c>
      <x:c r="B51" s="19" t="str">
        <x:v>SALE-SD20-MINI-480-VID</x:v>
      </x:c>
      <x:c r="C51" s="19" t="str">
        <x:v>COST-PAIPU-R29-480-REQ-VID</x:v>
      </x:c>
      <x:c r="D51" s="28" t="n">
        <x:v>1</x:v>
      </x:c>
      <x:c r="E51" s="28" t="n">
        <x:v>3</x:v>
      </x:c>
      <x:c r="F51" s="28" t="n">
        <x:v>5</x:v>
      </x:c>
      <x:c r="G51" s="23" t="str">
        <x:f>IFERROR(INDEX('官方售价'!$C$5:$C$204,MATCH(B51,'官方售价'!$A$5:$A$204,0)),"")</x:f>
        <x:v>SKU-SD20-MINI-480</x:v>
      </x:c>
      <x:c r="H51" s="23" t="str">
        <x:f>IFERROR(INDEX('官方售价'!$D$5:$D$204,MATCH(B51,'官方售价'!$A$5:$A$204,0)),"")</x:f>
        <x:v>with_video</x:v>
      </x:c>
      <x:c r="I51" s="23" t="n">
        <x:f>IFERROR(INDEX('官方售价'!$H$5:$H$204,MATCH(B51,'官方售价'!$A$5:$A$204,0)),0)</x:f>
        <x:v>864</x:v>
      </x:c>
      <x:c r="J51" s="23" t="n">
        <x:f>IFERROR(INDEX('官方售价'!$I$5:$I$204,MATCH(B51,'官方售价'!$A$5:$A$204,0)),0)</x:f>
        <x:v>496</x:v>
      </x:c>
      <x:c r="K51" s="23" t="n">
        <x:f>IFERROR(INDEX('官方售价'!$J$5:$J$204,MATCH(B51,'官方售价'!$A$5:$A$204,0)),0)</x:f>
        <x:v>24</x:v>
      </x:c>
      <x:c r="L51" s="25" t="n">
        <x:f>(E51+F51)*I51*J51*K51/'参数'!$B$7</x:f>
        <x:v>80352</x:v>
      </x:c>
      <x:c r="M51" s="23" t="str">
        <x:f>IFERROR(INDEX('渠道成本'!$F$5:$F$1004,MATCH(C51,'渠道成本'!$A$5:$A$1004,0)),"")</x:f>
        <x:v>per_request</x:v>
      </x:c>
      <x:c r="N51" s="26" t="n">
        <x:f>IFERROR(INDEX('渠道成本'!$U$5:$U$1004,MATCH(C51,'渠道成本'!$A$5:$A$1004,0)),0)</x:f>
        <x:v>0.3150684931506849</x:v>
      </x:c>
      <x:c r="O51" s="26" t="n">
        <x:f>IFERROR(L51/'参数'!$B$8*INDEX('官方售价'!$M$5:$M$204,MATCH(B51,'官方售价'!$A$5:$A$204,0)),0)</x:f>
        <x:v>0.15409972602739727</x:v>
      </x:c>
      <x:c r="P51" s="26" t="n">
        <x:f>IF(M51="per_token",L51/'参数'!$B$8*N51,IF(M51="per_duration",F51*N51,IF(M51="per_request",N51,0)))</x:f>
        <x:v>0.3150684931506849</x:v>
      </x:c>
      <x:c r="Q51" s="26" t="n">
        <x:f>O51*D51</x:f>
        <x:v>0.15409972602739727</x:v>
      </x:c>
      <x:c r="R51" s="26" t="n">
        <x:f>Q51-P51</x:f>
        <x:v>-0.16096876712328764</x:v>
      </x:c>
      <x:c r="S51" s="29" t="n">
        <x:f>IF(Q51=0,"",R51/Q51)</x:f>
        <x:v>-1.044575297263469</x:v>
      </x:c>
      <x:c r="T51" s="23" t="str">
        <x:f>IF(OR(B51="",C51=""),"pending",IF(OR(O51&lt;0,P51&lt;0),"settlement_failed","settled"))</x:f>
        <x:v>settled</x:v>
      </x:c>
      <x:c r="U51" s="7" t="str">
        <x:v>源行=sd!29；自动利润预览；分组倍率可改为用户折扣</x:v>
      </x:c>
    </x:row>
    <x:row r="52" ht="26.350000381469727" customHeight="1">
      <x:c r="A52" s="19" t="str">
        <x:v>CASE-PAIPU-R30-720-REQ-NOV</x:v>
      </x:c>
      <x:c r="B52" s="19" t="str">
        <x:v>SALE-SD20-MINI-720-NOV</x:v>
      </x:c>
      <x:c r="C52" s="19" t="str">
        <x:v>COST-PAIPU-R30-720-REQ-NOV</x:v>
      </x:c>
      <x:c r="D52" s="28" t="n">
        <x:v>1</x:v>
      </x:c>
      <x:c r="E52" s="28" t="n">
        <x:v>0</x:v>
      </x:c>
      <x:c r="F52" s="28" t="n">
        <x:v>5</x:v>
      </x:c>
      <x:c r="G52" s="23" t="str">
        <x:f>IFERROR(INDEX('官方售价'!$C$5:$C$204,MATCH(B52,'官方售价'!$A$5:$A$204,0)),"")</x:f>
        <x:v>SKU-SD20-MINI-720</x:v>
      </x:c>
      <x:c r="H52" s="23" t="str">
        <x:f>IFERROR(INDEX('官方售价'!$D$5:$D$204,MATCH(B52,'官方售价'!$A$5:$A$204,0)),"")</x:f>
        <x:v>no_video</x:v>
      </x:c>
      <x:c r="I52" s="23" t="n">
        <x:f>IFERROR(INDEX('官方售价'!$H$5:$H$204,MATCH(B52,'官方售价'!$A$5:$A$204,0)),0)</x:f>
        <x:v>1280</x:v>
      </x:c>
      <x:c r="J52" s="23" t="n">
        <x:f>IFERROR(INDEX('官方售价'!$I$5:$I$204,MATCH(B52,'官方售价'!$A$5:$A$204,0)),0)</x:f>
        <x:v>720</x:v>
      </x:c>
      <x:c r="K52" s="23" t="n">
        <x:f>IFERROR(INDEX('官方售价'!$J$5:$J$204,MATCH(B52,'官方售价'!$A$5:$A$204,0)),0)</x:f>
        <x:v>24</x:v>
      </x:c>
      <x:c r="L52" s="25" t="n">
        <x:f>(E52+F52)*I52*J52*K52/'参数'!$B$7</x:f>
        <x:v>108000</x:v>
      </x:c>
      <x:c r="M52" s="23" t="str">
        <x:f>IFERROR(INDEX('渠道成本'!$F$5:$F$1004,MATCH(C52,'渠道成本'!$A$5:$A$1004,0)),"")</x:f>
        <x:v>per_request</x:v>
      </x:c>
      <x:c r="N52" s="26" t="n">
        <x:f>IFERROR(INDEX('渠道成本'!$U$5:$U$1004,MATCH(C52,'渠道成本'!$A$5:$A$1004,0)),0)</x:f>
        <x:v>0.3150684931506849</x:v>
      </x:c>
      <x:c r="O52" s="26" t="n">
        <x:f>IFERROR(L52/'参数'!$B$8*INDEX('官方售价'!$M$5:$M$204,MATCH(B52,'官方售价'!$A$5:$A$204,0)),0)</x:f>
        <x:v>0.34027397260273967</x:v>
      </x:c>
      <x:c r="P52" s="26" t="n">
        <x:f>IF(M52="per_token",L52/'参数'!$B$8*N52,IF(M52="per_duration",F52*N52,IF(M52="per_request",N52,0)))</x:f>
        <x:v>0.3150684931506849</x:v>
      </x:c>
      <x:c r="Q52" s="26" t="n">
        <x:f>O52*D52</x:f>
        <x:v>0.34027397260273967</x:v>
      </x:c>
      <x:c r="R52" s="26" t="n">
        <x:f>Q52-P52</x:f>
        <x:v>0.025205479452054758</x:v>
      </x:c>
      <x:c r="S52" s="29" t="n">
        <x:f>IF(Q52=0,"",R52/Q52)</x:f>
        <x:v>0.07407407407407397</x:v>
      </x:c>
      <x:c r="T52" s="23" t="str">
        <x:f>IF(OR(B52="",C52=""),"pending",IF(OR(O52&lt;0,P52&lt;0),"settlement_failed","settled"))</x:f>
        <x:v>settled</x:v>
      </x:c>
      <x:c r="U52" s="7" t="str">
        <x:v>源行=sd!30；自动利润预览；分组倍率可改为用户折扣</x:v>
      </x:c>
    </x:row>
    <x:row r="53" ht="26.350000381469727" customHeight="1">
      <x:c r="A53" s="19" t="str">
        <x:v>CASE-PAIPU-R30-720-REQ-VID</x:v>
      </x:c>
      <x:c r="B53" s="19" t="str">
        <x:v>SALE-SD20-MINI-720-VID</x:v>
      </x:c>
      <x:c r="C53" s="19" t="str">
        <x:v>COST-PAIPU-R30-720-REQ-VID</x:v>
      </x:c>
      <x:c r="D53" s="28" t="n">
        <x:v>1</x:v>
      </x:c>
      <x:c r="E53" s="28" t="n">
        <x:v>3</x:v>
      </x:c>
      <x:c r="F53" s="28" t="n">
        <x:v>5</x:v>
      </x:c>
      <x:c r="G53" s="23" t="str">
        <x:f>IFERROR(INDEX('官方售价'!$C$5:$C$204,MATCH(B53,'官方售价'!$A$5:$A$204,0)),"")</x:f>
        <x:v>SKU-SD20-MINI-720</x:v>
      </x:c>
      <x:c r="H53" s="23" t="str">
        <x:f>IFERROR(INDEX('官方售价'!$D$5:$D$204,MATCH(B53,'官方售价'!$A$5:$A$204,0)),"")</x:f>
        <x:v>with_video</x:v>
      </x:c>
      <x:c r="I53" s="23" t="n">
        <x:f>IFERROR(INDEX('官方售价'!$H$5:$H$204,MATCH(B53,'官方售价'!$A$5:$A$204,0)),0)</x:f>
        <x:v>1280</x:v>
      </x:c>
      <x:c r="J53" s="23" t="n">
        <x:f>IFERROR(INDEX('官方售价'!$I$5:$I$204,MATCH(B53,'官方售价'!$A$5:$A$204,0)),0)</x:f>
        <x:v>720</x:v>
      </x:c>
      <x:c r="K53" s="23" t="n">
        <x:f>IFERROR(INDEX('官方售价'!$J$5:$J$204,MATCH(B53,'官方售价'!$A$5:$A$204,0)),0)</x:f>
        <x:v>24</x:v>
      </x:c>
      <x:c r="L53" s="25" t="n">
        <x:f>(E53+F53)*I53*J53*K53/'参数'!$B$7</x:f>
        <x:v>172800</x:v>
      </x:c>
      <x:c r="M53" s="23" t="str">
        <x:f>IFERROR(INDEX('渠道成本'!$F$5:$F$1004,MATCH(C53,'渠道成本'!$A$5:$A$1004,0)),"")</x:f>
        <x:v>per_request</x:v>
      </x:c>
      <x:c r="N53" s="26" t="n">
        <x:f>IFERROR(INDEX('渠道成本'!$U$5:$U$1004,MATCH(C53,'渠道成本'!$A$5:$A$1004,0)),0)</x:f>
        <x:v>0.3150684931506849</x:v>
      </x:c>
      <x:c r="O53" s="26" t="n">
        <x:f>IFERROR(L53/'参数'!$B$8*INDEX('官方售价'!$M$5:$M$204,MATCH(B53,'官方售价'!$A$5:$A$204,0)),0)</x:f>
        <x:v>0.3313972602739726</x:v>
      </x:c>
      <x:c r="P53" s="26" t="n">
        <x:f>IF(M53="per_token",L53/'参数'!$B$8*N53,IF(M53="per_duration",F53*N53,IF(M53="per_request",N53,0)))</x:f>
        <x:v>0.3150684931506849</x:v>
      </x:c>
      <x:c r="Q53" s="26" t="n">
        <x:f>O53*D53</x:f>
        <x:v>0.3313972602739726</x:v>
      </x:c>
      <x:c r="R53" s="26" t="n">
        <x:f>Q53-P53</x:f>
        <x:v>0.01632876712328768</x:v>
      </x:c>
      <x:c r="S53" s="29" t="n">
        <x:f>IF(Q53=0,"",R53/Q53)</x:f>
        <x:v>0.0492724867724868</x:v>
      </x:c>
      <x:c r="T53" s="23" t="str">
        <x:f>IF(OR(B53="",C53=""),"pending",IF(OR(O53&lt;0,P53&lt;0),"settlement_failed","settled"))</x:f>
        <x:v>settled</x:v>
      </x:c>
      <x:c r="U53" s="7" t="str">
        <x:v>源行=sd!30；自动利润预览；分组倍率可改为用户折扣</x:v>
      </x:c>
    </x:row>
    <x:row r="54" ht="26.350000381469727" customHeight="1">
      <x:c r="A54" s="19" t="str">
        <x:v>CASE-PAIPU-R31-480-SEC-NOV</x:v>
      </x:c>
      <x:c r="B54" s="19" t="str">
        <x:v>SALE-SD20-STD-480-NOV</x:v>
      </x:c>
      <x:c r="C54" s="19" t="str">
        <x:v>COST-PAIPU-R31-480-SEC-NOV</x:v>
      </x:c>
      <x:c r="D54" s="28" t="n">
        <x:v>1</x:v>
      </x:c>
      <x:c r="E54" s="28" t="n">
        <x:v>0</x:v>
      </x:c>
      <x:c r="F54" s="28" t="n">
        <x:v>5</x:v>
      </x:c>
      <x:c r="G54" s="23" t="str">
        <x:f>IFERROR(INDEX('官方售价'!$C$5:$C$204,MATCH(B54,'官方售价'!$A$5:$A$204,0)),"")</x:f>
        <x:v>SKU-SD20-STD-480</x:v>
      </x:c>
      <x:c r="H54" s="23" t="str">
        <x:f>IFERROR(INDEX('官方售价'!$D$5:$D$204,MATCH(B54,'官方售价'!$A$5:$A$204,0)),"")</x:f>
        <x:v>no_video</x:v>
      </x:c>
      <x:c r="I54" s="23" t="n">
        <x:f>IFERROR(INDEX('官方售价'!$H$5:$H$204,MATCH(B54,'官方售价'!$A$5:$A$204,0)),0)</x:f>
        <x:v>864</x:v>
      </x:c>
      <x:c r="J54" s="23" t="n">
        <x:f>IFERROR(INDEX('官方售价'!$I$5:$I$204,MATCH(B54,'官方售价'!$A$5:$A$204,0)),0)</x:f>
        <x:v>496</x:v>
      </x:c>
      <x:c r="K54" s="23" t="n">
        <x:f>IFERROR(INDEX('官方售价'!$J$5:$J$204,MATCH(B54,'官方售价'!$A$5:$A$204,0)),0)</x:f>
        <x:v>24</x:v>
      </x:c>
      <x:c r="L54" s="25" t="n">
        <x:f>(E54+F54)*I54*J54*K54/'参数'!$B$7</x:f>
        <x:v>50220</x:v>
      </x:c>
      <x:c r="M54" s="23" t="str">
        <x:f>IFERROR(INDEX('渠道成本'!$F$5:$F$1004,MATCH(C54,'渠道成本'!$A$5:$A$1004,0)),"")</x:f>
        <x:v>per_duration</x:v>
      </x:c>
      <x:c r="N54" s="26" t="n">
        <x:f>IFERROR(INDEX('渠道成本'!$U$5:$U$1004,MATCH(C54,'渠道成本'!$A$5:$A$1004,0)),0)</x:f>
        <x:v>0.036986301369863014</x:v>
      </x:c>
      <x:c r="O54" s="26" t="n">
        <x:f>IFERROR(L54/'参数'!$B$8*INDEX('官方售价'!$M$5:$M$204,MATCH(B54,'官方售价'!$A$5:$A$204,0)),0)</x:f>
        <x:v>0.3164547945205479</x:v>
      </x:c>
      <x:c r="P54" s="26" t="n">
        <x:f>IF(M54="per_token",L54/'参数'!$B$8*N54,IF(M54="per_duration",F54*N54,IF(M54="per_request",N54,0)))</x:f>
        <x:v>0.18493150684931509</x:v>
      </x:c>
      <x:c r="Q54" s="26" t="n">
        <x:f>O54*D54</x:f>
        <x:v>0.3164547945205479</x:v>
      </x:c>
      <x:c r="R54" s="26" t="n">
        <x:f>Q54-P54</x:f>
        <x:v>0.13152328767123284</x:v>
      </x:c>
      <x:c r="S54" s="29" t="n">
        <x:f>IF(Q54=0,"",R54/Q54)</x:f>
        <x:v>0.4156147732585319</x:v>
      </x:c>
      <x:c r="T54" s="23" t="str">
        <x:f>IF(OR(B54="",C54=""),"pending",IF(OR(O54&lt;0,P54&lt;0),"settlement_failed","settled"))</x:f>
        <x:v>settled</x:v>
      </x:c>
      <x:c r="U54" s="7" t="str">
        <x:v>源行=sd!31；自动利润预览；分组倍率可改为用户折扣</x:v>
      </x:c>
    </x:row>
    <x:row r="55" ht="26.350000381469727" customHeight="1">
      <x:c r="A55" s="19" t="str">
        <x:v>CASE-PAIPU-R31-480-SEC-VID</x:v>
      </x:c>
      <x:c r="B55" s="19" t="str">
        <x:v>SALE-SD20-STD-480-VID</x:v>
      </x:c>
      <x:c r="C55" s="19" t="str">
        <x:v>COST-PAIPU-R31-480-SEC-VID</x:v>
      </x:c>
      <x:c r="D55" s="28" t="n">
        <x:v>1</x:v>
      </x:c>
      <x:c r="E55" s="28" t="n">
        <x:v>3</x:v>
      </x:c>
      <x:c r="F55" s="28" t="n">
        <x:v>5</x:v>
      </x:c>
      <x:c r="G55" s="23" t="str">
        <x:f>IFERROR(INDEX('官方售价'!$C$5:$C$204,MATCH(B55,'官方售价'!$A$5:$A$204,0)),"")</x:f>
        <x:v>SKU-SD20-STD-480</x:v>
      </x:c>
      <x:c r="H55" s="23" t="str">
        <x:f>IFERROR(INDEX('官方售价'!$D$5:$D$204,MATCH(B55,'官方售价'!$A$5:$A$204,0)),"")</x:f>
        <x:v>with_video</x:v>
      </x:c>
      <x:c r="I55" s="23" t="n">
        <x:f>IFERROR(INDEX('官方售价'!$H$5:$H$204,MATCH(B55,'官方售价'!$A$5:$A$204,0)),0)</x:f>
        <x:v>864</x:v>
      </x:c>
      <x:c r="J55" s="23" t="n">
        <x:f>IFERROR(INDEX('官方售价'!$I$5:$I$204,MATCH(B55,'官方售价'!$A$5:$A$204,0)),0)</x:f>
        <x:v>496</x:v>
      </x:c>
      <x:c r="K55" s="23" t="n">
        <x:f>IFERROR(INDEX('官方售价'!$J$5:$J$204,MATCH(B55,'官方售价'!$A$5:$A$204,0)),0)</x:f>
        <x:v>24</x:v>
      </x:c>
      <x:c r="L55" s="25" t="n">
        <x:f>(E55+F55)*I55*J55*K55/'参数'!$B$7</x:f>
        <x:v>80352</x:v>
      </x:c>
      <x:c r="M55" s="23" t="str">
        <x:f>IFERROR(INDEX('渠道成本'!$F$5:$F$1004,MATCH(C55,'渠道成本'!$A$5:$A$1004,0)),"")</x:f>
        <x:v>per_duration</x:v>
      </x:c>
      <x:c r="N55" s="26" t="n">
        <x:f>IFERROR(INDEX('渠道成本'!$U$5:$U$1004,MATCH(C55,'渠道成本'!$A$5:$A$1004,0)),0)</x:f>
        <x:v>0.036986301369863014</x:v>
      </x:c>
      <x:c r="O55" s="26" t="n">
        <x:f>IFERROR(L55/'参数'!$B$8*INDEX('官方售价'!$M$5:$M$204,MATCH(B55,'官方售价'!$A$5:$A$204,0)),0)</x:f>
        <x:v>0.30819945205479454</x:v>
      </x:c>
      <x:c r="P55" s="26" t="n">
        <x:f>IF(M55="per_token",L55/'参数'!$B$8*N55,IF(M55="per_duration",F55*N55,IF(M55="per_request",N55,0)))</x:f>
        <x:v>0.18493150684931509</x:v>
      </x:c>
      <x:c r="Q55" s="26" t="n">
        <x:f>O55*D55</x:f>
        <x:v>0.30819945205479454</x:v>
      </x:c>
      <x:c r="R55" s="26" t="n">
        <x:f>Q55-P55</x:f>
        <x:v>0.12326794520547946</x:v>
      </x:c>
      <x:c r="S55" s="29" t="n">
        <x:f>IF(Q55=0,"",R55/Q55)</x:f>
        <x:v>0.3999615975422427</x:v>
      </x:c>
      <x:c r="T55" s="23" t="str">
        <x:f>IF(OR(B55="",C55=""),"pending",IF(OR(O55&lt;0,P55&lt;0),"settlement_failed","settled"))</x:f>
        <x:v>settled</x:v>
      </x:c>
      <x:c r="U55" s="7" t="str">
        <x:v>源行=sd!31；自动利润预览；分组倍率可改为用户折扣</x:v>
      </x:c>
    </x:row>
    <x:row r="56" ht="26.350000381469727" customHeight="1">
      <x:c r="A56" s="19" t="str">
        <x:v>CASE-PAIPU-R32-720-SEC-NOV</x:v>
      </x:c>
      <x:c r="B56" s="19" t="str">
        <x:v>SALE-SD20-STD-720-NOV</x:v>
      </x:c>
      <x:c r="C56" s="19" t="str">
        <x:v>COST-PAIPU-R32-720-SEC-NOV</x:v>
      </x:c>
      <x:c r="D56" s="28" t="n">
        <x:v>1</x:v>
      </x:c>
      <x:c r="E56" s="28" t="n">
        <x:v>0</x:v>
      </x:c>
      <x:c r="F56" s="28" t="n">
        <x:v>5</x:v>
      </x:c>
      <x:c r="G56" s="23" t="str">
        <x:f>IFERROR(INDEX('官方售价'!$C$5:$C$204,MATCH(B56,'官方售价'!$A$5:$A$204,0)),"")</x:f>
        <x:v>SKU-SD20-STD-720</x:v>
      </x:c>
      <x:c r="H56" s="23" t="str">
        <x:f>IFERROR(INDEX('官方售价'!$D$5:$D$204,MATCH(B56,'官方售价'!$A$5:$A$204,0)),"")</x:f>
        <x:v>no_video</x:v>
      </x:c>
      <x:c r="I56" s="23" t="n">
        <x:f>IFERROR(INDEX('官方售价'!$H$5:$H$204,MATCH(B56,'官方售价'!$A$5:$A$204,0)),0)</x:f>
        <x:v>1280</x:v>
      </x:c>
      <x:c r="J56" s="23" t="n">
        <x:f>IFERROR(INDEX('官方售价'!$I$5:$I$204,MATCH(B56,'官方售价'!$A$5:$A$204,0)),0)</x:f>
        <x:v>720</x:v>
      </x:c>
      <x:c r="K56" s="23" t="n">
        <x:f>IFERROR(INDEX('官方售价'!$J$5:$J$204,MATCH(B56,'官方售价'!$A$5:$A$204,0)),0)</x:f>
        <x:v>24</x:v>
      </x:c>
      <x:c r="L56" s="25" t="n">
        <x:f>(E56+F56)*I56*J56*K56/'参数'!$B$7</x:f>
        <x:v>108000</x:v>
      </x:c>
      <x:c r="M56" s="23" t="str">
        <x:f>IFERROR(INDEX('渠道成本'!$F$5:$F$1004,MATCH(C56,'渠道成本'!$A$5:$A$1004,0)),"")</x:f>
        <x:v>per_duration</x:v>
      </x:c>
      <x:c r="N56" s="26" t="n">
        <x:f>IFERROR(INDEX('渠道成本'!$U$5:$U$1004,MATCH(C56,'渠道成本'!$A$5:$A$1004,0)),0)</x:f>
        <x:v>0.050684931506849315</x:v>
      </x:c>
      <x:c r="O56" s="26" t="n">
        <x:f>IFERROR(L56/'参数'!$B$8*INDEX('官方售价'!$M$5:$M$204,MATCH(B56,'官方售价'!$A$5:$A$204,0)),0)</x:f>
        <x:v>0.6805479452054793</x:v>
      </x:c>
      <x:c r="P56" s="26" t="n">
        <x:f>IF(M56="per_token",L56/'参数'!$B$8*N56,IF(M56="per_duration",F56*N56,IF(M56="per_request",N56,0)))</x:f>
        <x:v>0.2534246575342466</x:v>
      </x:c>
      <x:c r="Q56" s="26" t="n">
        <x:f>O56*D56</x:f>
        <x:v>0.6805479452054793</x:v>
      </x:c>
      <x:c r="R56" s="26" t="n">
        <x:f>Q56-P56</x:f>
        <x:v>0.42712328767123275</x:v>
      </x:c>
      <x:c r="S56" s="29" t="n">
        <x:f>IF(Q56=0,"",R56/Q56)</x:f>
        <x:v>0.6276167471819645</x:v>
      </x:c>
      <x:c r="T56" s="23" t="str">
        <x:f>IF(OR(B56="",C56=""),"pending",IF(OR(O56&lt;0,P56&lt;0),"settlement_failed","settled"))</x:f>
        <x:v>settled</x:v>
      </x:c>
      <x:c r="U56" s="7" t="str">
        <x:v>源行=sd!32；自动利润预览；分组倍率可改为用户折扣</x:v>
      </x:c>
    </x:row>
    <x:row r="57" ht="26.350000381469727" customHeight="1">
      <x:c r="A57" s="19" t="str">
        <x:v>CASE-PAIPU-R32-720-SEC-VID</x:v>
      </x:c>
      <x:c r="B57" s="19" t="str">
        <x:v>SALE-SD20-STD-720-VID</x:v>
      </x:c>
      <x:c r="C57" s="19" t="str">
        <x:v>COST-PAIPU-R32-720-SEC-VID</x:v>
      </x:c>
      <x:c r="D57" s="28" t="n">
        <x:v>1</x:v>
      </x:c>
      <x:c r="E57" s="28" t="n">
        <x:v>3</x:v>
      </x:c>
      <x:c r="F57" s="28" t="n">
        <x:v>5</x:v>
      </x:c>
      <x:c r="G57" s="23" t="str">
        <x:f>IFERROR(INDEX('官方售价'!$C$5:$C$204,MATCH(B57,'官方售价'!$A$5:$A$204,0)),"")</x:f>
        <x:v>SKU-SD20-STD-720</x:v>
      </x:c>
      <x:c r="H57" s="23" t="str">
        <x:f>IFERROR(INDEX('官方售价'!$D$5:$D$204,MATCH(B57,'官方售价'!$A$5:$A$204,0)),"")</x:f>
        <x:v>with_video</x:v>
      </x:c>
      <x:c r="I57" s="23" t="n">
        <x:f>IFERROR(INDEX('官方售价'!$H$5:$H$204,MATCH(B57,'官方售价'!$A$5:$A$204,0)),0)</x:f>
        <x:v>1280</x:v>
      </x:c>
      <x:c r="J57" s="23" t="n">
        <x:f>IFERROR(INDEX('官方售价'!$I$5:$I$204,MATCH(B57,'官方售价'!$A$5:$A$204,0)),0)</x:f>
        <x:v>720</x:v>
      </x:c>
      <x:c r="K57" s="23" t="n">
        <x:f>IFERROR(INDEX('官方售价'!$J$5:$J$204,MATCH(B57,'官方售价'!$A$5:$A$204,0)),0)</x:f>
        <x:v>24</x:v>
      </x:c>
      <x:c r="L57" s="25" t="n">
        <x:f>(E57+F57)*I57*J57*K57/'参数'!$B$7</x:f>
        <x:v>172800</x:v>
      </x:c>
      <x:c r="M57" s="23" t="str">
        <x:f>IFERROR(INDEX('渠道成本'!$F$5:$F$1004,MATCH(C57,'渠道成本'!$A$5:$A$1004,0)),"")</x:f>
        <x:v>per_duration</x:v>
      </x:c>
      <x:c r="N57" s="26" t="n">
        <x:f>IFERROR(INDEX('渠道成本'!$U$5:$U$1004,MATCH(C57,'渠道成本'!$A$5:$A$1004,0)),0)</x:f>
        <x:v>0.050684931506849315</x:v>
      </x:c>
      <x:c r="O57" s="26" t="n">
        <x:f>IFERROR(L57/'参数'!$B$8*INDEX('官方售价'!$M$5:$M$204,MATCH(B57,'官方售价'!$A$5:$A$204,0)),0)</x:f>
        <x:v>0.6627945205479452</x:v>
      </x:c>
      <x:c r="P57" s="26" t="n">
        <x:f>IF(M57="per_token",L57/'参数'!$B$8*N57,IF(M57="per_duration",F57*N57,IF(M57="per_request",N57,0)))</x:f>
        <x:v>0.2534246575342466</x:v>
      </x:c>
      <x:c r="Q57" s="26" t="n">
        <x:f>O57*D57</x:f>
        <x:v>0.6627945205479452</x:v>
      </x:c>
      <x:c r="R57" s="26" t="n">
        <x:f>Q57-P57</x:f>
        <x:v>0.4093698630136986</x:v>
      </x:c>
      <x:c r="S57" s="29" t="n">
        <x:f>IF(Q57=0,"",R57/Q57)</x:f>
        <x:v>0.6176421957671957</x:v>
      </x:c>
      <x:c r="T57" s="23" t="str">
        <x:f>IF(OR(B57="",C57=""),"pending",IF(OR(O57&lt;0,P57&lt;0),"settlement_failed","settled"))</x:f>
        <x:v>settled</x:v>
      </x:c>
      <x:c r="U57" s="7" t="str">
        <x:v>源行=sd!32；自动利润预览；分组倍率可改为用户折扣</x:v>
      </x:c>
    </x:row>
    <x:row r="58" ht="26.350000381469727" customHeight="1">
      <x:c r="A58" s="19" t="str">
        <x:v>CASE-PAIPU-R33-480-SEC-NOV</x:v>
      </x:c>
      <x:c r="B58" s="19" t="str">
        <x:v>SALE-SD20-FAST-480-NOV</x:v>
      </x:c>
      <x:c r="C58" s="19" t="str">
        <x:v>COST-PAIPU-R33-480-SEC-NOV</x:v>
      </x:c>
      <x:c r="D58" s="28" t="n">
        <x:v>1</x:v>
      </x:c>
      <x:c r="E58" s="28" t="n">
        <x:v>0</x:v>
      </x:c>
      <x:c r="F58" s="28" t="n">
        <x:v>5</x:v>
      </x:c>
      <x:c r="G58" s="23" t="str">
        <x:f>IFERROR(INDEX('官方售价'!$C$5:$C$204,MATCH(B58,'官方售价'!$A$5:$A$204,0)),"")</x:f>
        <x:v>SKU-SD20-FAST-480</x:v>
      </x:c>
      <x:c r="H58" s="23" t="str">
        <x:f>IFERROR(INDEX('官方售价'!$D$5:$D$204,MATCH(B58,'官方售价'!$A$5:$A$204,0)),"")</x:f>
        <x:v>no_video</x:v>
      </x:c>
      <x:c r="I58" s="23" t="n">
        <x:f>IFERROR(INDEX('官方售价'!$H$5:$H$204,MATCH(B58,'官方售价'!$A$5:$A$204,0)),0)</x:f>
        <x:v>864</x:v>
      </x:c>
      <x:c r="J58" s="23" t="n">
        <x:f>IFERROR(INDEX('官方售价'!$I$5:$I$204,MATCH(B58,'官方售价'!$A$5:$A$204,0)),0)</x:f>
        <x:v>496</x:v>
      </x:c>
      <x:c r="K58" s="23" t="n">
        <x:f>IFERROR(INDEX('官方售价'!$J$5:$J$204,MATCH(B58,'官方售价'!$A$5:$A$204,0)),0)</x:f>
        <x:v>24</x:v>
      </x:c>
      <x:c r="L58" s="25" t="n">
        <x:f>(E58+F58)*I58*J58*K58/'参数'!$B$7</x:f>
        <x:v>50220</x:v>
      </x:c>
      <x:c r="M58" s="23" t="str">
        <x:f>IFERROR(INDEX('渠道成本'!$F$5:$F$1004,MATCH(C58,'渠道成本'!$A$5:$A$1004,0)),"")</x:f>
        <x:v>per_duration</x:v>
      </x:c>
      <x:c r="N58" s="26" t="n">
        <x:f>IFERROR(INDEX('渠道成本'!$U$5:$U$1004,MATCH(C58,'渠道成本'!$A$5:$A$1004,0)),0)</x:f>
        <x:v>0.023287671232876714</x:v>
      </x:c>
      <x:c r="O58" s="26" t="n">
        <x:f>IFERROR(L58/'参数'!$B$8*INDEX('官方售价'!$M$5:$M$204,MATCH(B58,'官方售价'!$A$5:$A$204,0)),0)</x:f>
        <x:v>0.2545397260273973</x:v>
      </x:c>
      <x:c r="P58" s="26" t="n">
        <x:f>IF(M58="per_token",L58/'参数'!$B$8*N58,IF(M58="per_duration",F58*N58,IF(M58="per_request",N58,0)))</x:f>
        <x:v>0.11643835616438357</x:v>
      </x:c>
      <x:c r="Q58" s="26" t="n">
        <x:f>O58*D58</x:f>
        <x:v>0.2545397260273973</x:v>
      </x:c>
      <x:c r="R58" s="26" t="n">
        <x:f>Q58-P58</x:f>
        <x:v>0.1381013698630137</x:v>
      </x:c>
      <x:c r="S58" s="29" t="n">
        <x:f>IF(Q58=0,"",R58/Q58)</x:f>
        <x:v>0.5425533059941662</x:v>
      </x:c>
      <x:c r="T58" s="23" t="str">
        <x:f>IF(OR(B58="",C58=""),"pending",IF(OR(O58&lt;0,P58&lt;0),"settlement_failed","settled"))</x:f>
        <x:v>settled</x:v>
      </x:c>
      <x:c r="U58" s="7" t="str">
        <x:v>源行=sd!33；自动利润预览；分组倍率可改为用户折扣</x:v>
      </x:c>
    </x:row>
    <x:row r="59" ht="26.350000381469727" customHeight="1">
      <x:c r="A59" s="19" t="str">
        <x:v>CASE-PAIPU-R33-480-SEC-VID</x:v>
      </x:c>
      <x:c r="B59" s="19" t="str">
        <x:v>SALE-SD20-FAST-480-VID</x:v>
      </x:c>
      <x:c r="C59" s="19" t="str">
        <x:v>COST-PAIPU-R33-480-SEC-VID</x:v>
      </x:c>
      <x:c r="D59" s="28" t="n">
        <x:v>1</x:v>
      </x:c>
      <x:c r="E59" s="28" t="n">
        <x:v>3</x:v>
      </x:c>
      <x:c r="F59" s="28" t="n">
        <x:v>5</x:v>
      </x:c>
      <x:c r="G59" s="23" t="str">
        <x:f>IFERROR(INDEX('官方售价'!$C$5:$C$204,MATCH(B59,'官方售价'!$A$5:$A$204,0)),"")</x:f>
        <x:v>SKU-SD20-FAST-480</x:v>
      </x:c>
      <x:c r="H59" s="23" t="str">
        <x:f>IFERROR(INDEX('官方售价'!$D$5:$D$204,MATCH(B59,'官方售价'!$A$5:$A$204,0)),"")</x:f>
        <x:v>with_video</x:v>
      </x:c>
      <x:c r="I59" s="23" t="n">
        <x:f>IFERROR(INDEX('官方售价'!$H$5:$H$204,MATCH(B59,'官方售价'!$A$5:$A$204,0)),0)</x:f>
        <x:v>864</x:v>
      </x:c>
      <x:c r="J59" s="23" t="n">
        <x:f>IFERROR(INDEX('官方售价'!$I$5:$I$204,MATCH(B59,'官方售价'!$A$5:$A$204,0)),0)</x:f>
        <x:v>496</x:v>
      </x:c>
      <x:c r="K59" s="23" t="n">
        <x:f>IFERROR(INDEX('官方售价'!$J$5:$J$204,MATCH(B59,'官方售价'!$A$5:$A$204,0)),0)</x:f>
        <x:v>24</x:v>
      </x:c>
      <x:c r="L59" s="25" t="n">
        <x:f>(E59+F59)*I59*J59*K59/'参数'!$B$7</x:f>
        <x:v>80352</x:v>
      </x:c>
      <x:c r="M59" s="23" t="str">
        <x:f>IFERROR(INDEX('渠道成本'!$F$5:$F$1004,MATCH(C59,'渠道成本'!$A$5:$A$1004,0)),"")</x:f>
        <x:v>per_duration</x:v>
      </x:c>
      <x:c r="N59" s="26" t="n">
        <x:f>IFERROR(INDEX('渠道成本'!$U$5:$U$1004,MATCH(C59,'渠道成本'!$A$5:$A$1004,0)),0)</x:f>
        <x:v>0.023287671232876714</x:v>
      </x:c>
      <x:c r="O59" s="26" t="n">
        <x:f>IFERROR(L59/'参数'!$B$8*INDEX('官方售价'!$M$5:$M$204,MATCH(B59,'官方售价'!$A$5:$A$204,0)),0)</x:f>
        <x:v>0.24215671232876712</x:v>
      </x:c>
      <x:c r="P59" s="26" t="n">
        <x:f>IF(M59="per_token",L59/'参数'!$B$8*N59,IF(M59="per_duration",F59*N59,IF(M59="per_request",N59,0)))</x:f>
        <x:v>0.11643835616438357</x:v>
      </x:c>
      <x:c r="Q59" s="26" t="n">
        <x:f>O59*D59</x:f>
        <x:v>0.24215671232876712</x:v>
      </x:c>
      <x:c r="R59" s="26" t="n">
        <x:f>Q59-P59</x:f>
        <x:v>0.12571835616438354</x:v>
      </x:c>
      <x:c r="S59" s="29" t="n">
        <x:f>IF(Q59=0,"",R59/Q59)</x:f>
        <x:v>0.5191611455052314</x:v>
      </x:c>
      <x:c r="T59" s="23" t="str">
        <x:f>IF(OR(B59="",C59=""),"pending",IF(OR(O59&lt;0,P59&lt;0),"settlement_failed","settled"))</x:f>
        <x:v>settled</x:v>
      </x:c>
      <x:c r="U59" s="7" t="str">
        <x:v>源行=sd!33；自动利润预览；分组倍率可改为用户折扣</x:v>
      </x:c>
    </x:row>
    <x:row r="60" ht="26.350000381469727" customHeight="1">
      <x:c r="A60" s="19" t="str">
        <x:v>CASE-PAIPU-R34-720-SEC-NOV</x:v>
      </x:c>
      <x:c r="B60" s="19" t="str">
        <x:v>SALE-SD20-FAST-720-NOV</x:v>
      </x:c>
      <x:c r="C60" s="19" t="str">
        <x:v>COST-PAIPU-R34-720-SEC-NOV</x:v>
      </x:c>
      <x:c r="D60" s="28" t="n">
        <x:v>1</x:v>
      </x:c>
      <x:c r="E60" s="28" t="n">
        <x:v>0</x:v>
      </x:c>
      <x:c r="F60" s="28" t="n">
        <x:v>5</x:v>
      </x:c>
      <x:c r="G60" s="23" t="str">
        <x:f>IFERROR(INDEX('官方售价'!$C$5:$C$204,MATCH(B60,'官方售价'!$A$5:$A$204,0)),"")</x:f>
        <x:v>SKU-SD20-FAST-720</x:v>
      </x:c>
      <x:c r="H60" s="23" t="str">
        <x:f>IFERROR(INDEX('官方售价'!$D$5:$D$204,MATCH(B60,'官方售价'!$A$5:$A$204,0)),"")</x:f>
        <x:v>no_video</x:v>
      </x:c>
      <x:c r="I60" s="23" t="n">
        <x:f>IFERROR(INDEX('官方售价'!$H$5:$H$204,MATCH(B60,'官方售价'!$A$5:$A$204,0)),0)</x:f>
        <x:v>1280</x:v>
      </x:c>
      <x:c r="J60" s="23" t="n">
        <x:f>IFERROR(INDEX('官方售价'!$I$5:$I$204,MATCH(B60,'官方售价'!$A$5:$A$204,0)),0)</x:f>
        <x:v>720</x:v>
      </x:c>
      <x:c r="K60" s="23" t="n">
        <x:f>IFERROR(INDEX('官方售价'!$J$5:$J$204,MATCH(B60,'官方售价'!$A$5:$A$204,0)),0)</x:f>
        <x:v>24</x:v>
      </x:c>
      <x:c r="L60" s="25" t="n">
        <x:f>(E60+F60)*I60*J60*K60/'参数'!$B$7</x:f>
        <x:v>108000</x:v>
      </x:c>
      <x:c r="M60" s="23" t="str">
        <x:f>IFERROR(INDEX('渠道成本'!$F$5:$F$1004,MATCH(C60,'渠道成本'!$A$5:$A$1004,0)),"")</x:f>
        <x:v>per_duration</x:v>
      </x:c>
      <x:c r="N60" s="26" t="n">
        <x:f>IFERROR(INDEX('渠道成本'!$U$5:$U$1004,MATCH(C60,'渠道成本'!$A$5:$A$1004,0)),0)</x:f>
        <x:v>0.036986301369863014</x:v>
      </x:c>
      <x:c r="O60" s="26" t="n">
        <x:f>IFERROR(L60/'参数'!$B$8*INDEX('官方售价'!$M$5:$M$204,MATCH(B60,'官方售价'!$A$5:$A$204,0)),0)</x:f>
        <x:v>0.5473972602739726</x:v>
      </x:c>
      <x:c r="P60" s="26" t="n">
        <x:f>IF(M60="per_token",L60/'参数'!$B$8*N60,IF(M60="per_duration",F60*N60,IF(M60="per_request",N60,0)))</x:f>
        <x:v>0.18493150684931509</x:v>
      </x:c>
      <x:c r="Q60" s="26" t="n">
        <x:f>O60*D60</x:f>
        <x:v>0.5473972602739726</x:v>
      </x:c>
      <x:c r="R60" s="26" t="n">
        <x:f>Q60-P60</x:f>
        <x:v>0.36246575342465753</x:v>
      </x:c>
      <x:c r="S60" s="29" t="n">
        <x:f>IF(Q60=0,"",R60/Q60)</x:f>
        <x:v>0.6621621621621622</x:v>
      </x:c>
      <x:c r="T60" s="23" t="str">
        <x:f>IF(OR(B60="",C60=""),"pending",IF(OR(O60&lt;0,P60&lt;0),"settlement_failed","settled"))</x:f>
        <x:v>settled</x:v>
      </x:c>
      <x:c r="U60" s="7" t="str">
        <x:v>源行=sd!34；自动利润预览；分组倍率可改为用户折扣</x:v>
      </x:c>
    </x:row>
    <x:row r="61" ht="26.350000381469727" customHeight="1">
      <x:c r="A61" s="19" t="str">
        <x:v>CASE-PAIPU-R34-720-SEC-VID</x:v>
      </x:c>
      <x:c r="B61" s="19" t="str">
        <x:v>SALE-SD20-FAST-720-VID</x:v>
      </x:c>
      <x:c r="C61" s="19" t="str">
        <x:v>COST-PAIPU-R34-720-SEC-VID</x:v>
      </x:c>
      <x:c r="D61" s="28" t="n">
        <x:v>1</x:v>
      </x:c>
      <x:c r="E61" s="28" t="n">
        <x:v>3</x:v>
      </x:c>
      <x:c r="F61" s="28" t="n">
        <x:v>5</x:v>
      </x:c>
      <x:c r="G61" s="23" t="str">
        <x:f>IFERROR(INDEX('官方售价'!$C$5:$C$204,MATCH(B61,'官方售价'!$A$5:$A$204,0)),"")</x:f>
        <x:v>SKU-SD20-FAST-720</x:v>
      </x:c>
      <x:c r="H61" s="23" t="str">
        <x:f>IFERROR(INDEX('官方售价'!$D$5:$D$204,MATCH(B61,'官方售价'!$A$5:$A$204,0)),"")</x:f>
        <x:v>with_video</x:v>
      </x:c>
      <x:c r="I61" s="23" t="n">
        <x:f>IFERROR(INDEX('官方售价'!$H$5:$H$204,MATCH(B61,'官方售价'!$A$5:$A$204,0)),0)</x:f>
        <x:v>1280</x:v>
      </x:c>
      <x:c r="J61" s="23" t="n">
        <x:f>IFERROR(INDEX('官方售价'!$I$5:$I$204,MATCH(B61,'官方售价'!$A$5:$A$204,0)),0)</x:f>
        <x:v>720</x:v>
      </x:c>
      <x:c r="K61" s="23" t="n">
        <x:f>IFERROR(INDEX('官方售价'!$J$5:$J$204,MATCH(B61,'官方售价'!$A$5:$A$204,0)),0)</x:f>
        <x:v>24</x:v>
      </x:c>
      <x:c r="L61" s="25" t="n">
        <x:f>(E61+F61)*I61*J61*K61/'参数'!$B$7</x:f>
        <x:v>172800</x:v>
      </x:c>
      <x:c r="M61" s="23" t="str">
        <x:f>IFERROR(INDEX('渠道成本'!$F$5:$F$1004,MATCH(C61,'渠道成本'!$A$5:$A$1004,0)),"")</x:f>
        <x:v>per_duration</x:v>
      </x:c>
      <x:c r="N61" s="26" t="n">
        <x:f>IFERROR(INDEX('渠道成本'!$U$5:$U$1004,MATCH(C61,'渠道成本'!$A$5:$A$1004,0)),0)</x:f>
        <x:v>0.036986301369863014</x:v>
      </x:c>
      <x:c r="O61" s="26" t="n">
        <x:f>IFERROR(L61/'参数'!$B$8*INDEX('官方售价'!$M$5:$M$204,MATCH(B61,'官方售价'!$A$5:$A$204,0)),0)</x:f>
        <x:v>0.5207671232876712</x:v>
      </x:c>
      <x:c r="P61" s="26" t="n">
        <x:f>IF(M61="per_token",L61/'参数'!$B$8*N61,IF(M61="per_duration",F61*N61,IF(M61="per_request",N61,0)))</x:f>
        <x:v>0.18493150684931509</x:v>
      </x:c>
      <x:c r="Q61" s="26" t="n">
        <x:f>O61*D61</x:f>
        <x:v>0.5207671232876712</x:v>
      </x:c>
      <x:c r="R61" s="26" t="n">
        <x:f>Q61-P61</x:f>
        <x:v>0.3358356164383561</x:v>
      </x:c>
      <x:c r="S61" s="29" t="n">
        <x:f>IF(Q61=0,"",R61/Q61)</x:f>
        <x:v>0.6448863636363635</x:v>
      </x:c>
      <x:c r="T61" s="23" t="str">
        <x:f>IF(OR(B61="",C61=""),"pending",IF(OR(O61&lt;0,P61&lt;0),"settlement_failed","settled"))</x:f>
        <x:v>settled</x:v>
      </x:c>
      <x:c r="U61" s="7" t="str">
        <x:v>源行=sd!34；自动利润预览；分组倍率可改为用户折扣</x:v>
      </x:c>
    </x:row>
    <x:row r="62" ht="26.350000381469727" customHeight="1">
      <x:c r="A62" s="19" t="str">
        <x:v>CASE-PAIPU-R35-480-SEC-NOV</x:v>
      </x:c>
      <x:c r="B62" s="19" t="str">
        <x:v>SALE-SD20-MINI-480-NOV</x:v>
      </x:c>
      <x:c r="C62" s="19" t="str">
        <x:v>COST-PAIPU-R35-480-SEC-NOV</x:v>
      </x:c>
      <x:c r="D62" s="28" t="n">
        <x:v>1</x:v>
      </x:c>
      <x:c r="E62" s="28" t="n">
        <x:v>0</x:v>
      </x:c>
      <x:c r="F62" s="28" t="n">
        <x:v>5</x:v>
      </x:c>
      <x:c r="G62" s="23" t="str">
        <x:f>IFERROR(INDEX('官方售价'!$C$5:$C$204,MATCH(B62,'官方售价'!$A$5:$A$204,0)),"")</x:f>
        <x:v>SKU-SD20-MINI-480</x:v>
      </x:c>
      <x:c r="H62" s="23" t="str">
        <x:f>IFERROR(INDEX('官方售价'!$D$5:$D$204,MATCH(B62,'官方售价'!$A$5:$A$204,0)),"")</x:f>
        <x:v>no_video</x:v>
      </x:c>
      <x:c r="I62" s="23" t="n">
        <x:f>IFERROR(INDEX('官方售价'!$H$5:$H$204,MATCH(B62,'官方售价'!$A$5:$A$204,0)),0)</x:f>
        <x:v>864</x:v>
      </x:c>
      <x:c r="J62" s="23" t="n">
        <x:f>IFERROR(INDEX('官方售价'!$I$5:$I$204,MATCH(B62,'官方售价'!$A$5:$A$204,0)),0)</x:f>
        <x:v>496</x:v>
      </x:c>
      <x:c r="K62" s="23" t="n">
        <x:f>IFERROR(INDEX('官方售价'!$J$5:$J$204,MATCH(B62,'官方售价'!$A$5:$A$204,0)),0)</x:f>
        <x:v>24</x:v>
      </x:c>
      <x:c r="L62" s="25" t="n">
        <x:f>(E62+F62)*I62*J62*K62/'参数'!$B$7</x:f>
        <x:v>50220</x:v>
      </x:c>
      <x:c r="M62" s="23" t="str">
        <x:f>IFERROR(INDEX('渠道成本'!$F$5:$F$1004,MATCH(C62,'渠道成本'!$A$5:$A$1004,0)),"")</x:f>
        <x:v>per_duration</x:v>
      </x:c>
      <x:c r="N62" s="26" t="n">
        <x:f>IFERROR(INDEX('渠道成本'!$U$5:$U$1004,MATCH(C62,'渠道成本'!$A$5:$A$1004,0)),0)</x:f>
        <x:v>0.019178082191780823</x:v>
      </x:c>
      <x:c r="O62" s="26" t="n">
        <x:f>IFERROR(L62/'参数'!$B$8*INDEX('官方售价'!$M$5:$M$204,MATCH(B62,'官方售价'!$A$5:$A$204,0)),0)</x:f>
        <x:v>0.15822739726027396</x:v>
      </x:c>
      <x:c r="P62" s="26" t="n">
        <x:f>IF(M62="per_token",L62/'参数'!$B$8*N62,IF(M62="per_duration",F62*N62,IF(M62="per_request",N62,0)))</x:f>
        <x:v>0.09589041095890412</x:v>
      </x:c>
      <x:c r="Q62" s="26" t="n">
        <x:f>O62*D62</x:f>
        <x:v>0.15822739726027396</x:v>
      </x:c>
      <x:c r="R62" s="26" t="n">
        <x:f>Q62-P62</x:f>
        <x:v>0.06233698630136984</x:v>
      </x:c>
      <x:c r="S62" s="29" t="n">
        <x:f>IF(Q62=0,"",R62/Q62)</x:f>
        <x:v>0.3939708759718109</x:v>
      </x:c>
      <x:c r="T62" s="23" t="str">
        <x:f>IF(OR(B62="",C62=""),"pending",IF(OR(O62&lt;0,P62&lt;0),"settlement_failed","settled"))</x:f>
        <x:v>settled</x:v>
      </x:c>
      <x:c r="U62" s="7" t="str">
        <x:v>源行=sd!35；自动利润预览；分组倍率可改为用户折扣</x:v>
      </x:c>
    </x:row>
    <x:row r="63" ht="26.350000381469727" customHeight="1">
      <x:c r="A63" s="19" t="str">
        <x:v>CASE-PAIPU-R35-480-SEC-VID</x:v>
      </x:c>
      <x:c r="B63" s="19" t="str">
        <x:v>SALE-SD20-MINI-480-VID</x:v>
      </x:c>
      <x:c r="C63" s="19" t="str">
        <x:v>COST-PAIPU-R35-480-SEC-VID</x:v>
      </x:c>
      <x:c r="D63" s="28" t="n">
        <x:v>1</x:v>
      </x:c>
      <x:c r="E63" s="28" t="n">
        <x:v>3</x:v>
      </x:c>
      <x:c r="F63" s="28" t="n">
        <x:v>5</x:v>
      </x:c>
      <x:c r="G63" s="23" t="str">
        <x:f>IFERROR(INDEX('官方售价'!$C$5:$C$204,MATCH(B63,'官方售价'!$A$5:$A$204,0)),"")</x:f>
        <x:v>SKU-SD20-MINI-480</x:v>
      </x:c>
      <x:c r="H63" s="23" t="str">
        <x:f>IFERROR(INDEX('官方售价'!$D$5:$D$204,MATCH(B63,'官方售价'!$A$5:$A$204,0)),"")</x:f>
        <x:v>with_video</x:v>
      </x:c>
      <x:c r="I63" s="23" t="n">
        <x:f>IFERROR(INDEX('官方售价'!$H$5:$H$204,MATCH(B63,'官方售价'!$A$5:$A$204,0)),0)</x:f>
        <x:v>864</x:v>
      </x:c>
      <x:c r="J63" s="23" t="n">
        <x:f>IFERROR(INDEX('官方售价'!$I$5:$I$204,MATCH(B63,'官方售价'!$A$5:$A$204,0)),0)</x:f>
        <x:v>496</x:v>
      </x:c>
      <x:c r="K63" s="23" t="n">
        <x:f>IFERROR(INDEX('官方售价'!$J$5:$J$204,MATCH(B63,'官方售价'!$A$5:$A$204,0)),0)</x:f>
        <x:v>24</x:v>
      </x:c>
      <x:c r="L63" s="25" t="n">
        <x:f>(E63+F63)*I63*J63*K63/'参数'!$B$7</x:f>
        <x:v>80352</x:v>
      </x:c>
      <x:c r="M63" s="23" t="str">
        <x:f>IFERROR(INDEX('渠道成本'!$F$5:$F$1004,MATCH(C63,'渠道成本'!$A$5:$A$1004,0)),"")</x:f>
        <x:v>per_duration</x:v>
      </x:c>
      <x:c r="N63" s="26" t="n">
        <x:f>IFERROR(INDEX('渠道成本'!$U$5:$U$1004,MATCH(C63,'渠道成本'!$A$5:$A$1004,0)),0)</x:f>
        <x:v>0.019178082191780823</x:v>
      </x:c>
      <x:c r="O63" s="26" t="n">
        <x:f>IFERROR(L63/'参数'!$B$8*INDEX('官方售价'!$M$5:$M$204,MATCH(B63,'官方售价'!$A$5:$A$204,0)),0)</x:f>
        <x:v>0.15409972602739727</x:v>
      </x:c>
      <x:c r="P63" s="26" t="n">
        <x:f>IF(M63="per_token",L63/'参数'!$B$8*N63,IF(M63="per_duration",F63*N63,IF(M63="per_request",N63,0)))</x:f>
        <x:v>0.09589041095890412</x:v>
      </x:c>
      <x:c r="Q63" s="26" t="n">
        <x:f>O63*D63</x:f>
        <x:v>0.15409972602739727</x:v>
      </x:c>
      <x:c r="R63" s="26" t="n">
        <x:f>Q63-P63</x:f>
        <x:v>0.05820931506849315</x:v>
      </x:c>
      <x:c r="S63" s="29" t="n">
        <x:f>IF(Q63=0,"",R63/Q63)</x:f>
        <x:v>0.3777379530067702</x:v>
      </x:c>
      <x:c r="T63" s="23" t="str">
        <x:f>IF(OR(B63="",C63=""),"pending",IF(OR(O63&lt;0,P63&lt;0),"settlement_failed","settled"))</x:f>
        <x:v>settled</x:v>
      </x:c>
      <x:c r="U63" s="7" t="str">
        <x:v>源行=sd!35；自动利润预览；分组倍率可改为用户折扣</x:v>
      </x:c>
    </x:row>
    <x:row r="64" ht="26.350000381469727" customHeight="1">
      <x:c r="A64" s="19" t="str">
        <x:v>CASE-PAIPU-R36-720-SEC-NOV</x:v>
      </x:c>
      <x:c r="B64" s="19" t="str">
        <x:v>SALE-SD20-MINI-720-NOV</x:v>
      </x:c>
      <x:c r="C64" s="19" t="str">
        <x:v>COST-PAIPU-R36-720-SEC-NOV</x:v>
      </x:c>
      <x:c r="D64" s="28" t="n">
        <x:v>1</x:v>
      </x:c>
      <x:c r="E64" s="28" t="n">
        <x:v>0</x:v>
      </x:c>
      <x:c r="F64" s="28" t="n">
        <x:v>5</x:v>
      </x:c>
      <x:c r="G64" s="23" t="str">
        <x:f>IFERROR(INDEX('官方售价'!$C$5:$C$204,MATCH(B64,'官方售价'!$A$5:$A$204,0)),"")</x:f>
        <x:v>SKU-SD20-MINI-720</x:v>
      </x:c>
      <x:c r="H64" s="23" t="str">
        <x:f>IFERROR(INDEX('官方售价'!$D$5:$D$204,MATCH(B64,'官方售价'!$A$5:$A$204,0)),"")</x:f>
        <x:v>no_video</x:v>
      </x:c>
      <x:c r="I64" s="23" t="n">
        <x:f>IFERROR(INDEX('官方售价'!$H$5:$H$204,MATCH(B64,'官方售价'!$A$5:$A$204,0)),0)</x:f>
        <x:v>1280</x:v>
      </x:c>
      <x:c r="J64" s="23" t="n">
        <x:f>IFERROR(INDEX('官方售价'!$I$5:$I$204,MATCH(B64,'官方售价'!$A$5:$A$204,0)),0)</x:f>
        <x:v>720</x:v>
      </x:c>
      <x:c r="K64" s="23" t="n">
        <x:f>IFERROR(INDEX('官方售价'!$J$5:$J$204,MATCH(B64,'官方售价'!$A$5:$A$204,0)),0)</x:f>
        <x:v>24</x:v>
      </x:c>
      <x:c r="L64" s="25" t="n">
        <x:f>(E64+F64)*I64*J64*K64/'参数'!$B$7</x:f>
        <x:v>108000</x:v>
      </x:c>
      <x:c r="M64" s="23" t="str">
        <x:f>IFERROR(INDEX('渠道成本'!$F$5:$F$1004,MATCH(C64,'渠道成本'!$A$5:$A$1004,0)),"")</x:f>
        <x:v>per_duration</x:v>
      </x:c>
      <x:c r="N64" s="26" t="n">
        <x:f>IFERROR(INDEX('渠道成本'!$U$5:$U$1004,MATCH(C64,'渠道成本'!$A$5:$A$1004,0)),0)</x:f>
        <x:v>0.0273972602739726</x:v>
      </x:c>
      <x:c r="O64" s="26" t="n">
        <x:f>IFERROR(L64/'参数'!$B$8*INDEX('官方售价'!$M$5:$M$204,MATCH(B64,'官方售价'!$A$5:$A$204,0)),0)</x:f>
        <x:v>0.34027397260273967</x:v>
      </x:c>
      <x:c r="P64" s="26" t="n">
        <x:f>IF(M64="per_token",L64/'参数'!$B$8*N64,IF(M64="per_duration",F64*N64,IF(M64="per_request",N64,0)))</x:f>
        <x:v>0.136986301369863</x:v>
      </x:c>
      <x:c r="Q64" s="26" t="n">
        <x:f>O64*D64</x:f>
        <x:v>0.34027397260273967</x:v>
      </x:c>
      <x:c r="R64" s="26" t="n">
        <x:f>Q64-P64</x:f>
        <x:v>0.20328767123287667</x:v>
      </x:c>
      <x:c r="S64" s="29" t="n">
        <x:f>IF(Q64=0,"",R64/Q64)</x:f>
        <x:v>0.5974235104669887</x:v>
      </x:c>
      <x:c r="T64" s="23" t="str">
        <x:f>IF(OR(B64="",C64=""),"pending",IF(OR(O64&lt;0,P64&lt;0),"settlement_failed","settled"))</x:f>
        <x:v>settled</x:v>
      </x:c>
      <x:c r="U64" s="7" t="str">
        <x:v>源行=sd!36；自动利润预览；分组倍率可改为用户折扣</x:v>
      </x:c>
    </x:row>
    <x:row r="65" ht="26.350000381469727" customHeight="1">
      <x:c r="A65" s="19" t="str">
        <x:v>CASE-PAIPU-R36-720-SEC-VID</x:v>
      </x:c>
      <x:c r="B65" s="19" t="str">
        <x:v>SALE-SD20-MINI-720-VID</x:v>
      </x:c>
      <x:c r="C65" s="19" t="str">
        <x:v>COST-PAIPU-R36-720-SEC-VID</x:v>
      </x:c>
      <x:c r="D65" s="28" t="n">
        <x:v>1</x:v>
      </x:c>
      <x:c r="E65" s="28" t="n">
        <x:v>3</x:v>
      </x:c>
      <x:c r="F65" s="28" t="n">
        <x:v>5</x:v>
      </x:c>
      <x:c r="G65" s="23" t="str">
        <x:f>IFERROR(INDEX('官方售价'!$C$5:$C$204,MATCH(B65,'官方售价'!$A$5:$A$204,0)),"")</x:f>
        <x:v>SKU-SD20-MINI-720</x:v>
      </x:c>
      <x:c r="H65" s="23" t="str">
        <x:f>IFERROR(INDEX('官方售价'!$D$5:$D$204,MATCH(B65,'官方售价'!$A$5:$A$204,0)),"")</x:f>
        <x:v>with_video</x:v>
      </x:c>
      <x:c r="I65" s="23" t="n">
        <x:f>IFERROR(INDEX('官方售价'!$H$5:$H$204,MATCH(B65,'官方售价'!$A$5:$A$204,0)),0)</x:f>
        <x:v>1280</x:v>
      </x:c>
      <x:c r="J65" s="23" t="n">
        <x:f>IFERROR(INDEX('官方售价'!$I$5:$I$204,MATCH(B65,'官方售价'!$A$5:$A$204,0)),0)</x:f>
        <x:v>720</x:v>
      </x:c>
      <x:c r="K65" s="23" t="n">
        <x:f>IFERROR(INDEX('官方售价'!$J$5:$J$204,MATCH(B65,'官方售价'!$A$5:$A$204,0)),0)</x:f>
        <x:v>24</x:v>
      </x:c>
      <x:c r="L65" s="25" t="n">
        <x:f>(E65+F65)*I65*J65*K65/'参数'!$B$7</x:f>
        <x:v>172800</x:v>
      </x:c>
      <x:c r="M65" s="23" t="str">
        <x:f>IFERROR(INDEX('渠道成本'!$F$5:$F$1004,MATCH(C65,'渠道成本'!$A$5:$A$1004,0)),"")</x:f>
        <x:v>per_duration</x:v>
      </x:c>
      <x:c r="N65" s="26" t="n">
        <x:f>IFERROR(INDEX('渠道成本'!$U$5:$U$1004,MATCH(C65,'渠道成本'!$A$5:$A$1004,0)),0)</x:f>
        <x:v>0.0273972602739726</x:v>
      </x:c>
      <x:c r="O65" s="26" t="n">
        <x:f>IFERROR(L65/'参数'!$B$8*INDEX('官方售价'!$M$5:$M$204,MATCH(B65,'官方售价'!$A$5:$A$204,0)),0)</x:f>
        <x:v>0.3313972602739726</x:v>
      </x:c>
      <x:c r="P65" s="26" t="n">
        <x:f>IF(M65="per_token",L65/'参数'!$B$8*N65,IF(M65="per_duration",F65*N65,IF(M65="per_request",N65,0)))</x:f>
        <x:v>0.136986301369863</x:v>
      </x:c>
      <x:c r="Q65" s="26" t="n">
        <x:f>O65*D65</x:f>
        <x:v>0.3313972602739726</x:v>
      </x:c>
      <x:c r="R65" s="26" t="n">
        <x:f>Q65-P65</x:f>
        <x:v>0.1944109589041096</x:v>
      </x:c>
      <x:c r="S65" s="29" t="n">
        <x:f>IF(Q65=0,"",R65/Q65)</x:f>
        <x:v>0.5866402116402116</x:v>
      </x:c>
      <x:c r="T65" s="23" t="str">
        <x:f>IF(OR(B65="",C65=""),"pending",IF(OR(O65&lt;0,P65&lt;0),"settlement_failed","settled"))</x:f>
        <x:v>settled</x:v>
      </x:c>
      <x:c r="U65" s="7" t="str">
        <x:v>源行=sd!36；自动利润预览；分组倍率可改为用户折扣</x:v>
      </x:c>
    </x:row>
    <x:row r="66" ht="26.350000381469727" customHeight="1">
      <x:c r="A66" s="19" t="str">
        <x:v>CASE-PAIPU-R37-720-REQ-NOV</x:v>
      </x:c>
      <x:c r="B66" s="19" t="str">
        <x:v>SALE-SD20-STD-720-NOV</x:v>
      </x:c>
      <x:c r="C66" s="19" t="str">
        <x:v>COST-PAIPU-R37-720-REQ-NOV</x:v>
      </x:c>
      <x:c r="D66" s="28" t="n">
        <x:v>1</x:v>
      </x:c>
      <x:c r="E66" s="28" t="n">
        <x:v>0</x:v>
      </x:c>
      <x:c r="F66" s="28" t="n">
        <x:v>5</x:v>
      </x:c>
      <x:c r="G66" s="23" t="str">
        <x:f>IFERROR(INDEX('官方售价'!$C$5:$C$204,MATCH(B66,'官方售价'!$A$5:$A$204,0)),"")</x:f>
        <x:v>SKU-SD20-STD-720</x:v>
      </x:c>
      <x:c r="H66" s="23" t="str">
        <x:f>IFERROR(INDEX('官方售价'!$D$5:$D$204,MATCH(B66,'官方售价'!$A$5:$A$204,0)),"")</x:f>
        <x:v>no_video</x:v>
      </x:c>
      <x:c r="I66" s="23" t="n">
        <x:f>IFERROR(INDEX('官方售价'!$H$5:$H$204,MATCH(B66,'官方售价'!$A$5:$A$204,0)),0)</x:f>
        <x:v>1280</x:v>
      </x:c>
      <x:c r="J66" s="23" t="n">
        <x:f>IFERROR(INDEX('官方售价'!$I$5:$I$204,MATCH(B66,'官方售价'!$A$5:$A$204,0)),0)</x:f>
        <x:v>720</x:v>
      </x:c>
      <x:c r="K66" s="23" t="n">
        <x:f>IFERROR(INDEX('官方售价'!$J$5:$J$204,MATCH(B66,'官方售价'!$A$5:$A$204,0)),0)</x:f>
        <x:v>24</x:v>
      </x:c>
      <x:c r="L66" s="25" t="n">
        <x:f>(E66+F66)*I66*J66*K66/'参数'!$B$7</x:f>
        <x:v>108000</x:v>
      </x:c>
      <x:c r="M66" s="23" t="str">
        <x:f>IFERROR(INDEX('渠道成本'!$F$5:$F$1004,MATCH(C66,'渠道成本'!$A$5:$A$1004,0)),"")</x:f>
        <x:v>per_request</x:v>
      </x:c>
      <x:c r="N66" s="26" t="n">
        <x:f>IFERROR(INDEX('渠道成本'!$U$5:$U$1004,MATCH(C66,'渠道成本'!$A$5:$A$1004,0)),0)</x:f>
        <x:v>0.7534246575342465</x:v>
      </x:c>
      <x:c r="O66" s="26" t="n">
        <x:f>IFERROR(L66/'参数'!$B$8*INDEX('官方售价'!$M$5:$M$204,MATCH(B66,'官方售价'!$A$5:$A$204,0)),0)</x:f>
        <x:v>0.6805479452054793</x:v>
      </x:c>
      <x:c r="P66" s="26" t="n">
        <x:f>IF(M66="per_token",L66/'参数'!$B$8*N66,IF(M66="per_duration",F66*N66,IF(M66="per_request",N66,0)))</x:f>
        <x:v>0.7534246575342465</x:v>
      </x:c>
      <x:c r="Q66" s="26" t="n">
        <x:f>O66*D66</x:f>
        <x:v>0.6805479452054793</x:v>
      </x:c>
      <x:c r="R66" s="26" t="n">
        <x:f>Q66-P66</x:f>
        <x:v>-0.07287671232876713</x:v>
      </x:c>
      <x:c r="S66" s="29" t="n">
        <x:f>IF(Q66=0,"",R66/Q66)</x:f>
        <x:v>-0.10708534621578103</x:v>
      </x:c>
      <x:c r="T66" s="23" t="str">
        <x:f>IF(OR(B66="",C66=""),"pending",IF(OR(O66&lt;0,P66&lt;0),"settlement_failed","settled"))</x:f>
        <x:v>settled</x:v>
      </x:c>
      <x:c r="U66" s="7" t="str">
        <x:v>源行=sd!37；自动利润预览；分组倍率可改为用户折扣</x:v>
      </x:c>
    </x:row>
    <x:row r="67" ht="26.350000381469727" customHeight="1">
      <x:c r="A67" s="19" t="str">
        <x:v>CASE-PAIPU-R37-720-REQ-VID</x:v>
      </x:c>
      <x:c r="B67" s="19" t="str">
        <x:v>SALE-SD20-STD-720-VID</x:v>
      </x:c>
      <x:c r="C67" s="19" t="str">
        <x:v>COST-PAIPU-R37-720-REQ-VID</x:v>
      </x:c>
      <x:c r="D67" s="28" t="n">
        <x:v>1</x:v>
      </x:c>
      <x:c r="E67" s="28" t="n">
        <x:v>3</x:v>
      </x:c>
      <x:c r="F67" s="28" t="n">
        <x:v>5</x:v>
      </x:c>
      <x:c r="G67" s="23" t="str">
        <x:f>IFERROR(INDEX('官方售价'!$C$5:$C$204,MATCH(B67,'官方售价'!$A$5:$A$204,0)),"")</x:f>
        <x:v>SKU-SD20-STD-720</x:v>
      </x:c>
      <x:c r="H67" s="23" t="str">
        <x:f>IFERROR(INDEX('官方售价'!$D$5:$D$204,MATCH(B67,'官方售价'!$A$5:$A$204,0)),"")</x:f>
        <x:v>with_video</x:v>
      </x:c>
      <x:c r="I67" s="23" t="n">
        <x:f>IFERROR(INDEX('官方售价'!$H$5:$H$204,MATCH(B67,'官方售价'!$A$5:$A$204,0)),0)</x:f>
        <x:v>1280</x:v>
      </x:c>
      <x:c r="J67" s="23" t="n">
        <x:f>IFERROR(INDEX('官方售价'!$I$5:$I$204,MATCH(B67,'官方售价'!$A$5:$A$204,0)),0)</x:f>
        <x:v>720</x:v>
      </x:c>
      <x:c r="K67" s="23" t="n">
        <x:f>IFERROR(INDEX('官方售价'!$J$5:$J$204,MATCH(B67,'官方售价'!$A$5:$A$204,0)),0)</x:f>
        <x:v>24</x:v>
      </x:c>
      <x:c r="L67" s="25" t="n">
        <x:f>(E67+F67)*I67*J67*K67/'参数'!$B$7</x:f>
        <x:v>172800</x:v>
      </x:c>
      <x:c r="M67" s="23" t="str">
        <x:f>IFERROR(INDEX('渠道成本'!$F$5:$F$1004,MATCH(C67,'渠道成本'!$A$5:$A$1004,0)),"")</x:f>
        <x:v>per_request</x:v>
      </x:c>
      <x:c r="N67" s="26" t="n">
        <x:f>IFERROR(INDEX('渠道成本'!$U$5:$U$1004,MATCH(C67,'渠道成本'!$A$5:$A$1004,0)),0)</x:f>
        <x:v>0.7534246575342465</x:v>
      </x:c>
      <x:c r="O67" s="26" t="n">
        <x:f>IFERROR(L67/'参数'!$B$8*INDEX('官方售价'!$M$5:$M$204,MATCH(B67,'官方售价'!$A$5:$A$204,0)),0)</x:f>
        <x:v>0.6627945205479452</x:v>
      </x:c>
      <x:c r="P67" s="26" t="n">
        <x:f>IF(M67="per_token",L67/'参数'!$B$8*N67,IF(M67="per_duration",F67*N67,IF(M67="per_request",N67,0)))</x:f>
        <x:v>0.7534246575342465</x:v>
      </x:c>
      <x:c r="Q67" s="26" t="n">
        <x:f>O67*D67</x:f>
        <x:v>0.6627945205479452</x:v>
      </x:c>
      <x:c r="R67" s="26" t="n">
        <x:f>Q67-P67</x:f>
        <x:v>-0.09063013698630129</x:v>
      </x:c>
      <x:c r="S67" s="29" t="n">
        <x:f>IF(Q67=0,"",R67/Q67)</x:f>
        <x:v>-0.13673941798941788</x:v>
      </x:c>
      <x:c r="T67" s="23" t="str">
        <x:f>IF(OR(B67="",C67=""),"pending",IF(OR(O67&lt;0,P67&lt;0),"settlement_failed","settled"))</x:f>
        <x:v>settled</x:v>
      </x:c>
      <x:c r="U67" s="7" t="str">
        <x:v>源行=sd!37；自动利润预览；分组倍率可改为用户折扣</x:v>
      </x:c>
    </x:row>
    <x:row r="68" ht="26.350000381469727" customHeight="1">
      <x:c r="A68" s="19" t="str">
        <x:v>CASE-PAIPU-R38-720-REQ-NOV</x:v>
      </x:c>
      <x:c r="B68" s="19" t="str">
        <x:v>SALE-SD20-FAST-720-NOV</x:v>
      </x:c>
      <x:c r="C68" s="19" t="str">
        <x:v>COST-PAIPU-R38-720-REQ-NOV</x:v>
      </x:c>
      <x:c r="D68" s="28" t="n">
        <x:v>1</x:v>
      </x:c>
      <x:c r="E68" s="28" t="n">
        <x:v>0</x:v>
      </x:c>
      <x:c r="F68" s="28" t="n">
        <x:v>5</x:v>
      </x:c>
      <x:c r="G68" s="23" t="str">
        <x:f>IFERROR(INDEX('官方售价'!$C$5:$C$204,MATCH(B68,'官方售价'!$A$5:$A$204,0)),"")</x:f>
        <x:v>SKU-SD20-FAST-720</x:v>
      </x:c>
      <x:c r="H68" s="23" t="str">
        <x:f>IFERROR(INDEX('官方售价'!$D$5:$D$204,MATCH(B68,'官方售价'!$A$5:$A$204,0)),"")</x:f>
        <x:v>no_video</x:v>
      </x:c>
      <x:c r="I68" s="23" t="n">
        <x:f>IFERROR(INDEX('官方售价'!$H$5:$H$204,MATCH(B68,'官方售价'!$A$5:$A$204,0)),0)</x:f>
        <x:v>1280</x:v>
      </x:c>
      <x:c r="J68" s="23" t="n">
        <x:f>IFERROR(INDEX('官方售价'!$I$5:$I$204,MATCH(B68,'官方售价'!$A$5:$A$204,0)),0)</x:f>
        <x:v>720</x:v>
      </x:c>
      <x:c r="K68" s="23" t="n">
        <x:f>IFERROR(INDEX('官方售价'!$J$5:$J$204,MATCH(B68,'官方售价'!$A$5:$A$204,0)),0)</x:f>
        <x:v>24</x:v>
      </x:c>
      <x:c r="L68" s="25" t="n">
        <x:f>(E68+F68)*I68*J68*K68/'参数'!$B$7</x:f>
        <x:v>108000</x:v>
      </x:c>
      <x:c r="M68" s="23" t="str">
        <x:f>IFERROR(INDEX('渠道成本'!$F$5:$F$1004,MATCH(C68,'渠道成本'!$A$5:$A$1004,0)),"")</x:f>
        <x:v>per_request</x:v>
      </x:c>
      <x:c r="N68" s="26" t="n">
        <x:f>IFERROR(INDEX('渠道成本'!$U$5:$U$1004,MATCH(C68,'渠道成本'!$A$5:$A$1004,0)),0)</x:f>
        <x:v>0.4794520547945205</x:v>
      </x:c>
      <x:c r="O68" s="26" t="n">
        <x:f>IFERROR(L68/'参数'!$B$8*INDEX('官方售价'!$M$5:$M$204,MATCH(B68,'官方售价'!$A$5:$A$204,0)),0)</x:f>
        <x:v>0.5473972602739726</x:v>
      </x:c>
      <x:c r="P68" s="26" t="n">
        <x:f>IF(M68="per_token",L68/'参数'!$B$8*N68,IF(M68="per_duration",F68*N68,IF(M68="per_request",N68,0)))</x:f>
        <x:v>0.4794520547945205</x:v>
      </x:c>
      <x:c r="Q68" s="26" t="n">
        <x:f>O68*D68</x:f>
        <x:v>0.5473972602739726</x:v>
      </x:c>
      <x:c r="R68" s="26" t="n">
        <x:f>Q68-P68</x:f>
        <x:v>0.0679452054794521</x:v>
      </x:c>
      <x:c r="S68" s="29" t="n">
        <x:f>IF(Q68=0,"",R68/Q68)</x:f>
        <x:v>0.1241241241241242</x:v>
      </x:c>
      <x:c r="T68" s="23" t="str">
        <x:f>IF(OR(B68="",C68=""),"pending",IF(OR(O68&lt;0,P68&lt;0),"settlement_failed","settled"))</x:f>
        <x:v>settled</x:v>
      </x:c>
      <x:c r="U68" s="7" t="str">
        <x:v>源行=sd!38；自动利润预览；分组倍率可改为用户折扣</x:v>
      </x:c>
    </x:row>
    <x:row r="69" ht="26.350000381469727" customHeight="1">
      <x:c r="A69" s="19" t="str">
        <x:v>CASE-PAIPU-R38-720-REQ-VID</x:v>
      </x:c>
      <x:c r="B69" s="19" t="str">
        <x:v>SALE-SD20-FAST-720-VID</x:v>
      </x:c>
      <x:c r="C69" s="19" t="str">
        <x:v>COST-PAIPU-R38-720-REQ-VID</x:v>
      </x:c>
      <x:c r="D69" s="28" t="n">
        <x:v>1</x:v>
      </x:c>
      <x:c r="E69" s="28" t="n">
        <x:v>3</x:v>
      </x:c>
      <x:c r="F69" s="28" t="n">
        <x:v>5</x:v>
      </x:c>
      <x:c r="G69" s="23" t="str">
        <x:f>IFERROR(INDEX('官方售价'!$C$5:$C$204,MATCH(B69,'官方售价'!$A$5:$A$204,0)),"")</x:f>
        <x:v>SKU-SD20-FAST-720</x:v>
      </x:c>
      <x:c r="H69" s="23" t="str">
        <x:f>IFERROR(INDEX('官方售价'!$D$5:$D$204,MATCH(B69,'官方售价'!$A$5:$A$204,0)),"")</x:f>
        <x:v>with_video</x:v>
      </x:c>
      <x:c r="I69" s="23" t="n">
        <x:f>IFERROR(INDEX('官方售价'!$H$5:$H$204,MATCH(B69,'官方售价'!$A$5:$A$204,0)),0)</x:f>
        <x:v>1280</x:v>
      </x:c>
      <x:c r="J69" s="23" t="n">
        <x:f>IFERROR(INDEX('官方售价'!$I$5:$I$204,MATCH(B69,'官方售价'!$A$5:$A$204,0)),0)</x:f>
        <x:v>720</x:v>
      </x:c>
      <x:c r="K69" s="23" t="n">
        <x:f>IFERROR(INDEX('官方售价'!$J$5:$J$204,MATCH(B69,'官方售价'!$A$5:$A$204,0)),0)</x:f>
        <x:v>24</x:v>
      </x:c>
      <x:c r="L69" s="25" t="n">
        <x:f>(E69+F69)*I69*J69*K69/'参数'!$B$7</x:f>
        <x:v>172800</x:v>
      </x:c>
      <x:c r="M69" s="23" t="str">
        <x:f>IFERROR(INDEX('渠道成本'!$F$5:$F$1004,MATCH(C69,'渠道成本'!$A$5:$A$1004,0)),"")</x:f>
        <x:v>per_request</x:v>
      </x:c>
      <x:c r="N69" s="26" t="n">
        <x:f>IFERROR(INDEX('渠道成本'!$U$5:$U$1004,MATCH(C69,'渠道成本'!$A$5:$A$1004,0)),0)</x:f>
        <x:v>0.4794520547945205</x:v>
      </x:c>
      <x:c r="O69" s="26" t="n">
        <x:f>IFERROR(L69/'参数'!$B$8*INDEX('官方售价'!$M$5:$M$204,MATCH(B69,'官方售价'!$A$5:$A$204,0)),0)</x:f>
        <x:v>0.5207671232876712</x:v>
      </x:c>
      <x:c r="P69" s="26" t="n">
        <x:f>IF(M69="per_token",L69/'参数'!$B$8*N69,IF(M69="per_duration",F69*N69,IF(M69="per_request",N69,0)))</x:f>
        <x:v>0.4794520547945205</x:v>
      </x:c>
      <x:c r="Q69" s="26" t="n">
        <x:f>O69*D69</x:f>
        <x:v>0.5207671232876712</x:v>
      </x:c>
      <x:c r="R69" s="26" t="n">
        <x:f>Q69-P69</x:f>
        <x:v>0.04131506849315064</x:v>
      </x:c>
      <x:c r="S69" s="29" t="n">
        <x:f>IF(Q69=0,"",R69/Q69)</x:f>
        <x:v>0.07933501683501676</x:v>
      </x:c>
      <x:c r="T69" s="23" t="str">
        <x:f>IF(OR(B69="",C69=""),"pending",IF(OR(O69&lt;0,P69&lt;0),"settlement_failed","settled"))</x:f>
        <x:v>settled</x:v>
      </x:c>
      <x:c r="U69" s="7" t="str">
        <x:v>源行=sd!38；自动利润预览；分组倍率可改为用户折扣</x:v>
      </x:c>
    </x:row>
    <x:row r="70" ht="26.350000381469727" customHeight="1">
      <x:c r="A70" s="19" t="str">
        <x:v>CASE-PAIPU-R39-720-REQ-NOV</x:v>
      </x:c>
      <x:c r="B70" s="19" t="str">
        <x:v>SALE-SD20-MINI-720-NOV</x:v>
      </x:c>
      <x:c r="C70" s="19" t="str">
        <x:v>COST-PAIPU-R39-720-REQ-NOV</x:v>
      </x:c>
      <x:c r="D70" s="28" t="n">
        <x:v>1</x:v>
      </x:c>
      <x:c r="E70" s="28" t="n">
        <x:v>0</x:v>
      </x:c>
      <x:c r="F70" s="28" t="n">
        <x:v>5</x:v>
      </x:c>
      <x:c r="G70" s="23" t="str">
        <x:f>IFERROR(INDEX('官方售价'!$C$5:$C$204,MATCH(B70,'官方售价'!$A$5:$A$204,0)),"")</x:f>
        <x:v>SKU-SD20-MINI-720</x:v>
      </x:c>
      <x:c r="H70" s="23" t="str">
        <x:f>IFERROR(INDEX('官方售价'!$D$5:$D$204,MATCH(B70,'官方售价'!$A$5:$A$204,0)),"")</x:f>
        <x:v>no_video</x:v>
      </x:c>
      <x:c r="I70" s="23" t="n">
        <x:f>IFERROR(INDEX('官方售价'!$H$5:$H$204,MATCH(B70,'官方售价'!$A$5:$A$204,0)),0)</x:f>
        <x:v>1280</x:v>
      </x:c>
      <x:c r="J70" s="23" t="n">
        <x:f>IFERROR(INDEX('官方售价'!$I$5:$I$204,MATCH(B70,'官方售价'!$A$5:$A$204,0)),0)</x:f>
        <x:v>720</x:v>
      </x:c>
      <x:c r="K70" s="23" t="n">
        <x:f>IFERROR(INDEX('官方售价'!$J$5:$J$204,MATCH(B70,'官方售价'!$A$5:$A$204,0)),0)</x:f>
        <x:v>24</x:v>
      </x:c>
      <x:c r="L70" s="25" t="n">
        <x:f>(E70+F70)*I70*J70*K70/'参数'!$B$7</x:f>
        <x:v>108000</x:v>
      </x:c>
      <x:c r="M70" s="23" t="str">
        <x:f>IFERROR(INDEX('渠道成本'!$F$5:$F$1004,MATCH(C70,'渠道成本'!$A$5:$A$1004,0)),"")</x:f>
        <x:v>per_request</x:v>
      </x:c>
      <x:c r="N70" s="26" t="n">
        <x:f>IFERROR(INDEX('渠道成本'!$U$5:$U$1004,MATCH(C70,'渠道成本'!$A$5:$A$1004,0)),0)</x:f>
        <x:v>0.3835616438356164</x:v>
      </x:c>
      <x:c r="O70" s="26" t="n">
        <x:f>IFERROR(L70/'参数'!$B$8*INDEX('官方售价'!$M$5:$M$204,MATCH(B70,'官方售价'!$A$5:$A$204,0)),0)</x:f>
        <x:v>0.34027397260273967</x:v>
      </x:c>
      <x:c r="P70" s="26" t="n">
        <x:f>IF(M70="per_token",L70/'参数'!$B$8*N70,IF(M70="per_duration",F70*N70,IF(M70="per_request",N70,0)))</x:f>
        <x:v>0.3835616438356164</x:v>
      </x:c>
      <x:c r="Q70" s="26" t="n">
        <x:f>O70*D70</x:f>
        <x:v>0.34027397260273967</x:v>
      </x:c>
      <x:c r="R70" s="26" t="n">
        <x:f>Q70-P70</x:f>
        <x:v>-0.043287671232876745</x:v>
      </x:c>
      <x:c r="S70" s="29" t="n">
        <x:f>IF(Q70=0,"",R70/Q70)</x:f>
        <x:v>-0.12721417069243168</x:v>
      </x:c>
      <x:c r="T70" s="23" t="str">
        <x:f>IF(OR(B70="",C70=""),"pending",IF(OR(O70&lt;0,P70&lt;0),"settlement_failed","settled"))</x:f>
        <x:v>settled</x:v>
      </x:c>
      <x:c r="U70" s="7" t="str">
        <x:v>源行=sd!39；自动利润预览；分组倍率可改为用户折扣</x:v>
      </x:c>
    </x:row>
    <x:row r="71" ht="26.350000381469727" customHeight="1">
      <x:c r="A71" s="19" t="str">
        <x:v>CASE-PAIPU-R39-720-REQ-VID</x:v>
      </x:c>
      <x:c r="B71" s="19" t="str">
        <x:v>SALE-SD20-MINI-720-VID</x:v>
      </x:c>
      <x:c r="C71" s="19" t="str">
        <x:v>COST-PAIPU-R39-720-REQ-VID</x:v>
      </x:c>
      <x:c r="D71" s="28" t="n">
        <x:v>1</x:v>
      </x:c>
      <x:c r="E71" s="28" t="n">
        <x:v>3</x:v>
      </x:c>
      <x:c r="F71" s="28" t="n">
        <x:v>5</x:v>
      </x:c>
      <x:c r="G71" s="23" t="str">
        <x:f>IFERROR(INDEX('官方售价'!$C$5:$C$204,MATCH(B71,'官方售价'!$A$5:$A$204,0)),"")</x:f>
        <x:v>SKU-SD20-MINI-720</x:v>
      </x:c>
      <x:c r="H71" s="23" t="str">
        <x:f>IFERROR(INDEX('官方售价'!$D$5:$D$204,MATCH(B71,'官方售价'!$A$5:$A$204,0)),"")</x:f>
        <x:v>with_video</x:v>
      </x:c>
      <x:c r="I71" s="23" t="n">
        <x:f>IFERROR(INDEX('官方售价'!$H$5:$H$204,MATCH(B71,'官方售价'!$A$5:$A$204,0)),0)</x:f>
        <x:v>1280</x:v>
      </x:c>
      <x:c r="J71" s="23" t="n">
        <x:f>IFERROR(INDEX('官方售价'!$I$5:$I$204,MATCH(B71,'官方售价'!$A$5:$A$204,0)),0)</x:f>
        <x:v>720</x:v>
      </x:c>
      <x:c r="K71" s="23" t="n">
        <x:f>IFERROR(INDEX('官方售价'!$J$5:$J$204,MATCH(B71,'官方售价'!$A$5:$A$204,0)),0)</x:f>
        <x:v>24</x:v>
      </x:c>
      <x:c r="L71" s="25" t="n">
        <x:f>(E71+F71)*I71*J71*K71/'参数'!$B$7</x:f>
        <x:v>172800</x:v>
      </x:c>
      <x:c r="M71" s="23" t="str">
        <x:f>IFERROR(INDEX('渠道成本'!$F$5:$F$1004,MATCH(C71,'渠道成本'!$A$5:$A$1004,0)),"")</x:f>
        <x:v>per_request</x:v>
      </x:c>
      <x:c r="N71" s="26" t="n">
        <x:f>IFERROR(INDEX('渠道成本'!$U$5:$U$1004,MATCH(C71,'渠道成本'!$A$5:$A$1004,0)),0)</x:f>
        <x:v>0.3835616438356164</x:v>
      </x:c>
      <x:c r="O71" s="26" t="n">
        <x:f>IFERROR(L71/'参数'!$B$8*INDEX('官方售价'!$M$5:$M$204,MATCH(B71,'官方售价'!$A$5:$A$204,0)),0)</x:f>
        <x:v>0.3313972602739726</x:v>
      </x:c>
      <x:c r="P71" s="26" t="n">
        <x:f>IF(M71="per_token",L71/'参数'!$B$8*N71,IF(M71="per_duration",F71*N71,IF(M71="per_request",N71,0)))</x:f>
        <x:v>0.3835616438356164</x:v>
      </x:c>
      <x:c r="Q71" s="26" t="n">
        <x:f>O71*D71</x:f>
        <x:v>0.3313972602739726</x:v>
      </x:c>
      <x:c r="R71" s="26" t="n">
        <x:f>Q71-P71</x:f>
        <x:v>-0.05216438356164382</x:v>
      </x:c>
      <x:c r="S71" s="29" t="n">
        <x:f>IF(Q71=0,"",R71/Q71)</x:f>
        <x:v>-0.15740740740740738</x:v>
      </x:c>
      <x:c r="T71" s="23" t="str">
        <x:f>IF(OR(B71="",C71=""),"pending",IF(OR(O71&lt;0,P71&lt;0),"settlement_failed","settled"))</x:f>
        <x:v>settled</x:v>
      </x:c>
      <x:c r="U71" s="7" t="str">
        <x:v>源行=sd!39；自动利润预览；分组倍率可改为用户折扣</x:v>
      </x:c>
    </x:row>
    <x:row r="72" ht="26.350000381469727" customHeight="1">
      <x:c r="A72" s="19" t="str">
        <x:v>CASE-PAIPU-R40-480-REQ-NOV</x:v>
      </x:c>
      <x:c r="B72" s="19" t="str">
        <x:v>SALE-SD20-STD-480-NOV</x:v>
      </x:c>
      <x:c r="C72" s="19" t="str">
        <x:v>COST-PAIPU-R40-480-REQ-NOV</x:v>
      </x:c>
      <x:c r="D72" s="28" t="n">
        <x:v>1</x:v>
      </x:c>
      <x:c r="E72" s="28" t="n">
        <x:v>0</x:v>
      </x:c>
      <x:c r="F72" s="28" t="n">
        <x:v>5</x:v>
      </x:c>
      <x:c r="G72" s="23" t="str">
        <x:f>IFERROR(INDEX('官方售价'!$C$5:$C$204,MATCH(B72,'官方售价'!$A$5:$A$204,0)),"")</x:f>
        <x:v>SKU-SD20-STD-480</x:v>
      </x:c>
      <x:c r="H72" s="23" t="str">
        <x:f>IFERROR(INDEX('官方售价'!$D$5:$D$204,MATCH(B72,'官方售价'!$A$5:$A$204,0)),"")</x:f>
        <x:v>no_video</x:v>
      </x:c>
      <x:c r="I72" s="23" t="n">
        <x:f>IFERROR(INDEX('官方售价'!$H$5:$H$204,MATCH(B72,'官方售价'!$A$5:$A$204,0)),0)</x:f>
        <x:v>864</x:v>
      </x:c>
      <x:c r="J72" s="23" t="n">
        <x:f>IFERROR(INDEX('官方售价'!$I$5:$I$204,MATCH(B72,'官方售价'!$A$5:$A$204,0)),0)</x:f>
        <x:v>496</x:v>
      </x:c>
      <x:c r="K72" s="23" t="n">
        <x:f>IFERROR(INDEX('官方售价'!$J$5:$J$204,MATCH(B72,'官方售价'!$A$5:$A$204,0)),0)</x:f>
        <x:v>24</x:v>
      </x:c>
      <x:c r="L72" s="25" t="n">
        <x:f>(E72+F72)*I72*J72*K72/'参数'!$B$7</x:f>
        <x:v>50220</x:v>
      </x:c>
      <x:c r="M72" s="23" t="str">
        <x:f>IFERROR(INDEX('渠道成本'!$F$5:$F$1004,MATCH(C72,'渠道成本'!$A$5:$A$1004,0)),"")</x:f>
        <x:v>per_request</x:v>
      </x:c>
      <x:c r="N72" s="26" t="n">
        <x:f>IFERROR(INDEX('渠道成本'!$U$5:$U$1004,MATCH(C72,'渠道成本'!$A$5:$A$1004,0)),0)</x:f>
        <x:v>0.4794520547945205</x:v>
      </x:c>
      <x:c r="O72" s="26" t="n">
        <x:f>IFERROR(L72/'参数'!$B$8*INDEX('官方售价'!$M$5:$M$204,MATCH(B72,'官方售价'!$A$5:$A$204,0)),0)</x:f>
        <x:v>0.3164547945205479</x:v>
      </x:c>
      <x:c r="P72" s="26" t="n">
        <x:f>IF(M72="per_token",L72/'参数'!$B$8*N72,IF(M72="per_duration",F72*N72,IF(M72="per_request",N72,0)))</x:f>
        <x:v>0.4794520547945205</x:v>
      </x:c>
      <x:c r="Q72" s="26" t="n">
        <x:f>O72*D72</x:f>
        <x:v>0.3164547945205479</x:v>
      </x:c>
      <x:c r="R72" s="26" t="n">
        <x:f>Q72-P72</x:f>
        <x:v>-0.1629972602739726</x:v>
      </x:c>
      <x:c r="S72" s="29" t="n">
        <x:f>IF(Q72=0,"",R72/Q72)</x:f>
        <x:v>-0.5150728100704726</x:v>
      </x:c>
      <x:c r="T72" s="23" t="str">
        <x:f>IF(OR(B72="",C72=""),"pending",IF(OR(O72&lt;0,P72&lt;0),"settlement_failed","settled"))</x:f>
        <x:v>settled</x:v>
      </x:c>
      <x:c r="U72" s="7" t="str">
        <x:v>源行=sd!40；自动利润预览；分组倍率可改为用户折扣</x:v>
      </x:c>
    </x:row>
    <x:row r="73" ht="26.350000381469727" customHeight="1">
      <x:c r="A73" s="19" t="str">
        <x:v>CASE-PAIPU-R40-480-REQ-VID</x:v>
      </x:c>
      <x:c r="B73" s="19" t="str">
        <x:v>SALE-SD20-STD-480-VID</x:v>
      </x:c>
      <x:c r="C73" s="19" t="str">
        <x:v>COST-PAIPU-R40-480-REQ-VID</x:v>
      </x:c>
      <x:c r="D73" s="28" t="n">
        <x:v>1</x:v>
      </x:c>
      <x:c r="E73" s="28" t="n">
        <x:v>3</x:v>
      </x:c>
      <x:c r="F73" s="28" t="n">
        <x:v>5</x:v>
      </x:c>
      <x:c r="G73" s="23" t="str">
        <x:f>IFERROR(INDEX('官方售价'!$C$5:$C$204,MATCH(B73,'官方售价'!$A$5:$A$204,0)),"")</x:f>
        <x:v>SKU-SD20-STD-480</x:v>
      </x:c>
      <x:c r="H73" s="23" t="str">
        <x:f>IFERROR(INDEX('官方售价'!$D$5:$D$204,MATCH(B73,'官方售价'!$A$5:$A$204,0)),"")</x:f>
        <x:v>with_video</x:v>
      </x:c>
      <x:c r="I73" s="23" t="n">
        <x:f>IFERROR(INDEX('官方售价'!$H$5:$H$204,MATCH(B73,'官方售价'!$A$5:$A$204,0)),0)</x:f>
        <x:v>864</x:v>
      </x:c>
      <x:c r="J73" s="23" t="n">
        <x:f>IFERROR(INDEX('官方售价'!$I$5:$I$204,MATCH(B73,'官方售价'!$A$5:$A$204,0)),0)</x:f>
        <x:v>496</x:v>
      </x:c>
      <x:c r="K73" s="23" t="n">
        <x:f>IFERROR(INDEX('官方售价'!$J$5:$J$204,MATCH(B73,'官方售价'!$A$5:$A$204,0)),0)</x:f>
        <x:v>24</x:v>
      </x:c>
      <x:c r="L73" s="25" t="n">
        <x:f>(E73+F73)*I73*J73*K73/'参数'!$B$7</x:f>
        <x:v>80352</x:v>
      </x:c>
      <x:c r="M73" s="23" t="str">
        <x:f>IFERROR(INDEX('渠道成本'!$F$5:$F$1004,MATCH(C73,'渠道成本'!$A$5:$A$1004,0)),"")</x:f>
        <x:v>per_request</x:v>
      </x:c>
      <x:c r="N73" s="26" t="n">
        <x:f>IFERROR(INDEX('渠道成本'!$U$5:$U$1004,MATCH(C73,'渠道成本'!$A$5:$A$1004,0)),0)</x:f>
        <x:v>0.4794520547945205</x:v>
      </x:c>
      <x:c r="O73" s="26" t="n">
        <x:f>IFERROR(L73/'参数'!$B$8*INDEX('官方售价'!$M$5:$M$204,MATCH(B73,'官方售价'!$A$5:$A$204,0)),0)</x:f>
        <x:v>0.30819945205479454</x:v>
      </x:c>
      <x:c r="P73" s="26" t="n">
        <x:f>IF(M73="per_token",L73/'参数'!$B$8*N73,IF(M73="per_duration",F73*N73,IF(M73="per_request",N73,0)))</x:f>
        <x:v>0.4794520547945205</x:v>
      </x:c>
      <x:c r="Q73" s="26" t="n">
        <x:f>O73*D73</x:f>
        <x:v>0.30819945205479454</x:v>
      </x:c>
      <x:c r="R73" s="26" t="n">
        <x:f>Q73-P73</x:f>
        <x:v>-0.17125260273972598</x:v>
      </x:c>
      <x:c r="S73" s="29" t="n">
        <x:f>IF(Q73=0,"",R73/Q73)</x:f>
        <x:v>-0.5556551174830743</x:v>
      </x:c>
      <x:c r="T73" s="23" t="str">
        <x:f>IF(OR(B73="",C73=""),"pending",IF(OR(O73&lt;0,P73&lt;0),"settlement_failed","settled"))</x:f>
        <x:v>settled</x:v>
      </x:c>
      <x:c r="U73" s="7" t="str">
        <x:v>源行=sd!40；自动利润预览；分组倍率可改为用户折扣</x:v>
      </x:c>
    </x:row>
    <x:row r="74" ht="26.350000381469727" customHeight="1">
      <x:c r="A74" s="19" t="str">
        <x:v>CASE-PAIPU-R41-720-REQ-NOV</x:v>
      </x:c>
      <x:c r="B74" s="19" t="str">
        <x:v>SALE-SD20-STD-720-NOV</x:v>
      </x:c>
      <x:c r="C74" s="19" t="str">
        <x:v>COST-PAIPU-R41-720-REQ-NOV</x:v>
      </x:c>
      <x:c r="D74" s="28" t="n">
        <x:v>1</x:v>
      </x:c>
      <x:c r="E74" s="28" t="n">
        <x:v>0</x:v>
      </x:c>
      <x:c r="F74" s="28" t="n">
        <x:v>5</x:v>
      </x:c>
      <x:c r="G74" s="23" t="str">
        <x:f>IFERROR(INDEX('官方售价'!$C$5:$C$204,MATCH(B74,'官方售价'!$A$5:$A$204,0)),"")</x:f>
        <x:v>SKU-SD20-STD-720</x:v>
      </x:c>
      <x:c r="H74" s="23" t="str">
        <x:f>IFERROR(INDEX('官方售价'!$D$5:$D$204,MATCH(B74,'官方售价'!$A$5:$A$204,0)),"")</x:f>
        <x:v>no_video</x:v>
      </x:c>
      <x:c r="I74" s="23" t="n">
        <x:f>IFERROR(INDEX('官方售价'!$H$5:$H$204,MATCH(B74,'官方售价'!$A$5:$A$204,0)),0)</x:f>
        <x:v>1280</x:v>
      </x:c>
      <x:c r="J74" s="23" t="n">
        <x:f>IFERROR(INDEX('官方售价'!$I$5:$I$204,MATCH(B74,'官方售价'!$A$5:$A$204,0)),0)</x:f>
        <x:v>720</x:v>
      </x:c>
      <x:c r="K74" s="23" t="n">
        <x:f>IFERROR(INDEX('官方售价'!$J$5:$J$204,MATCH(B74,'官方售价'!$A$5:$A$204,0)),0)</x:f>
        <x:v>24</x:v>
      </x:c>
      <x:c r="L74" s="25" t="n">
        <x:f>(E74+F74)*I74*J74*K74/'参数'!$B$7</x:f>
        <x:v>108000</x:v>
      </x:c>
      <x:c r="M74" s="23" t="str">
        <x:f>IFERROR(INDEX('渠道成本'!$F$5:$F$1004,MATCH(C74,'渠道成本'!$A$5:$A$1004,0)),"")</x:f>
        <x:v>per_request</x:v>
      </x:c>
      <x:c r="N74" s="26" t="n">
        <x:f>IFERROR(INDEX('渠道成本'!$U$5:$U$1004,MATCH(C74,'渠道成本'!$A$5:$A$1004,0)),0)</x:f>
        <x:v>0.6164383561643836</x:v>
      </x:c>
      <x:c r="O74" s="26" t="n">
        <x:f>IFERROR(L74/'参数'!$B$8*INDEX('官方售价'!$M$5:$M$204,MATCH(B74,'官方售价'!$A$5:$A$204,0)),0)</x:f>
        <x:v>0.6805479452054793</x:v>
      </x:c>
      <x:c r="P74" s="26" t="n">
        <x:f>IF(M74="per_token",L74/'参数'!$B$8*N74,IF(M74="per_duration",F74*N74,IF(M74="per_request",N74,0)))</x:f>
        <x:v>0.6164383561643836</x:v>
      </x:c>
      <x:c r="Q74" s="26" t="n">
        <x:f>O74*D74</x:f>
        <x:v>0.6805479452054793</x:v>
      </x:c>
      <x:c r="R74" s="26" t="n">
        <x:f>Q74-P74</x:f>
        <x:v>0.06410958904109576</x:v>
      </x:c>
      <x:c r="S74" s="29" t="n">
        <x:f>IF(Q74=0,"",R74/Q74)</x:f>
        <x:v>0.09420289855072446</x:v>
      </x:c>
      <x:c r="T74" s="23" t="str">
        <x:f>IF(OR(B74="",C74=""),"pending",IF(OR(O74&lt;0,P74&lt;0),"settlement_failed","settled"))</x:f>
        <x:v>settled</x:v>
      </x:c>
      <x:c r="U74" s="7" t="str">
        <x:v>源行=sd!41；自动利润预览；分组倍率可改为用户折扣</x:v>
      </x:c>
    </x:row>
    <x:row r="75" ht="26.350000381469727" customHeight="1">
      <x:c r="A75" s="19" t="str">
        <x:v>CASE-PAIPU-R41-720-REQ-VID</x:v>
      </x:c>
      <x:c r="B75" s="19" t="str">
        <x:v>SALE-SD20-STD-720-VID</x:v>
      </x:c>
      <x:c r="C75" s="19" t="str">
        <x:v>COST-PAIPU-R41-720-REQ-VID</x:v>
      </x:c>
      <x:c r="D75" s="28" t="n">
        <x:v>1</x:v>
      </x:c>
      <x:c r="E75" s="28" t="n">
        <x:v>3</x:v>
      </x:c>
      <x:c r="F75" s="28" t="n">
        <x:v>5</x:v>
      </x:c>
      <x:c r="G75" s="23" t="str">
        <x:f>IFERROR(INDEX('官方售价'!$C$5:$C$204,MATCH(B75,'官方售价'!$A$5:$A$204,0)),"")</x:f>
        <x:v>SKU-SD20-STD-720</x:v>
      </x:c>
      <x:c r="H75" s="23" t="str">
        <x:f>IFERROR(INDEX('官方售价'!$D$5:$D$204,MATCH(B75,'官方售价'!$A$5:$A$204,0)),"")</x:f>
        <x:v>with_video</x:v>
      </x:c>
      <x:c r="I75" s="23" t="n">
        <x:f>IFERROR(INDEX('官方售价'!$H$5:$H$204,MATCH(B75,'官方售价'!$A$5:$A$204,0)),0)</x:f>
        <x:v>1280</x:v>
      </x:c>
      <x:c r="J75" s="23" t="n">
        <x:f>IFERROR(INDEX('官方售价'!$I$5:$I$204,MATCH(B75,'官方售价'!$A$5:$A$204,0)),0)</x:f>
        <x:v>720</x:v>
      </x:c>
      <x:c r="K75" s="23" t="n">
        <x:f>IFERROR(INDEX('官方售价'!$J$5:$J$204,MATCH(B75,'官方售价'!$A$5:$A$204,0)),0)</x:f>
        <x:v>24</x:v>
      </x:c>
      <x:c r="L75" s="25" t="n">
        <x:f>(E75+F75)*I75*J75*K75/'参数'!$B$7</x:f>
        <x:v>172800</x:v>
      </x:c>
      <x:c r="M75" s="23" t="str">
        <x:f>IFERROR(INDEX('渠道成本'!$F$5:$F$1004,MATCH(C75,'渠道成本'!$A$5:$A$1004,0)),"")</x:f>
        <x:v>per_request</x:v>
      </x:c>
      <x:c r="N75" s="26" t="n">
        <x:f>IFERROR(INDEX('渠道成本'!$U$5:$U$1004,MATCH(C75,'渠道成本'!$A$5:$A$1004,0)),0)</x:f>
        <x:v>0.6164383561643836</x:v>
      </x:c>
      <x:c r="O75" s="26" t="n">
        <x:f>IFERROR(L75/'参数'!$B$8*INDEX('官方售价'!$M$5:$M$204,MATCH(B75,'官方售价'!$A$5:$A$204,0)),0)</x:f>
        <x:v>0.6627945205479452</x:v>
      </x:c>
      <x:c r="P75" s="26" t="n">
        <x:f>IF(M75="per_token",L75/'参数'!$B$8*N75,IF(M75="per_duration",F75*N75,IF(M75="per_request",N75,0)))</x:f>
        <x:v>0.6164383561643836</x:v>
      </x:c>
      <x:c r="Q75" s="26" t="n">
        <x:f>O75*D75</x:f>
        <x:v>0.6627945205479452</x:v>
      </x:c>
      <x:c r="R75" s="26" t="n">
        <x:f>Q75-P75</x:f>
        <x:v>0.046356164383561604</x:v>
      </x:c>
      <x:c r="S75" s="29" t="n">
        <x:f>IF(Q75=0,"",R75/Q75)</x:f>
        <x:v>0.06994047619047614</x:v>
      </x:c>
      <x:c r="T75" s="23" t="str">
        <x:f>IF(OR(B75="",C75=""),"pending",IF(OR(O75&lt;0,P75&lt;0),"settlement_failed","settled"))</x:f>
        <x:v>settled</x:v>
      </x:c>
      <x:c r="U75" s="7" t="str">
        <x:v>源行=sd!41；自动利润预览；分组倍率可改为用户折扣</x:v>
      </x:c>
    </x:row>
    <x:row r="76" ht="26.350000381469727" customHeight="1">
      <x:c r="A76" s="19" t="str">
        <x:v>CASE-PAIPU-R42-1080-SEC-NOV</x:v>
      </x:c>
      <x:c r="B76" s="19" t="str">
        <x:v>SALE-SD20-STD-1080-NOV</x:v>
      </x:c>
      <x:c r="C76" s="19" t="str">
        <x:v>COST-PAIPU-R42-1080-SEC-NOV</x:v>
      </x:c>
      <x:c r="D76" s="28" t="n">
        <x:v>1</x:v>
      </x:c>
      <x:c r="E76" s="28" t="n">
        <x:v>0</x:v>
      </x:c>
      <x:c r="F76" s="28" t="n">
        <x:v>5</x:v>
      </x:c>
      <x:c r="G76" s="23" t="str">
        <x:f>IFERROR(INDEX('官方售价'!$C$5:$C$204,MATCH(B76,'官方售价'!$A$5:$A$204,0)),"")</x:f>
        <x:v>SKU-SD20-STD-1080</x:v>
      </x:c>
      <x:c r="H76" s="23" t="str">
        <x:f>IFERROR(INDEX('官方售价'!$D$5:$D$204,MATCH(B76,'官方售价'!$A$5:$A$204,0)),"")</x:f>
        <x:v>no_video</x:v>
      </x:c>
      <x:c r="I76" s="23" t="n">
        <x:f>IFERROR(INDEX('官方售价'!$H$5:$H$204,MATCH(B76,'官方售价'!$A$5:$A$204,0)),0)</x:f>
        <x:v>1920</x:v>
      </x:c>
      <x:c r="J76" s="23" t="n">
        <x:f>IFERROR(INDEX('官方售价'!$I$5:$I$204,MATCH(B76,'官方售价'!$A$5:$A$204,0)),0)</x:f>
        <x:v>1080</x:v>
      </x:c>
      <x:c r="K76" s="23" t="n">
        <x:f>IFERROR(INDEX('官方售价'!$J$5:$J$204,MATCH(B76,'官方售价'!$A$5:$A$204,0)),0)</x:f>
        <x:v>24</x:v>
      </x:c>
      <x:c r="L76" s="25" t="n">
        <x:f>(E76+F76)*I76*J76*K76/'参数'!$B$7</x:f>
        <x:v>243000</x:v>
      </x:c>
      <x:c r="M76" s="23" t="str">
        <x:f>IFERROR(INDEX('渠道成本'!$F$5:$F$1004,MATCH(C76,'渠道成本'!$A$5:$A$1004,0)),"")</x:f>
        <x:v>per_duration</x:v>
      </x:c>
      <x:c r="N76" s="26" t="n">
        <x:f>IFERROR(INDEX('渠道成本'!$U$5:$U$1004,MATCH(C76,'渠道成本'!$A$5:$A$1004,0)),0)</x:f>
        <x:v>0.07123287671232877</x:v>
      </x:c>
      <x:c r="O76" s="26" t="n">
        <x:f>IFERROR(L76/'参数'!$B$8*INDEX('官方售价'!$M$5:$M$204,MATCH(B76,'官方售价'!$A$5:$A$204,0)),0)</x:f>
        <x:v>1.697671232876712</x:v>
      </x:c>
      <x:c r="P76" s="26" t="n">
        <x:f>IF(M76="per_token",L76/'参数'!$B$8*N76,IF(M76="per_duration",F76*N76,IF(M76="per_request",N76,0)))</x:f>
        <x:v>0.3561643835616438</x:v>
      </x:c>
      <x:c r="Q76" s="26" t="n">
        <x:f>O76*D76</x:f>
        <x:v>1.697671232876712</x:v>
      </x:c>
      <x:c r="R76" s="26" t="n">
        <x:f>Q76-P76</x:f>
        <x:v>1.3415068493150684</x:v>
      </x:c>
      <x:c r="S76" s="29" t="n">
        <x:f>IF(Q76=0,"",R76/Q76)</x:f>
        <x:v>0.7902041475026225</x:v>
      </x:c>
      <x:c r="T76" s="23" t="str">
        <x:f>IF(OR(B76="",C76=""),"pending",IF(OR(O76&lt;0,P76&lt;0),"settlement_failed","settled"))</x:f>
        <x:v>settled</x:v>
      </x:c>
      <x:c r="U76" s="7" t="str">
        <x:v>源行=sd!42；自动利润预览；分组倍率可改为用户折扣</x:v>
      </x:c>
    </x:row>
    <x:row r="77" ht="26.350000381469727" customHeight="1">
      <x:c r="A77" s="19" t="str">
        <x:v>CASE-PAIPU-R42-1080-SEC-VID</x:v>
      </x:c>
      <x:c r="B77" s="19" t="str">
        <x:v>SALE-SD20-STD-1080-VID</x:v>
      </x:c>
      <x:c r="C77" s="19" t="str">
        <x:v>COST-PAIPU-R42-1080-SEC-VID</x:v>
      </x:c>
      <x:c r="D77" s="28" t="n">
        <x:v>1</x:v>
      </x:c>
      <x:c r="E77" s="28" t="n">
        <x:v>3</x:v>
      </x:c>
      <x:c r="F77" s="28" t="n">
        <x:v>5</x:v>
      </x:c>
      <x:c r="G77" s="23" t="str">
        <x:f>IFERROR(INDEX('官方售价'!$C$5:$C$204,MATCH(B77,'官方售价'!$A$5:$A$204,0)),"")</x:f>
        <x:v>SKU-SD20-STD-1080</x:v>
      </x:c>
      <x:c r="H77" s="23" t="str">
        <x:f>IFERROR(INDEX('官方售价'!$D$5:$D$204,MATCH(B77,'官方售价'!$A$5:$A$204,0)),"")</x:f>
        <x:v>with_video</x:v>
      </x:c>
      <x:c r="I77" s="23" t="n">
        <x:f>IFERROR(INDEX('官方售价'!$H$5:$H$204,MATCH(B77,'官方售价'!$A$5:$A$204,0)),0)</x:f>
        <x:v>1920</x:v>
      </x:c>
      <x:c r="J77" s="23" t="n">
        <x:f>IFERROR(INDEX('官方售价'!$I$5:$I$204,MATCH(B77,'官方售价'!$A$5:$A$204,0)),0)</x:f>
        <x:v>1080</x:v>
      </x:c>
      <x:c r="K77" s="23" t="n">
        <x:f>IFERROR(INDEX('官方售价'!$J$5:$J$204,MATCH(B77,'官方售价'!$A$5:$A$204,0)),0)</x:f>
        <x:v>24</x:v>
      </x:c>
      <x:c r="L77" s="25" t="n">
        <x:f>(E77+F77)*I77*J77*K77/'参数'!$B$7</x:f>
        <x:v>388800</x:v>
      </x:c>
      <x:c r="M77" s="23" t="str">
        <x:f>IFERROR(INDEX('渠道成本'!$F$5:$F$1004,MATCH(C77,'渠道成本'!$A$5:$A$1004,0)),"")</x:f>
        <x:v>per_duration</x:v>
      </x:c>
      <x:c r="N77" s="26" t="n">
        <x:f>IFERROR(INDEX('渠道成本'!$U$5:$U$1004,MATCH(C77,'渠道成本'!$A$5:$A$1004,0)),0)</x:f>
        <x:v>0.07123287671232877</x:v>
      </x:c>
      <x:c r="O77" s="26" t="n">
        <x:f>IFERROR(L77/'参数'!$B$8*INDEX('官方售价'!$M$5:$M$204,MATCH(B77,'官方售价'!$A$5:$A$204,0)),0)</x:f>
        <x:v>1.651068493150685</x:v>
      </x:c>
      <x:c r="P77" s="26" t="n">
        <x:f>IF(M77="per_token",L77/'参数'!$B$8*N77,IF(M77="per_duration",F77*N77,IF(M77="per_request",N77,0)))</x:f>
        <x:v>0.3561643835616438</x:v>
      </x:c>
      <x:c r="Q77" s="26" t="n">
        <x:f>O77*D77</x:f>
        <x:v>1.651068493150685</x:v>
      </x:c>
      <x:c r="R77" s="26" t="n">
        <x:f>Q77-P77</x:f>
        <x:v>1.2949041095890412</x:v>
      </x:c>
      <x:c r="S77" s="29" t="n">
        <x:f>IF(Q77=0,"",R77/Q77)</x:f>
        <x:v>0.7842824903756804</x:v>
      </x:c>
      <x:c r="T77" s="23" t="str">
        <x:f>IF(OR(B77="",C77=""),"pending",IF(OR(O77&lt;0,P77&lt;0),"settlement_failed","settled"))</x:f>
        <x:v>settled</x:v>
      </x:c>
      <x:c r="U77" s="7" t="str">
        <x:v>源行=sd!42；自动利润预览；分组倍率可改为用户折扣</x:v>
      </x:c>
    </x:row>
    <x:row r="78" ht="26.350000381469727" customHeight="1">
      <x:c r="A78" s="19" t="str">
        <x:v>CASE-PAIPU-R43-480-REQ-NOV</x:v>
      </x:c>
      <x:c r="B78" s="19" t="str">
        <x:v>SALE-SD20-FAST-480-NOV</x:v>
      </x:c>
      <x:c r="C78" s="19" t="str">
        <x:v>COST-PAIPU-R43-480-REQ-NOV</x:v>
      </x:c>
      <x:c r="D78" s="28" t="n">
        <x:v>1</x:v>
      </x:c>
      <x:c r="E78" s="28" t="n">
        <x:v>0</x:v>
      </x:c>
      <x:c r="F78" s="28" t="n">
        <x:v>5</x:v>
      </x:c>
      <x:c r="G78" s="23" t="str">
        <x:f>IFERROR(INDEX('官方售价'!$C$5:$C$204,MATCH(B78,'官方售价'!$A$5:$A$204,0)),"")</x:f>
        <x:v>SKU-SD20-FAST-480</x:v>
      </x:c>
      <x:c r="H78" s="23" t="str">
        <x:f>IFERROR(INDEX('官方售价'!$D$5:$D$204,MATCH(B78,'官方售价'!$A$5:$A$204,0)),"")</x:f>
        <x:v>no_video</x:v>
      </x:c>
      <x:c r="I78" s="23" t="n">
        <x:f>IFERROR(INDEX('官方售价'!$H$5:$H$204,MATCH(B78,'官方售价'!$A$5:$A$204,0)),0)</x:f>
        <x:v>864</x:v>
      </x:c>
      <x:c r="J78" s="23" t="n">
        <x:f>IFERROR(INDEX('官方售价'!$I$5:$I$204,MATCH(B78,'官方售价'!$A$5:$A$204,0)),0)</x:f>
        <x:v>496</x:v>
      </x:c>
      <x:c r="K78" s="23" t="n">
        <x:f>IFERROR(INDEX('官方售价'!$J$5:$J$204,MATCH(B78,'官方售价'!$A$5:$A$204,0)),0)</x:f>
        <x:v>24</x:v>
      </x:c>
      <x:c r="L78" s="25" t="n">
        <x:f>(E78+F78)*I78*J78*K78/'参数'!$B$7</x:f>
        <x:v>50220</x:v>
      </x:c>
      <x:c r="M78" s="23" t="str">
        <x:f>IFERROR(INDEX('渠道成本'!$F$5:$F$1004,MATCH(C78,'渠道成本'!$A$5:$A$1004,0)),"")</x:f>
        <x:v>per_request</x:v>
      </x:c>
      <x:c r="N78" s="26" t="n">
        <x:f>IFERROR(INDEX('渠道成本'!$U$5:$U$1004,MATCH(C78,'渠道成本'!$A$5:$A$1004,0)),0)</x:f>
        <x:v>0.3150684931506849</x:v>
      </x:c>
      <x:c r="O78" s="26" t="n">
        <x:f>IFERROR(L78/'参数'!$B$8*INDEX('官方售价'!$M$5:$M$204,MATCH(B78,'官方售价'!$A$5:$A$204,0)),0)</x:f>
        <x:v>0.2545397260273973</x:v>
      </x:c>
      <x:c r="P78" s="26" t="n">
        <x:f>IF(M78="per_token",L78/'参数'!$B$8*N78,IF(M78="per_duration",F78*N78,IF(M78="per_request",N78,0)))</x:f>
        <x:v>0.3150684931506849</x:v>
      </x:c>
      <x:c r="Q78" s="26" t="n">
        <x:f>O78*D78</x:f>
        <x:v>0.2545397260273973</x:v>
      </x:c>
      <x:c r="R78" s="26" t="n">
        <x:f>Q78-P78</x:f>
        <x:v>-0.06052876712328764</x:v>
      </x:c>
      <x:c r="S78" s="29" t="n">
        <x:f>IF(Q78=0,"",R78/Q78)</x:f>
        <x:v>-0.23779693672166777</x:v>
      </x:c>
      <x:c r="T78" s="23" t="str">
        <x:f>IF(OR(B78="",C78=""),"pending",IF(OR(O78&lt;0,P78&lt;0),"settlement_failed","settled"))</x:f>
        <x:v>settled</x:v>
      </x:c>
      <x:c r="U78" s="7" t="str">
        <x:v>源行=sd!43；自动利润预览；分组倍率可改为用户折扣</x:v>
      </x:c>
    </x:row>
    <x:row r="79" ht="26.350000381469727" customHeight="1">
      <x:c r="A79" s="19" t="str">
        <x:v>CASE-PAIPU-R43-480-REQ-VID</x:v>
      </x:c>
      <x:c r="B79" s="19" t="str">
        <x:v>SALE-SD20-FAST-480-VID</x:v>
      </x:c>
      <x:c r="C79" s="19" t="str">
        <x:v>COST-PAIPU-R43-480-REQ-VID</x:v>
      </x:c>
      <x:c r="D79" s="28" t="n">
        <x:v>1</x:v>
      </x:c>
      <x:c r="E79" s="28" t="n">
        <x:v>3</x:v>
      </x:c>
      <x:c r="F79" s="28" t="n">
        <x:v>5</x:v>
      </x:c>
      <x:c r="G79" s="23" t="str">
        <x:f>IFERROR(INDEX('官方售价'!$C$5:$C$204,MATCH(B79,'官方售价'!$A$5:$A$204,0)),"")</x:f>
        <x:v>SKU-SD20-FAST-480</x:v>
      </x:c>
      <x:c r="H79" s="23" t="str">
        <x:f>IFERROR(INDEX('官方售价'!$D$5:$D$204,MATCH(B79,'官方售价'!$A$5:$A$204,0)),"")</x:f>
        <x:v>with_video</x:v>
      </x:c>
      <x:c r="I79" s="23" t="n">
        <x:f>IFERROR(INDEX('官方售价'!$H$5:$H$204,MATCH(B79,'官方售价'!$A$5:$A$204,0)),0)</x:f>
        <x:v>864</x:v>
      </x:c>
      <x:c r="J79" s="23" t="n">
        <x:f>IFERROR(INDEX('官方售价'!$I$5:$I$204,MATCH(B79,'官方售价'!$A$5:$A$204,0)),0)</x:f>
        <x:v>496</x:v>
      </x:c>
      <x:c r="K79" s="23" t="n">
        <x:f>IFERROR(INDEX('官方售价'!$J$5:$J$204,MATCH(B79,'官方售价'!$A$5:$A$204,0)),0)</x:f>
        <x:v>24</x:v>
      </x:c>
      <x:c r="L79" s="25" t="n">
        <x:f>(E79+F79)*I79*J79*K79/'参数'!$B$7</x:f>
        <x:v>80352</x:v>
      </x:c>
      <x:c r="M79" s="23" t="str">
        <x:f>IFERROR(INDEX('渠道成本'!$F$5:$F$1004,MATCH(C79,'渠道成本'!$A$5:$A$1004,0)),"")</x:f>
        <x:v>per_request</x:v>
      </x:c>
      <x:c r="N79" s="26" t="n">
        <x:f>IFERROR(INDEX('渠道成本'!$U$5:$U$1004,MATCH(C79,'渠道成本'!$A$5:$A$1004,0)),0)</x:f>
        <x:v>0.3150684931506849</x:v>
      </x:c>
      <x:c r="O79" s="26" t="n">
        <x:f>IFERROR(L79/'参数'!$B$8*INDEX('官方售价'!$M$5:$M$204,MATCH(B79,'官方售价'!$A$5:$A$204,0)),0)</x:f>
        <x:v>0.24215671232876712</x:v>
      </x:c>
      <x:c r="P79" s="26" t="n">
        <x:f>IF(M79="per_token",L79/'参数'!$B$8*N79,IF(M79="per_duration",F79*N79,IF(M79="per_request",N79,0)))</x:f>
        <x:v>0.3150684931506849</x:v>
      </x:c>
      <x:c r="Q79" s="26" t="n">
        <x:f>O79*D79</x:f>
        <x:v>0.24215671232876712</x:v>
      </x:c>
      <x:c r="R79" s="26" t="n">
        <x:f>Q79-P79</x:f>
        <x:v>-0.0729117808219178</x:v>
      </x:c>
      <x:c r="S79" s="29" t="n">
        <x:f>IF(Q79=0,"",R79/Q79)</x:f>
        <x:v>-0.30109337098584404</x:v>
      </x:c>
      <x:c r="T79" s="23" t="str">
        <x:f>IF(OR(B79="",C79=""),"pending",IF(OR(O79&lt;0,P79&lt;0),"settlement_failed","settled"))</x:f>
        <x:v>settled</x:v>
      </x:c>
      <x:c r="U79" s="7" t="str">
        <x:v>源行=sd!43；自动利润预览；分组倍率可改为用户折扣</x:v>
      </x:c>
    </x:row>
    <x:row r="80" ht="26.350000381469727" customHeight="1">
      <x:c r="A80" s="19" t="str">
        <x:v>CASE-PAIPU-R44-720-REQ-NOV</x:v>
      </x:c>
      <x:c r="B80" s="19" t="str">
        <x:v>SALE-SD20-FAST-720-NOV</x:v>
      </x:c>
      <x:c r="C80" s="19" t="str">
        <x:v>COST-PAIPU-R44-720-REQ-NOV</x:v>
      </x:c>
      <x:c r="D80" s="28" t="n">
        <x:v>1</x:v>
      </x:c>
      <x:c r="E80" s="28" t="n">
        <x:v>0</x:v>
      </x:c>
      <x:c r="F80" s="28" t="n">
        <x:v>5</x:v>
      </x:c>
      <x:c r="G80" s="23" t="str">
        <x:f>IFERROR(INDEX('官方售价'!$C$5:$C$204,MATCH(B80,'官方售价'!$A$5:$A$204,0)),"")</x:f>
        <x:v>SKU-SD20-FAST-720</x:v>
      </x:c>
      <x:c r="H80" s="23" t="str">
        <x:f>IFERROR(INDEX('官方售价'!$D$5:$D$204,MATCH(B80,'官方售价'!$A$5:$A$204,0)),"")</x:f>
        <x:v>no_video</x:v>
      </x:c>
      <x:c r="I80" s="23" t="n">
        <x:f>IFERROR(INDEX('官方售价'!$H$5:$H$204,MATCH(B80,'官方售价'!$A$5:$A$204,0)),0)</x:f>
        <x:v>1280</x:v>
      </x:c>
      <x:c r="J80" s="23" t="n">
        <x:f>IFERROR(INDEX('官方售价'!$I$5:$I$204,MATCH(B80,'官方售价'!$A$5:$A$204,0)),0)</x:f>
        <x:v>720</x:v>
      </x:c>
      <x:c r="K80" s="23" t="n">
        <x:f>IFERROR(INDEX('官方售价'!$J$5:$J$204,MATCH(B80,'官方售价'!$A$5:$A$204,0)),0)</x:f>
        <x:v>24</x:v>
      </x:c>
      <x:c r="L80" s="25" t="n">
        <x:f>(E80+F80)*I80*J80*K80/'参数'!$B$7</x:f>
        <x:v>108000</x:v>
      </x:c>
      <x:c r="M80" s="23" t="str">
        <x:f>IFERROR(INDEX('渠道成本'!$F$5:$F$1004,MATCH(C80,'渠道成本'!$A$5:$A$1004,0)),"")</x:f>
        <x:v>per_request</x:v>
      </x:c>
      <x:c r="N80" s="26" t="n">
        <x:f>IFERROR(INDEX('渠道成本'!$U$5:$U$1004,MATCH(C80,'渠道成本'!$A$5:$A$1004,0)),0)</x:f>
        <x:v>0.4520547945205479</x:v>
      </x:c>
      <x:c r="O80" s="26" t="n">
        <x:f>IFERROR(L80/'参数'!$B$8*INDEX('官方售价'!$M$5:$M$204,MATCH(B80,'官方售价'!$A$5:$A$204,0)),0)</x:f>
        <x:v>0.5473972602739726</x:v>
      </x:c>
      <x:c r="P80" s="26" t="n">
        <x:f>IF(M80="per_token",L80/'参数'!$B$8*N80,IF(M80="per_duration",F80*N80,IF(M80="per_request",N80,0)))</x:f>
        <x:v>0.4520547945205479</x:v>
      </x:c>
      <x:c r="Q80" s="26" t="n">
        <x:f>O80*D80</x:f>
        <x:v>0.5473972602739726</x:v>
      </x:c>
      <x:c r="R80" s="26" t="n">
        <x:f>Q80-P80</x:f>
        <x:v>0.0953424657534247</x:v>
      </x:c>
      <x:c r="S80" s="29" t="n">
        <x:f>IF(Q80=0,"",R80/Q80)</x:f>
        <x:v>0.17417417417417425</x:v>
      </x:c>
      <x:c r="T80" s="23" t="str">
        <x:f>IF(OR(B80="",C80=""),"pending",IF(OR(O80&lt;0,P80&lt;0),"settlement_failed","settled"))</x:f>
        <x:v>settled</x:v>
      </x:c>
      <x:c r="U80" s="7" t="str">
        <x:v>源行=sd!44；自动利润预览；分组倍率可改为用户折扣</x:v>
      </x:c>
    </x:row>
    <x:row r="81" ht="26.350000381469727" customHeight="1">
      <x:c r="A81" s="19" t="str">
        <x:v>CASE-PAIPU-R44-720-REQ-VID</x:v>
      </x:c>
      <x:c r="B81" s="19" t="str">
        <x:v>SALE-SD20-FAST-720-VID</x:v>
      </x:c>
      <x:c r="C81" s="19" t="str">
        <x:v>COST-PAIPU-R44-720-REQ-VID</x:v>
      </x:c>
      <x:c r="D81" s="28" t="n">
        <x:v>1</x:v>
      </x:c>
      <x:c r="E81" s="28" t="n">
        <x:v>3</x:v>
      </x:c>
      <x:c r="F81" s="28" t="n">
        <x:v>5</x:v>
      </x:c>
      <x:c r="G81" s="23" t="str">
        <x:f>IFERROR(INDEX('官方售价'!$C$5:$C$204,MATCH(B81,'官方售价'!$A$5:$A$204,0)),"")</x:f>
        <x:v>SKU-SD20-FAST-720</x:v>
      </x:c>
      <x:c r="H81" s="23" t="str">
        <x:f>IFERROR(INDEX('官方售价'!$D$5:$D$204,MATCH(B81,'官方售价'!$A$5:$A$204,0)),"")</x:f>
        <x:v>with_video</x:v>
      </x:c>
      <x:c r="I81" s="23" t="n">
        <x:f>IFERROR(INDEX('官方售价'!$H$5:$H$204,MATCH(B81,'官方售价'!$A$5:$A$204,0)),0)</x:f>
        <x:v>1280</x:v>
      </x:c>
      <x:c r="J81" s="23" t="n">
        <x:f>IFERROR(INDEX('官方售价'!$I$5:$I$204,MATCH(B81,'官方售价'!$A$5:$A$204,0)),0)</x:f>
        <x:v>720</x:v>
      </x:c>
      <x:c r="K81" s="23" t="n">
        <x:f>IFERROR(INDEX('官方售价'!$J$5:$J$204,MATCH(B81,'官方售价'!$A$5:$A$204,0)),0)</x:f>
        <x:v>24</x:v>
      </x:c>
      <x:c r="L81" s="25" t="n">
        <x:f>(E81+F81)*I81*J81*K81/'参数'!$B$7</x:f>
        <x:v>172800</x:v>
      </x:c>
      <x:c r="M81" s="23" t="str">
        <x:f>IFERROR(INDEX('渠道成本'!$F$5:$F$1004,MATCH(C81,'渠道成本'!$A$5:$A$1004,0)),"")</x:f>
        <x:v>per_request</x:v>
      </x:c>
      <x:c r="N81" s="26" t="n">
        <x:f>IFERROR(INDEX('渠道成本'!$U$5:$U$1004,MATCH(C81,'渠道成本'!$A$5:$A$1004,0)),0)</x:f>
        <x:v>0.4520547945205479</x:v>
      </x:c>
      <x:c r="O81" s="26" t="n">
        <x:f>IFERROR(L81/'参数'!$B$8*INDEX('官方售价'!$M$5:$M$204,MATCH(B81,'官方售价'!$A$5:$A$204,0)),0)</x:f>
        <x:v>0.5207671232876712</x:v>
      </x:c>
      <x:c r="P81" s="26" t="n">
        <x:f>IF(M81="per_token",L81/'参数'!$B$8*N81,IF(M81="per_duration",F81*N81,IF(M81="per_request",N81,0)))</x:f>
        <x:v>0.4520547945205479</x:v>
      </x:c>
      <x:c r="Q81" s="26" t="n">
        <x:f>O81*D81</x:f>
        <x:v>0.5207671232876712</x:v>
      </x:c>
      <x:c r="R81" s="26" t="n">
        <x:f>Q81-P81</x:f>
        <x:v>0.06871232876712324</x:v>
      </x:c>
      <x:c r="S81" s="29" t="n">
        <x:f>IF(Q81=0,"",R81/Q81)</x:f>
        <x:v>0.13194444444444436</x:v>
      </x:c>
      <x:c r="T81" s="23" t="str">
        <x:f>IF(OR(B81="",C81=""),"pending",IF(OR(O81&lt;0,P81&lt;0),"settlement_failed","settled"))</x:f>
        <x:v>settled</x:v>
      </x:c>
      <x:c r="U81" s="7" t="str">
        <x:v>源行=sd!44；自动利润预览；分组倍率可改为用户折扣</x:v>
      </x:c>
    </x:row>
    <x:row r="82" ht="26.350000381469727" customHeight="1">
      <x:c r="A82" s="19" t="str">
        <x:v>CASE-PAIPU-R45-720-REQ-NOV</x:v>
      </x:c>
      <x:c r="B82" s="19" t="str">
        <x:v>SALE-SD20-STD-720-NOV</x:v>
      </x:c>
      <x:c r="C82" s="19" t="str">
        <x:v>COST-PAIPU-R45-720-REQ-NOV</x:v>
      </x:c>
      <x:c r="D82" s="28" t="n">
        <x:v>1</x:v>
      </x:c>
      <x:c r="E82" s="28" t="n">
        <x:v>0</x:v>
      </x:c>
      <x:c r="F82" s="28" t="n">
        <x:v>5</x:v>
      </x:c>
      <x:c r="G82" s="23" t="str">
        <x:f>IFERROR(INDEX('官方售价'!$C$5:$C$204,MATCH(B82,'官方售价'!$A$5:$A$204,0)),"")</x:f>
        <x:v>SKU-SD20-STD-720</x:v>
      </x:c>
      <x:c r="H82" s="23" t="str">
        <x:f>IFERROR(INDEX('官方售价'!$D$5:$D$204,MATCH(B82,'官方售价'!$A$5:$A$204,0)),"")</x:f>
        <x:v>no_video</x:v>
      </x:c>
      <x:c r="I82" s="23" t="n">
        <x:f>IFERROR(INDEX('官方售价'!$H$5:$H$204,MATCH(B82,'官方售价'!$A$5:$A$204,0)),0)</x:f>
        <x:v>1280</x:v>
      </x:c>
      <x:c r="J82" s="23" t="n">
        <x:f>IFERROR(INDEX('官方售价'!$I$5:$I$204,MATCH(B82,'官方售价'!$A$5:$A$204,0)),0)</x:f>
        <x:v>720</x:v>
      </x:c>
      <x:c r="K82" s="23" t="n">
        <x:f>IFERROR(INDEX('官方售价'!$J$5:$J$204,MATCH(B82,'官方售价'!$A$5:$A$204,0)),0)</x:f>
        <x:v>24</x:v>
      </x:c>
      <x:c r="L82" s="25" t="n">
        <x:f>(E82+F82)*I82*J82*K82/'参数'!$B$7</x:f>
        <x:v>108000</x:v>
      </x:c>
      <x:c r="M82" s="23" t="str">
        <x:f>IFERROR(INDEX('渠道成本'!$F$5:$F$1004,MATCH(C82,'渠道成本'!$A$5:$A$1004,0)),"")</x:f>
        <x:v>per_request</x:v>
      </x:c>
      <x:c r="N82" s="26" t="n">
        <x:f>IFERROR(INDEX('渠道成本'!$U$5:$U$1004,MATCH(C82,'渠道成本'!$A$5:$A$1004,0)),0)</x:f>
        <x:v>0.547945205479452</x:v>
      </x:c>
      <x:c r="O82" s="26" t="n">
        <x:f>IFERROR(L82/'参数'!$B$8*INDEX('官方售价'!$M$5:$M$204,MATCH(B82,'官方售价'!$A$5:$A$204,0)),0)</x:f>
        <x:v>0.6805479452054793</x:v>
      </x:c>
      <x:c r="P82" s="26" t="n">
        <x:f>IF(M82="per_token",L82/'参数'!$B$8*N82,IF(M82="per_duration",F82*N82,IF(M82="per_request",N82,0)))</x:f>
        <x:v>0.547945205479452</x:v>
      </x:c>
      <x:c r="Q82" s="26" t="n">
        <x:f>O82*D82</x:f>
        <x:v>0.6805479452054793</x:v>
      </x:c>
      <x:c r="R82" s="26" t="n">
        <x:f>Q82-P82</x:f>
        <x:v>0.13260273972602732</x:v>
      </x:c>
      <x:c r="S82" s="29" t="n">
        <x:f>IF(Q82=0,"",R82/Q82)</x:f>
        <x:v>0.19484702093397738</x:v>
      </x:c>
      <x:c r="T82" s="23" t="str">
        <x:f>IF(OR(B82="",C82=""),"pending",IF(OR(O82&lt;0,P82&lt;0),"settlement_failed","settled"))</x:f>
        <x:v>settled</x:v>
      </x:c>
      <x:c r="U82" s="7" t="str">
        <x:v>源行=sd!45；自动利润预览；分组倍率可改为用户折扣</x:v>
      </x:c>
    </x:row>
    <x:row r="83" ht="26.350000381469727" customHeight="1">
      <x:c r="A83" s="19" t="str">
        <x:v>CASE-PAIPU-R45-720-REQ-VID</x:v>
      </x:c>
      <x:c r="B83" s="19" t="str">
        <x:v>SALE-SD20-STD-720-VID</x:v>
      </x:c>
      <x:c r="C83" s="19" t="str">
        <x:v>COST-PAIPU-R45-720-REQ-VID</x:v>
      </x:c>
      <x:c r="D83" s="28" t="n">
        <x:v>1</x:v>
      </x:c>
      <x:c r="E83" s="28" t="n">
        <x:v>3</x:v>
      </x:c>
      <x:c r="F83" s="28" t="n">
        <x:v>5</x:v>
      </x:c>
      <x:c r="G83" s="23" t="str">
        <x:f>IFERROR(INDEX('官方售价'!$C$5:$C$204,MATCH(B83,'官方售价'!$A$5:$A$204,0)),"")</x:f>
        <x:v>SKU-SD20-STD-720</x:v>
      </x:c>
      <x:c r="H83" s="23" t="str">
        <x:f>IFERROR(INDEX('官方售价'!$D$5:$D$204,MATCH(B83,'官方售价'!$A$5:$A$204,0)),"")</x:f>
        <x:v>with_video</x:v>
      </x:c>
      <x:c r="I83" s="23" t="n">
        <x:f>IFERROR(INDEX('官方售价'!$H$5:$H$204,MATCH(B83,'官方售价'!$A$5:$A$204,0)),0)</x:f>
        <x:v>1280</x:v>
      </x:c>
      <x:c r="J83" s="23" t="n">
        <x:f>IFERROR(INDEX('官方售价'!$I$5:$I$204,MATCH(B83,'官方售价'!$A$5:$A$204,0)),0)</x:f>
        <x:v>720</x:v>
      </x:c>
      <x:c r="K83" s="23" t="n">
        <x:f>IFERROR(INDEX('官方售价'!$J$5:$J$204,MATCH(B83,'官方售价'!$A$5:$A$204,0)),0)</x:f>
        <x:v>24</x:v>
      </x:c>
      <x:c r="L83" s="25" t="n">
        <x:f>(E83+F83)*I83*J83*K83/'参数'!$B$7</x:f>
        <x:v>172800</x:v>
      </x:c>
      <x:c r="M83" s="23" t="str">
        <x:f>IFERROR(INDEX('渠道成本'!$F$5:$F$1004,MATCH(C83,'渠道成本'!$A$5:$A$1004,0)),"")</x:f>
        <x:v>per_request</x:v>
      </x:c>
      <x:c r="N83" s="26" t="n">
        <x:f>IFERROR(INDEX('渠道成本'!$U$5:$U$1004,MATCH(C83,'渠道成本'!$A$5:$A$1004,0)),0)</x:f>
        <x:v>0.547945205479452</x:v>
      </x:c>
      <x:c r="O83" s="26" t="n">
        <x:f>IFERROR(L83/'参数'!$B$8*INDEX('官方售价'!$M$5:$M$204,MATCH(B83,'官方售价'!$A$5:$A$204,0)),0)</x:f>
        <x:v>0.6627945205479452</x:v>
      </x:c>
      <x:c r="P83" s="26" t="n">
        <x:f>IF(M83="per_token",L83/'参数'!$B$8*N83,IF(M83="per_duration",F83*N83,IF(M83="per_request",N83,0)))</x:f>
        <x:v>0.547945205479452</x:v>
      </x:c>
      <x:c r="Q83" s="26" t="n">
        <x:f>O83*D83</x:f>
        <x:v>0.6627945205479452</x:v>
      </x:c>
      <x:c r="R83" s="26" t="n">
        <x:f>Q83-P83</x:f>
        <x:v>0.11484931506849316</x:v>
      </x:c>
      <x:c r="S83" s="29" t="n">
        <x:f>IF(Q83=0,"",R83/Q83)</x:f>
        <x:v>0.1732804232804233</x:v>
      </x:c>
      <x:c r="T83" s="23" t="str">
        <x:f>IF(OR(B83="",C83=""),"pending",IF(OR(O83&lt;0,P83&lt;0),"settlement_failed","settled"))</x:f>
        <x:v>settled</x:v>
      </x:c>
      <x:c r="U83" s="7" t="str">
        <x:v>源行=sd!45；自动利润预览；分组倍率可改为用户折扣</x:v>
      </x:c>
    </x:row>
    <x:row r="84" ht="26.350000381469727" customHeight="1">
      <x:c r="A84" s="19" t="str">
        <x:v>CASE-LUCEN-R47-720-SEC-NOV</x:v>
      </x:c>
      <x:c r="B84" s="19" t="str">
        <x:v>SALE-SD20-STD-720-NOV</x:v>
      </x:c>
      <x:c r="C84" s="19" t="str">
        <x:v>COST-LUCEN-R47-720-SEC-NOV</x:v>
      </x:c>
      <x:c r="D84" s="28" t="n">
        <x:v>1</x:v>
      </x:c>
      <x:c r="E84" s="28" t="n">
        <x:v>0</x:v>
      </x:c>
      <x:c r="F84" s="28" t="n">
        <x:v>5</x:v>
      </x:c>
      <x:c r="G84" s="23" t="str">
        <x:f>IFERROR(INDEX('官方售价'!$C$5:$C$204,MATCH(B84,'官方售价'!$A$5:$A$204,0)),"")</x:f>
        <x:v>SKU-SD20-STD-720</x:v>
      </x:c>
      <x:c r="H84" s="23" t="str">
        <x:f>IFERROR(INDEX('官方售价'!$D$5:$D$204,MATCH(B84,'官方售价'!$A$5:$A$204,0)),"")</x:f>
        <x:v>no_video</x:v>
      </x:c>
      <x:c r="I84" s="23" t="n">
        <x:f>IFERROR(INDEX('官方售价'!$H$5:$H$204,MATCH(B84,'官方售价'!$A$5:$A$204,0)),0)</x:f>
        <x:v>1280</x:v>
      </x:c>
      <x:c r="J84" s="23" t="n">
        <x:f>IFERROR(INDEX('官方售价'!$I$5:$I$204,MATCH(B84,'官方售价'!$A$5:$A$204,0)),0)</x:f>
        <x:v>720</x:v>
      </x:c>
      <x:c r="K84" s="23" t="n">
        <x:f>IFERROR(INDEX('官方售价'!$J$5:$J$204,MATCH(B84,'官方售价'!$A$5:$A$204,0)),0)</x:f>
        <x:v>24</x:v>
      </x:c>
      <x:c r="L84" s="25" t="n">
        <x:f>(E84+F84)*I84*J84*K84/'参数'!$B$7</x:f>
        <x:v>108000</x:v>
      </x:c>
      <x:c r="M84" s="23" t="str">
        <x:f>IFERROR(INDEX('渠道成本'!$F$5:$F$1004,MATCH(C84,'渠道成本'!$A$5:$A$1004,0)),"")</x:f>
        <x:v>per_duration</x:v>
      </x:c>
      <x:c r="N84" s="26" t="n">
        <x:f>IFERROR(INDEX('渠道成本'!$U$5:$U$1004,MATCH(C84,'渠道成本'!$A$5:$A$1004,0)),0)</x:f>
        <x:v>0.136986301369863</x:v>
      </x:c>
      <x:c r="O84" s="26" t="n">
        <x:f>IFERROR(L84/'参数'!$B$8*INDEX('官方售价'!$M$5:$M$204,MATCH(B84,'官方售价'!$A$5:$A$204,0)),0)</x:f>
        <x:v>0.6805479452054793</x:v>
      </x:c>
      <x:c r="P84" s="26" t="n">
        <x:f>IF(M84="per_token",L84/'参数'!$B$8*N84,IF(M84="per_duration",F84*N84,IF(M84="per_request",N84,0)))</x:f>
        <x:v>0.684931506849315</x:v>
      </x:c>
      <x:c r="Q84" s="26" t="n">
        <x:f>O84*D84</x:f>
        <x:v>0.6805479452054793</x:v>
      </x:c>
      <x:c r="R84" s="26" t="n">
        <x:f>Q84-P84</x:f>
        <x:v>-0.004383561643835687</x:v>
      </x:c>
      <x:c r="S84" s="29" t="n">
        <x:f>IF(Q84=0,"",R84/Q84)</x:f>
        <x:v>-0.006441223832528285</x:v>
      </x:c>
      <x:c r="T84" s="23" t="str">
        <x:f>IF(OR(B84="",C84=""),"pending",IF(OR(O84&lt;0,P84&lt;0),"settlement_failed","settled"))</x:f>
        <x:v>settled</x:v>
      </x:c>
      <x:c r="U84" s="7" t="str">
        <x:v>源行=sd!47；自动利润预览；分组倍率可改为用户折扣</x:v>
      </x:c>
    </x:row>
    <x:row r="85" ht="26.350000381469727" customHeight="1">
      <x:c r="A85" s="19" t="str">
        <x:v>CASE-LUCEN-R47-720-SEC-VID</x:v>
      </x:c>
      <x:c r="B85" s="19" t="str">
        <x:v>SALE-SD20-STD-720-VID</x:v>
      </x:c>
      <x:c r="C85" s="19" t="str">
        <x:v>COST-LUCEN-R47-720-SEC-VID</x:v>
      </x:c>
      <x:c r="D85" s="28" t="n">
        <x:v>1</x:v>
      </x:c>
      <x:c r="E85" s="28" t="n">
        <x:v>3</x:v>
      </x:c>
      <x:c r="F85" s="28" t="n">
        <x:v>5</x:v>
      </x:c>
      <x:c r="G85" s="23" t="str">
        <x:f>IFERROR(INDEX('官方售价'!$C$5:$C$204,MATCH(B85,'官方售价'!$A$5:$A$204,0)),"")</x:f>
        <x:v>SKU-SD20-STD-720</x:v>
      </x:c>
      <x:c r="H85" s="23" t="str">
        <x:f>IFERROR(INDEX('官方售价'!$D$5:$D$204,MATCH(B85,'官方售价'!$A$5:$A$204,0)),"")</x:f>
        <x:v>with_video</x:v>
      </x:c>
      <x:c r="I85" s="23" t="n">
        <x:f>IFERROR(INDEX('官方售价'!$H$5:$H$204,MATCH(B85,'官方售价'!$A$5:$A$204,0)),0)</x:f>
        <x:v>1280</x:v>
      </x:c>
      <x:c r="J85" s="23" t="n">
        <x:f>IFERROR(INDEX('官方售价'!$I$5:$I$204,MATCH(B85,'官方售价'!$A$5:$A$204,0)),0)</x:f>
        <x:v>720</x:v>
      </x:c>
      <x:c r="K85" s="23" t="n">
        <x:f>IFERROR(INDEX('官方售价'!$J$5:$J$204,MATCH(B85,'官方售价'!$A$5:$A$204,0)),0)</x:f>
        <x:v>24</x:v>
      </x:c>
      <x:c r="L85" s="25" t="n">
        <x:f>(E85+F85)*I85*J85*K85/'参数'!$B$7</x:f>
        <x:v>172800</x:v>
      </x:c>
      <x:c r="M85" s="23" t="str">
        <x:f>IFERROR(INDEX('渠道成本'!$F$5:$F$1004,MATCH(C85,'渠道成本'!$A$5:$A$1004,0)),"")</x:f>
        <x:v>per_duration</x:v>
      </x:c>
      <x:c r="N85" s="26" t="n">
        <x:f>IFERROR(INDEX('渠道成本'!$U$5:$U$1004,MATCH(C85,'渠道成本'!$A$5:$A$1004,0)),0)</x:f>
        <x:v>0.136986301369863</x:v>
      </x:c>
      <x:c r="O85" s="26" t="n">
        <x:f>IFERROR(L85/'参数'!$B$8*INDEX('官方售价'!$M$5:$M$204,MATCH(B85,'官方售价'!$A$5:$A$204,0)),0)</x:f>
        <x:v>0.6627945205479452</x:v>
      </x:c>
      <x:c r="P85" s="26" t="n">
        <x:f>IF(M85="per_token",L85/'参数'!$B$8*N85,IF(M85="per_duration",F85*N85,IF(M85="per_request",N85,0)))</x:f>
        <x:v>0.684931506849315</x:v>
      </x:c>
      <x:c r="Q85" s="26" t="n">
        <x:f>O85*D85</x:f>
        <x:v>0.6627945205479452</x:v>
      </x:c>
      <x:c r="R85" s="26" t="n">
        <x:f>Q85-P85</x:f>
        <x:v>-0.022136986301369843</x:v>
      </x:c>
      <x:c r="S85" s="29" t="n">
        <x:f>IF(Q85=0,"",R85/Q85)</x:f>
        <x:v>-0.03339947089947087</x:v>
      </x:c>
      <x:c r="T85" s="23" t="str">
        <x:f>IF(OR(B85="",C85=""),"pending",IF(OR(O85&lt;0,P85&lt;0),"settlement_failed","settled"))</x:f>
        <x:v>settled</x:v>
      </x:c>
      <x:c r="U85" s="7" t="str">
        <x:v>源行=sd!47；自动利润预览；分组倍率可改为用户折扣</x:v>
      </x:c>
    </x:row>
    <x:row r="86" ht="26.350000381469727" customHeight="1">
      <x:c r="A86" s="19" t="str">
        <x:v>CASE-LUCEN-R48-720-SEC-NOV</x:v>
      </x:c>
      <x:c r="B86" s="19" t="str">
        <x:v>SALE-SD20-STD-720-NOV</x:v>
      </x:c>
      <x:c r="C86" s="19" t="str">
        <x:v>COST-LUCEN-R48-720-SEC-NOV</x:v>
      </x:c>
      <x:c r="D86" s="28" t="n">
        <x:v>1</x:v>
      </x:c>
      <x:c r="E86" s="28" t="n">
        <x:v>0</x:v>
      </x:c>
      <x:c r="F86" s="28" t="n">
        <x:v>10</x:v>
      </x:c>
      <x:c r="G86" s="23" t="str">
        <x:f>IFERROR(INDEX('官方售价'!$C$5:$C$204,MATCH(B86,'官方售价'!$A$5:$A$204,0)),"")</x:f>
        <x:v>SKU-SD20-STD-720</x:v>
      </x:c>
      <x:c r="H86" s="23" t="str">
        <x:f>IFERROR(INDEX('官方售价'!$D$5:$D$204,MATCH(B86,'官方售价'!$A$5:$A$204,0)),"")</x:f>
        <x:v>no_video</x:v>
      </x:c>
      <x:c r="I86" s="23" t="n">
        <x:f>IFERROR(INDEX('官方售价'!$H$5:$H$204,MATCH(B86,'官方售价'!$A$5:$A$204,0)),0)</x:f>
        <x:v>1280</x:v>
      </x:c>
      <x:c r="J86" s="23" t="n">
        <x:f>IFERROR(INDEX('官方售价'!$I$5:$I$204,MATCH(B86,'官方售价'!$A$5:$A$204,0)),0)</x:f>
        <x:v>720</x:v>
      </x:c>
      <x:c r="K86" s="23" t="n">
        <x:f>IFERROR(INDEX('官方售价'!$J$5:$J$204,MATCH(B86,'官方售价'!$A$5:$A$204,0)),0)</x:f>
        <x:v>24</x:v>
      </x:c>
      <x:c r="L86" s="25" t="n">
        <x:f>(E86+F86)*I86*J86*K86/'参数'!$B$7</x:f>
        <x:v>216000</x:v>
      </x:c>
      <x:c r="M86" s="23" t="str">
        <x:f>IFERROR(INDEX('渠道成本'!$F$5:$F$1004,MATCH(C86,'渠道成本'!$A$5:$A$1004,0)),"")</x:f>
        <x:v>per_duration</x:v>
      </x:c>
      <x:c r="N86" s="26" t="n">
        <x:f>IFERROR(INDEX('渠道成本'!$U$5:$U$1004,MATCH(C86,'渠道成本'!$A$5:$A$1004,0)),0)</x:f>
        <x:v>0.136986301369863</x:v>
      </x:c>
      <x:c r="O86" s="26" t="n">
        <x:f>IFERROR(L86/'参数'!$B$8*INDEX('官方售价'!$M$5:$M$204,MATCH(B86,'官方售价'!$A$5:$A$204,0)),0)</x:f>
        <x:v>1.3610958904109587</x:v>
      </x:c>
      <x:c r="P86" s="26" t="n">
        <x:f>IF(M86="per_token",L86/'参数'!$B$8*N86,IF(M86="per_duration",F86*N86,IF(M86="per_request",N86,0)))</x:f>
        <x:v>1.36986301369863</x:v>
      </x:c>
      <x:c r="Q86" s="26" t="n">
        <x:f>O86*D86</x:f>
        <x:v>1.3610958904109587</x:v>
      </x:c>
      <x:c r="R86" s="26" t="n">
        <x:f>Q86-P86</x:f>
        <x:v>-0.008767123287671374</x:v>
      </x:c>
      <x:c r="S86" s="29" t="n">
        <x:f>IF(Q86=0,"",R86/Q86)</x:f>
        <x:v>-0.006441223832528285</x:v>
      </x:c>
      <x:c r="T86" s="23" t="str">
        <x:f>IF(OR(B86="",C86=""),"pending",IF(OR(O86&lt;0,P86&lt;0),"settlement_failed","settled"))</x:f>
        <x:v>settled</x:v>
      </x:c>
      <x:c r="U86" s="7" t="str">
        <x:v>源行=sd!48；自动利润预览；分组倍率可改为用户折扣</x:v>
      </x:c>
    </x:row>
    <x:row r="87" ht="26.350000381469727" customHeight="1">
      <x:c r="A87" s="19" t="str">
        <x:v>CASE-LUCEN-R48-720-SEC-VID</x:v>
      </x:c>
      <x:c r="B87" s="19" t="str">
        <x:v>SALE-SD20-STD-720-VID</x:v>
      </x:c>
      <x:c r="C87" s="19" t="str">
        <x:v>COST-LUCEN-R48-720-SEC-VID</x:v>
      </x:c>
      <x:c r="D87" s="28" t="n">
        <x:v>1</x:v>
      </x:c>
      <x:c r="E87" s="28" t="n">
        <x:v>3</x:v>
      </x:c>
      <x:c r="F87" s="28" t="n">
        <x:v>10</x:v>
      </x:c>
      <x:c r="G87" s="23" t="str">
        <x:f>IFERROR(INDEX('官方售价'!$C$5:$C$204,MATCH(B87,'官方售价'!$A$5:$A$204,0)),"")</x:f>
        <x:v>SKU-SD20-STD-720</x:v>
      </x:c>
      <x:c r="H87" s="23" t="str">
        <x:f>IFERROR(INDEX('官方售价'!$D$5:$D$204,MATCH(B87,'官方售价'!$A$5:$A$204,0)),"")</x:f>
        <x:v>with_video</x:v>
      </x:c>
      <x:c r="I87" s="23" t="n">
        <x:f>IFERROR(INDEX('官方售价'!$H$5:$H$204,MATCH(B87,'官方售价'!$A$5:$A$204,0)),0)</x:f>
        <x:v>1280</x:v>
      </x:c>
      <x:c r="J87" s="23" t="n">
        <x:f>IFERROR(INDEX('官方售价'!$I$5:$I$204,MATCH(B87,'官方售价'!$A$5:$A$204,0)),0)</x:f>
        <x:v>720</x:v>
      </x:c>
      <x:c r="K87" s="23" t="n">
        <x:f>IFERROR(INDEX('官方售价'!$J$5:$J$204,MATCH(B87,'官方售价'!$A$5:$A$204,0)),0)</x:f>
        <x:v>24</x:v>
      </x:c>
      <x:c r="L87" s="25" t="n">
        <x:f>(E87+F87)*I87*J87*K87/'参数'!$B$7</x:f>
        <x:v>280800</x:v>
      </x:c>
      <x:c r="M87" s="23" t="str">
        <x:f>IFERROR(INDEX('渠道成本'!$F$5:$F$1004,MATCH(C87,'渠道成本'!$A$5:$A$1004,0)),"")</x:f>
        <x:v>per_duration</x:v>
      </x:c>
      <x:c r="N87" s="26" t="n">
        <x:f>IFERROR(INDEX('渠道成本'!$U$5:$U$1004,MATCH(C87,'渠道成本'!$A$5:$A$1004,0)),0)</x:f>
        <x:v>0.136986301369863</x:v>
      </x:c>
      <x:c r="O87" s="26" t="n">
        <x:f>IFERROR(L87/'参数'!$B$8*INDEX('官方售价'!$M$5:$M$204,MATCH(B87,'官方售价'!$A$5:$A$204,0)),0)</x:f>
        <x:v>1.0770410958904109</x:v>
      </x:c>
      <x:c r="P87" s="26" t="n">
        <x:f>IF(M87="per_token",L87/'参数'!$B$8*N87,IF(M87="per_duration",F87*N87,IF(M87="per_request",N87,0)))</x:f>
        <x:v>1.36986301369863</x:v>
      </x:c>
      <x:c r="Q87" s="26" t="n">
        <x:f>O87*D87</x:f>
        <x:v>1.0770410958904109</x:v>
      </x:c>
      <x:c r="R87" s="26" t="n">
        <x:f>Q87-P87</x:f>
        <x:v>-0.2928219178082192</x:v>
      </x:c>
      <x:c r="S87" s="29" t="n">
        <x:f>IF(Q87=0,"",R87/Q87)</x:f>
        <x:v>-0.27187627187627195</x:v>
      </x:c>
      <x:c r="T87" s="23" t="str">
        <x:f>IF(OR(B87="",C87=""),"pending",IF(OR(O87&lt;0,P87&lt;0),"settlement_failed","settled"))</x:f>
        <x:v>settled</x:v>
      </x:c>
      <x:c r="U87" s="7" t="str">
        <x:v>源行=sd!48；自动利润预览；分组倍率可改为用户折扣</x:v>
      </x:c>
    </x:row>
    <x:row r="88" ht="26.350000381469727" customHeight="1">
      <x:c r="A88" s="19" t="str">
        <x:v>CASE-LUCEN-R49-720-SEC-NOV</x:v>
      </x:c>
      <x:c r="B88" s="19" t="str">
        <x:v>SALE-SD20-STD-720-NOV</x:v>
      </x:c>
      <x:c r="C88" s="19" t="str">
        <x:v>COST-LUCEN-R49-720-SEC-NOV</x:v>
      </x:c>
      <x:c r="D88" s="28" t="n">
        <x:v>1</x:v>
      </x:c>
      <x:c r="E88" s="28" t="n">
        <x:v>0</x:v>
      </x:c>
      <x:c r="F88" s="28" t="n">
        <x:v>15</x:v>
      </x:c>
      <x:c r="G88" s="23" t="str">
        <x:f>IFERROR(INDEX('官方售价'!$C$5:$C$204,MATCH(B88,'官方售价'!$A$5:$A$204,0)),"")</x:f>
        <x:v>SKU-SD20-STD-720</x:v>
      </x:c>
      <x:c r="H88" s="23" t="str">
        <x:f>IFERROR(INDEX('官方售价'!$D$5:$D$204,MATCH(B88,'官方售价'!$A$5:$A$204,0)),"")</x:f>
        <x:v>no_video</x:v>
      </x:c>
      <x:c r="I88" s="23" t="n">
        <x:f>IFERROR(INDEX('官方售价'!$H$5:$H$204,MATCH(B88,'官方售价'!$A$5:$A$204,0)),0)</x:f>
        <x:v>1280</x:v>
      </x:c>
      <x:c r="J88" s="23" t="n">
        <x:f>IFERROR(INDEX('官方售价'!$I$5:$I$204,MATCH(B88,'官方售价'!$A$5:$A$204,0)),0)</x:f>
        <x:v>720</x:v>
      </x:c>
      <x:c r="K88" s="23" t="n">
        <x:f>IFERROR(INDEX('官方售价'!$J$5:$J$204,MATCH(B88,'官方售价'!$A$5:$A$204,0)),0)</x:f>
        <x:v>24</x:v>
      </x:c>
      <x:c r="L88" s="25" t="n">
        <x:f>(E88+F88)*I88*J88*K88/'参数'!$B$7</x:f>
        <x:v>324000</x:v>
      </x:c>
      <x:c r="M88" s="23" t="str">
        <x:f>IFERROR(INDEX('渠道成本'!$F$5:$F$1004,MATCH(C88,'渠道成本'!$A$5:$A$1004,0)),"")</x:f>
        <x:v>per_duration</x:v>
      </x:c>
      <x:c r="N88" s="26" t="n">
        <x:f>IFERROR(INDEX('渠道成本'!$U$5:$U$1004,MATCH(C88,'渠道成本'!$A$5:$A$1004,0)),0)</x:f>
        <x:v>0.136986301369863</x:v>
      </x:c>
      <x:c r="O88" s="26" t="n">
        <x:f>IFERROR(L88/'参数'!$B$8*INDEX('官方售价'!$M$5:$M$204,MATCH(B88,'官方售价'!$A$5:$A$204,0)),0)</x:f>
        <x:v>2.0416438356164384</x:v>
      </x:c>
      <x:c r="P88" s="26" t="n">
        <x:f>IF(M88="per_token",L88/'参数'!$B$8*N88,IF(M88="per_duration",F88*N88,IF(M88="per_request",N88,0)))</x:f>
        <x:v>2.054794520547945</x:v>
      </x:c>
      <x:c r="Q88" s="26" t="n">
        <x:f>O88*D88</x:f>
        <x:v>2.0416438356164384</x:v>
      </x:c>
      <x:c r="R88" s="26" t="n">
        <x:f>Q88-P88</x:f>
        <x:v>-0.013150684931506618</x:v>
      </x:c>
      <x:c r="S88" s="29" t="n">
        <x:f>IF(Q88=0,"",R88/Q88)</x:f>
        <x:v>-0.006441223832528067</x:v>
      </x:c>
      <x:c r="T88" s="23" t="str">
        <x:f>IF(OR(B88="",C88=""),"pending",IF(OR(O88&lt;0,P88&lt;0),"settlement_failed","settled"))</x:f>
        <x:v>settled</x:v>
      </x:c>
      <x:c r="U88" s="7" t="str">
        <x:v>源行=sd!49；自动利润预览；分组倍率可改为用户折扣</x:v>
      </x:c>
    </x:row>
    <x:row r="89" ht="26.350000381469727" customHeight="1">
      <x:c r="A89" s="19" t="str">
        <x:v>CASE-LUCEN-R49-720-SEC-VID</x:v>
      </x:c>
      <x:c r="B89" s="19" t="str">
        <x:v>SALE-SD20-STD-720-VID</x:v>
      </x:c>
      <x:c r="C89" s="19" t="str">
        <x:v>COST-LUCEN-R49-720-SEC-VID</x:v>
      </x:c>
      <x:c r="D89" s="28" t="n">
        <x:v>1</x:v>
      </x:c>
      <x:c r="E89" s="28" t="n">
        <x:v>3</x:v>
      </x:c>
      <x:c r="F89" s="28" t="n">
        <x:v>15</x:v>
      </x:c>
      <x:c r="G89" s="23" t="str">
        <x:f>IFERROR(INDEX('官方售价'!$C$5:$C$204,MATCH(B89,'官方售价'!$A$5:$A$204,0)),"")</x:f>
        <x:v>SKU-SD20-STD-720</x:v>
      </x:c>
      <x:c r="H89" s="23" t="str">
        <x:f>IFERROR(INDEX('官方售价'!$D$5:$D$204,MATCH(B89,'官方售价'!$A$5:$A$204,0)),"")</x:f>
        <x:v>with_video</x:v>
      </x:c>
      <x:c r="I89" s="23" t="n">
        <x:f>IFERROR(INDEX('官方售价'!$H$5:$H$204,MATCH(B89,'官方售价'!$A$5:$A$204,0)),0)</x:f>
        <x:v>1280</x:v>
      </x:c>
      <x:c r="J89" s="23" t="n">
        <x:f>IFERROR(INDEX('官方售价'!$I$5:$I$204,MATCH(B89,'官方售价'!$A$5:$A$204,0)),0)</x:f>
        <x:v>720</x:v>
      </x:c>
      <x:c r="K89" s="23" t="n">
        <x:f>IFERROR(INDEX('官方售价'!$J$5:$J$204,MATCH(B89,'官方售价'!$A$5:$A$204,0)),0)</x:f>
        <x:v>24</x:v>
      </x:c>
      <x:c r="L89" s="25" t="n">
        <x:f>(E89+F89)*I89*J89*K89/'参数'!$B$7</x:f>
        <x:v>388800</x:v>
      </x:c>
      <x:c r="M89" s="23" t="str">
        <x:f>IFERROR(INDEX('渠道成本'!$F$5:$F$1004,MATCH(C89,'渠道成本'!$A$5:$A$1004,0)),"")</x:f>
        <x:v>per_duration</x:v>
      </x:c>
      <x:c r="N89" s="26" t="n">
        <x:f>IFERROR(INDEX('渠道成本'!$U$5:$U$1004,MATCH(C89,'渠道成本'!$A$5:$A$1004,0)),0)</x:f>
        <x:v>0.136986301369863</x:v>
      </x:c>
      <x:c r="O89" s="26" t="n">
        <x:f>IFERROR(L89/'参数'!$B$8*INDEX('官方售价'!$M$5:$M$204,MATCH(B89,'官方售价'!$A$5:$A$204,0)),0)</x:f>
        <x:v>1.4912876712328766</x:v>
      </x:c>
      <x:c r="P89" s="26" t="n">
        <x:f>IF(M89="per_token",L89/'参数'!$B$8*N89,IF(M89="per_duration",F89*N89,IF(M89="per_request",N89,0)))</x:f>
        <x:v>2.054794520547945</x:v>
      </x:c>
      <x:c r="Q89" s="26" t="n">
        <x:f>O89*D89</x:f>
        <x:v>1.4912876712328766</x:v>
      </x:c>
      <x:c r="R89" s="26" t="n">
        <x:f>Q89-P89</x:f>
        <x:v>-0.5635068493150683</x:v>
      </x:c>
      <x:c r="S89" s="29" t="n">
        <x:f>IF(Q89=0,"",R89/Q89)</x:f>
        <x:v>-0.37786596119929444</x:v>
      </x:c>
      <x:c r="T89" s="23" t="str">
        <x:f>IF(OR(B89="",C89=""),"pending",IF(OR(O89&lt;0,P89&lt;0),"settlement_failed","settled"))</x:f>
        <x:v>settled</x:v>
      </x:c>
      <x:c r="U89" s="7" t="str">
        <x:v>源行=sd!49；自动利润预览；分组倍率可改为用户折扣</x:v>
      </x:c>
    </x:row>
    <x:row r="90" ht="26.350000381469727" customHeight="1">
      <x:c r="A90" s="19" t="str">
        <x:v>CASE-LUCEN-R50-480-SEC-NOV</x:v>
      </x:c>
      <x:c r="B90" s="19" t="str">
        <x:v>SALE-SD20-STD-480-NOV</x:v>
      </x:c>
      <x:c r="C90" s="19" t="str">
        <x:v>COST-LUCEN-R50-480-SEC-NOV</x:v>
      </x:c>
      <x:c r="D90" s="28" t="n">
        <x:v>1</x:v>
      </x:c>
      <x:c r="E90" s="28" t="n">
        <x:v>0</x:v>
      </x:c>
      <x:c r="F90" s="28" t="n">
        <x:v>5</x:v>
      </x:c>
      <x:c r="G90" s="23" t="str">
        <x:f>IFERROR(INDEX('官方售价'!$C$5:$C$204,MATCH(B90,'官方售价'!$A$5:$A$204,0)),"")</x:f>
        <x:v>SKU-SD20-STD-480</x:v>
      </x:c>
      <x:c r="H90" s="23" t="str">
        <x:f>IFERROR(INDEX('官方售价'!$D$5:$D$204,MATCH(B90,'官方售价'!$A$5:$A$204,0)),"")</x:f>
        <x:v>no_video</x:v>
      </x:c>
      <x:c r="I90" s="23" t="n">
        <x:f>IFERROR(INDEX('官方售价'!$H$5:$H$204,MATCH(B90,'官方售价'!$A$5:$A$204,0)),0)</x:f>
        <x:v>864</x:v>
      </x:c>
      <x:c r="J90" s="23" t="n">
        <x:f>IFERROR(INDEX('官方售价'!$I$5:$I$204,MATCH(B90,'官方售价'!$A$5:$A$204,0)),0)</x:f>
        <x:v>496</x:v>
      </x:c>
      <x:c r="K90" s="23" t="n">
        <x:f>IFERROR(INDEX('官方售价'!$J$5:$J$204,MATCH(B90,'官方售价'!$A$5:$A$204,0)),0)</x:f>
        <x:v>24</x:v>
      </x:c>
      <x:c r="L90" s="25" t="n">
        <x:f>(E90+F90)*I90*J90*K90/'参数'!$B$7</x:f>
        <x:v>50220</x:v>
      </x:c>
      <x:c r="M90" s="23" t="str">
        <x:f>IFERROR(INDEX('渠道成本'!$F$5:$F$1004,MATCH(C90,'渠道成本'!$A$5:$A$1004,0)),"")</x:f>
        <x:v>per_duration</x:v>
      </x:c>
      <x:c r="N90" s="26" t="n">
        <x:f>IFERROR(INDEX('渠道成本'!$U$5:$U$1004,MATCH(C90,'渠道成本'!$A$5:$A$1004,0)),0)</x:f>
        <x:v>0.0684931506849315</x:v>
      </x:c>
      <x:c r="O90" s="26" t="n">
        <x:f>IFERROR(L90/'参数'!$B$8*INDEX('官方售价'!$M$5:$M$204,MATCH(B90,'官方售价'!$A$5:$A$204,0)),0)</x:f>
        <x:v>0.3164547945205479</x:v>
      </x:c>
      <x:c r="P90" s="26" t="n">
        <x:f>IF(M90="per_token",L90/'参数'!$B$8*N90,IF(M90="per_duration",F90*N90,IF(M90="per_request",N90,0)))</x:f>
        <x:v>0.3424657534246575</x:v>
      </x:c>
      <x:c r="Q90" s="26" t="n">
        <x:f>O90*D90</x:f>
        <x:v>0.3164547945205479</x:v>
      </x:c>
      <x:c r="R90" s="26" t="n">
        <x:f>Q90-P90</x:f>
        <x:v>-0.026010958904109593</x:v>
      </x:c>
      <x:c r="S90" s="29" t="n">
        <x:f>IF(Q90=0,"",R90/Q90)</x:f>
        <x:v>-0.08219486433605183</x:v>
      </x:c>
      <x:c r="T90" s="23" t="str">
        <x:f>IF(OR(B90="",C90=""),"pending",IF(OR(O90&lt;0,P90&lt;0),"settlement_failed","settled"))</x:f>
        <x:v>settled</x:v>
      </x:c>
      <x:c r="U90" s="7" t="str">
        <x:v>源行=sd!50；自动利润预览；分组倍率可改为用户折扣</x:v>
      </x:c>
    </x:row>
    <x:row r="91" ht="26.350000381469727" customHeight="1">
      <x:c r="A91" s="19" t="str">
        <x:v>CASE-LUCEN-R50-480-SEC-VID</x:v>
      </x:c>
      <x:c r="B91" s="19" t="str">
        <x:v>SALE-SD20-STD-480-VID</x:v>
      </x:c>
      <x:c r="C91" s="19" t="str">
        <x:v>COST-LUCEN-R50-480-SEC-VID</x:v>
      </x:c>
      <x:c r="D91" s="28" t="n">
        <x:v>1</x:v>
      </x:c>
      <x:c r="E91" s="28" t="n">
        <x:v>3</x:v>
      </x:c>
      <x:c r="F91" s="28" t="n">
        <x:v>5</x:v>
      </x:c>
      <x:c r="G91" s="23" t="str">
        <x:f>IFERROR(INDEX('官方售价'!$C$5:$C$204,MATCH(B91,'官方售价'!$A$5:$A$204,0)),"")</x:f>
        <x:v>SKU-SD20-STD-480</x:v>
      </x:c>
      <x:c r="H91" s="23" t="str">
        <x:f>IFERROR(INDEX('官方售价'!$D$5:$D$204,MATCH(B91,'官方售价'!$A$5:$A$204,0)),"")</x:f>
        <x:v>with_video</x:v>
      </x:c>
      <x:c r="I91" s="23" t="n">
        <x:f>IFERROR(INDEX('官方售价'!$H$5:$H$204,MATCH(B91,'官方售价'!$A$5:$A$204,0)),0)</x:f>
        <x:v>864</x:v>
      </x:c>
      <x:c r="J91" s="23" t="n">
        <x:f>IFERROR(INDEX('官方售价'!$I$5:$I$204,MATCH(B91,'官方售价'!$A$5:$A$204,0)),0)</x:f>
        <x:v>496</x:v>
      </x:c>
      <x:c r="K91" s="23" t="n">
        <x:f>IFERROR(INDEX('官方售价'!$J$5:$J$204,MATCH(B91,'官方售价'!$A$5:$A$204,0)),0)</x:f>
        <x:v>24</x:v>
      </x:c>
      <x:c r="L91" s="25" t="n">
        <x:f>(E91+F91)*I91*J91*K91/'参数'!$B$7</x:f>
        <x:v>80352</x:v>
      </x:c>
      <x:c r="M91" s="23" t="str">
        <x:f>IFERROR(INDEX('渠道成本'!$F$5:$F$1004,MATCH(C91,'渠道成本'!$A$5:$A$1004,0)),"")</x:f>
        <x:v>per_duration</x:v>
      </x:c>
      <x:c r="N91" s="26" t="n">
        <x:f>IFERROR(INDEX('渠道成本'!$U$5:$U$1004,MATCH(C91,'渠道成本'!$A$5:$A$1004,0)),0)</x:f>
        <x:v>0.0684931506849315</x:v>
      </x:c>
      <x:c r="O91" s="26" t="n">
        <x:f>IFERROR(L91/'参数'!$B$8*INDEX('官方售价'!$M$5:$M$204,MATCH(B91,'官方售价'!$A$5:$A$204,0)),0)</x:f>
        <x:v>0.30819945205479454</x:v>
      </x:c>
      <x:c r="P91" s="26" t="n">
        <x:f>IF(M91="per_token",L91/'参数'!$B$8*N91,IF(M91="per_duration",F91*N91,IF(M91="per_request",N91,0)))</x:f>
        <x:v>0.3424657534246575</x:v>
      </x:c>
      <x:c r="Q91" s="26" t="n">
        <x:f>O91*D91</x:f>
        <x:v>0.30819945205479454</x:v>
      </x:c>
      <x:c r="R91" s="26" t="n">
        <x:f>Q91-P91</x:f>
        <x:v>-0.03426630136986297</x:v>
      </x:c>
      <x:c r="S91" s="29" t="n">
        <x:f>IF(Q91=0,"",R91/Q91)</x:f>
        <x:v>-0.11118222677362448</x:v>
      </x:c>
      <x:c r="T91" s="23" t="str">
        <x:f>IF(OR(B91="",C91=""),"pending",IF(OR(O91&lt;0,P91&lt;0),"settlement_failed","settled"))</x:f>
        <x:v>settled</x:v>
      </x:c>
      <x:c r="U91" s="7" t="str">
        <x:v>源行=sd!50；自动利润预览；分组倍率可改为用户折扣</x:v>
      </x:c>
    </x:row>
    <x:row r="92" ht="26.350000381469727" customHeight="1">
      <x:c r="A92" s="19" t="str">
        <x:v>CASE-LUCEN-R51-480-SEC-NOV</x:v>
      </x:c>
      <x:c r="B92" s="19" t="str">
        <x:v>SALE-SD20-STD-480-NOV</x:v>
      </x:c>
      <x:c r="C92" s="19" t="str">
        <x:v>COST-LUCEN-R51-480-SEC-NOV</x:v>
      </x:c>
      <x:c r="D92" s="28" t="n">
        <x:v>1</x:v>
      </x:c>
      <x:c r="E92" s="28" t="n">
        <x:v>0</x:v>
      </x:c>
      <x:c r="F92" s="28" t="n">
        <x:v>10</x:v>
      </x:c>
      <x:c r="G92" s="23" t="str">
        <x:f>IFERROR(INDEX('官方售价'!$C$5:$C$204,MATCH(B92,'官方售价'!$A$5:$A$204,0)),"")</x:f>
        <x:v>SKU-SD20-STD-480</x:v>
      </x:c>
      <x:c r="H92" s="23" t="str">
        <x:f>IFERROR(INDEX('官方售价'!$D$5:$D$204,MATCH(B92,'官方售价'!$A$5:$A$204,0)),"")</x:f>
        <x:v>no_video</x:v>
      </x:c>
      <x:c r="I92" s="23" t="n">
        <x:f>IFERROR(INDEX('官方售价'!$H$5:$H$204,MATCH(B92,'官方售价'!$A$5:$A$204,0)),0)</x:f>
        <x:v>864</x:v>
      </x:c>
      <x:c r="J92" s="23" t="n">
        <x:f>IFERROR(INDEX('官方售价'!$I$5:$I$204,MATCH(B92,'官方售价'!$A$5:$A$204,0)),0)</x:f>
        <x:v>496</x:v>
      </x:c>
      <x:c r="K92" s="23" t="n">
        <x:f>IFERROR(INDEX('官方售价'!$J$5:$J$204,MATCH(B92,'官方售价'!$A$5:$A$204,0)),0)</x:f>
        <x:v>24</x:v>
      </x:c>
      <x:c r="L92" s="25" t="n">
        <x:f>(E92+F92)*I92*J92*K92/'参数'!$B$7</x:f>
        <x:v>100440</x:v>
      </x:c>
      <x:c r="M92" s="23" t="str">
        <x:f>IFERROR(INDEX('渠道成本'!$F$5:$F$1004,MATCH(C92,'渠道成本'!$A$5:$A$1004,0)),"")</x:f>
        <x:v>per_duration</x:v>
      </x:c>
      <x:c r="N92" s="26" t="n">
        <x:f>IFERROR(INDEX('渠道成本'!$U$5:$U$1004,MATCH(C92,'渠道成本'!$A$5:$A$1004,0)),0)</x:f>
        <x:v>0.0684931506849315</x:v>
      </x:c>
      <x:c r="O92" s="26" t="n">
        <x:f>IFERROR(L92/'参数'!$B$8*INDEX('官方售价'!$M$5:$M$204,MATCH(B92,'官方售价'!$A$5:$A$204,0)),0)</x:f>
        <x:v>0.6329095890410958</x:v>
      </x:c>
      <x:c r="P92" s="26" t="n">
        <x:f>IF(M92="per_token",L92/'参数'!$B$8*N92,IF(M92="per_duration",F92*N92,IF(M92="per_request",N92,0)))</x:f>
        <x:v>0.684931506849315</x:v>
      </x:c>
      <x:c r="Q92" s="26" t="n">
        <x:f>O92*D92</x:f>
        <x:v>0.6329095890410958</x:v>
      </x:c>
      <x:c r="R92" s="26" t="n">
        <x:f>Q92-P92</x:f>
        <x:v>-0.05202191780821919</x:v>
      </x:c>
      <x:c r="S92" s="29" t="n">
        <x:f>IF(Q92=0,"",R92/Q92)</x:f>
        <x:v>-0.08219486433605183</x:v>
      </x:c>
      <x:c r="T92" s="23" t="str">
        <x:f>IF(OR(B92="",C92=""),"pending",IF(OR(O92&lt;0,P92&lt;0),"settlement_failed","settled"))</x:f>
        <x:v>settled</x:v>
      </x:c>
      <x:c r="U92" s="7" t="str">
        <x:v>源行=sd!51；自动利润预览；分组倍率可改为用户折扣</x:v>
      </x:c>
    </x:row>
    <x:row r="93" ht="26.350000381469727" customHeight="1">
      <x:c r="A93" s="19" t="str">
        <x:v>CASE-LUCEN-R51-480-SEC-VID</x:v>
      </x:c>
      <x:c r="B93" s="19" t="str">
        <x:v>SALE-SD20-STD-480-VID</x:v>
      </x:c>
      <x:c r="C93" s="19" t="str">
        <x:v>COST-LUCEN-R51-480-SEC-VID</x:v>
      </x:c>
      <x:c r="D93" s="28" t="n">
        <x:v>1</x:v>
      </x:c>
      <x:c r="E93" s="28" t="n">
        <x:v>3</x:v>
      </x:c>
      <x:c r="F93" s="28" t="n">
        <x:v>10</x:v>
      </x:c>
      <x:c r="G93" s="23" t="str">
        <x:f>IFERROR(INDEX('官方售价'!$C$5:$C$204,MATCH(B93,'官方售价'!$A$5:$A$204,0)),"")</x:f>
        <x:v>SKU-SD20-STD-480</x:v>
      </x:c>
      <x:c r="H93" s="23" t="str">
        <x:f>IFERROR(INDEX('官方售价'!$D$5:$D$204,MATCH(B93,'官方售价'!$A$5:$A$204,0)),"")</x:f>
        <x:v>with_video</x:v>
      </x:c>
      <x:c r="I93" s="23" t="n">
        <x:f>IFERROR(INDEX('官方售价'!$H$5:$H$204,MATCH(B93,'官方售价'!$A$5:$A$204,0)),0)</x:f>
        <x:v>864</x:v>
      </x:c>
      <x:c r="J93" s="23" t="n">
        <x:f>IFERROR(INDEX('官方售价'!$I$5:$I$204,MATCH(B93,'官方售价'!$A$5:$A$204,0)),0)</x:f>
        <x:v>496</x:v>
      </x:c>
      <x:c r="K93" s="23" t="n">
        <x:f>IFERROR(INDEX('官方售价'!$J$5:$J$204,MATCH(B93,'官方售价'!$A$5:$A$204,0)),0)</x:f>
        <x:v>24</x:v>
      </x:c>
      <x:c r="L93" s="25" t="n">
        <x:f>(E93+F93)*I93*J93*K93/'参数'!$B$7</x:f>
        <x:v>130572</x:v>
      </x:c>
      <x:c r="M93" s="23" t="str">
        <x:f>IFERROR(INDEX('渠道成本'!$F$5:$F$1004,MATCH(C93,'渠道成本'!$A$5:$A$1004,0)),"")</x:f>
        <x:v>per_duration</x:v>
      </x:c>
      <x:c r="N93" s="26" t="n">
        <x:f>IFERROR(INDEX('渠道成本'!$U$5:$U$1004,MATCH(C93,'渠道成本'!$A$5:$A$1004,0)),0)</x:f>
        <x:v>0.0684931506849315</x:v>
      </x:c>
      <x:c r="O93" s="26" t="n">
        <x:f>IFERROR(L93/'参数'!$B$8*INDEX('官方售价'!$M$5:$M$204,MATCH(B93,'官方售价'!$A$5:$A$204,0)),0)</x:f>
        <x:v>0.500824109589041</x:v>
      </x:c>
      <x:c r="P93" s="26" t="n">
        <x:f>IF(M93="per_token",L93/'参数'!$B$8*N93,IF(M93="per_duration",F93*N93,IF(M93="per_request",N93,0)))</x:f>
        <x:v>0.684931506849315</x:v>
      </x:c>
      <x:c r="Q93" s="26" t="n">
        <x:f>O93*D93</x:f>
        <x:v>0.500824109589041</x:v>
      </x:c>
      <x:c r="R93" s="26" t="n">
        <x:f>Q93-P93</x:f>
        <x:v>-0.18410739726027403</x:v>
      </x:c>
      <x:c r="S93" s="29" t="n">
        <x:f>IF(Q93=0,"",R93/Q93)</x:f>
        <x:v>-0.3676088944906151</x:v>
      </x:c>
      <x:c r="T93" s="23" t="str">
        <x:f>IF(OR(B93="",C93=""),"pending",IF(OR(O93&lt;0,P93&lt;0),"settlement_failed","settled"))</x:f>
        <x:v>settled</x:v>
      </x:c>
      <x:c r="U93" s="7" t="str">
        <x:v>源行=sd!51；自动利润预览；分组倍率可改为用户折扣</x:v>
      </x:c>
    </x:row>
    <x:row r="94" ht="26.350000381469727" customHeight="1">
      <x:c r="A94" s="19" t="str">
        <x:v>CASE-LUCEN-R52-480-SEC-NOV</x:v>
      </x:c>
      <x:c r="B94" s="19" t="str">
        <x:v>SALE-SD20-STD-480-NOV</x:v>
      </x:c>
      <x:c r="C94" s="19" t="str">
        <x:v>COST-LUCEN-R52-480-SEC-NOV</x:v>
      </x:c>
      <x:c r="D94" s="28" t="n">
        <x:v>1</x:v>
      </x:c>
      <x:c r="E94" s="28" t="n">
        <x:v>0</x:v>
      </x:c>
      <x:c r="F94" s="28" t="n">
        <x:v>15</x:v>
      </x:c>
      <x:c r="G94" s="23" t="str">
        <x:f>IFERROR(INDEX('官方售价'!$C$5:$C$204,MATCH(B94,'官方售价'!$A$5:$A$204,0)),"")</x:f>
        <x:v>SKU-SD20-STD-480</x:v>
      </x:c>
      <x:c r="H94" s="23" t="str">
        <x:f>IFERROR(INDEX('官方售价'!$D$5:$D$204,MATCH(B94,'官方售价'!$A$5:$A$204,0)),"")</x:f>
        <x:v>no_video</x:v>
      </x:c>
      <x:c r="I94" s="23" t="n">
        <x:f>IFERROR(INDEX('官方售价'!$H$5:$H$204,MATCH(B94,'官方售价'!$A$5:$A$204,0)),0)</x:f>
        <x:v>864</x:v>
      </x:c>
      <x:c r="J94" s="23" t="n">
        <x:f>IFERROR(INDEX('官方售价'!$I$5:$I$204,MATCH(B94,'官方售价'!$A$5:$A$204,0)),0)</x:f>
        <x:v>496</x:v>
      </x:c>
      <x:c r="K94" s="23" t="n">
        <x:f>IFERROR(INDEX('官方售价'!$J$5:$J$204,MATCH(B94,'官方售价'!$A$5:$A$204,0)),0)</x:f>
        <x:v>24</x:v>
      </x:c>
      <x:c r="L94" s="25" t="n">
        <x:f>(E94+F94)*I94*J94*K94/'参数'!$B$7</x:f>
        <x:v>150660</x:v>
      </x:c>
      <x:c r="M94" s="23" t="str">
        <x:f>IFERROR(INDEX('渠道成本'!$F$5:$F$1004,MATCH(C94,'渠道成本'!$A$5:$A$1004,0)),"")</x:f>
        <x:v>per_duration</x:v>
      </x:c>
      <x:c r="N94" s="26" t="n">
        <x:f>IFERROR(INDEX('渠道成本'!$U$5:$U$1004,MATCH(C94,'渠道成本'!$A$5:$A$1004,0)),0)</x:f>
        <x:v>0.0684931506849315</x:v>
      </x:c>
      <x:c r="O94" s="26" t="n">
        <x:f>IFERROR(L94/'参数'!$B$8*INDEX('官方售价'!$M$5:$M$204,MATCH(B94,'官方售价'!$A$5:$A$204,0)),0)</x:f>
        <x:v>0.9493643835616437</x:v>
      </x:c>
      <x:c r="P94" s="26" t="n">
        <x:f>IF(M94="per_token",L94/'参数'!$B$8*N94,IF(M94="per_duration",F94*N94,IF(M94="per_request",N94,0)))</x:f>
        <x:v>1.0273972602739725</x:v>
      </x:c>
      <x:c r="Q94" s="26" t="n">
        <x:f>O94*D94</x:f>
        <x:v>0.9493643835616437</x:v>
      </x:c>
      <x:c r="R94" s="26" t="n">
        <x:f>Q94-P94</x:f>
        <x:v>-0.07803287671232884</x:v>
      </x:c>
      <x:c r="S94" s="29" t="n">
        <x:f>IF(Q94=0,"",R94/Q94)</x:f>
        <x:v>-0.0821948643360519</x:v>
      </x:c>
      <x:c r="T94" s="23" t="str">
        <x:f>IF(OR(B94="",C94=""),"pending",IF(OR(O94&lt;0,P94&lt;0),"settlement_failed","settled"))</x:f>
        <x:v>settled</x:v>
      </x:c>
      <x:c r="U94" s="7" t="str">
        <x:v>源行=sd!52；自动利润预览；分组倍率可改为用户折扣</x:v>
      </x:c>
    </x:row>
    <x:row r="95" ht="26.350000381469727" customHeight="1">
      <x:c r="A95" s="19" t="str">
        <x:v>CASE-LUCEN-R52-480-SEC-VID</x:v>
      </x:c>
      <x:c r="B95" s="19" t="str">
        <x:v>SALE-SD20-STD-480-VID</x:v>
      </x:c>
      <x:c r="C95" s="19" t="str">
        <x:v>COST-LUCEN-R52-480-SEC-VID</x:v>
      </x:c>
      <x:c r="D95" s="28" t="n">
        <x:v>1</x:v>
      </x:c>
      <x:c r="E95" s="28" t="n">
        <x:v>3</x:v>
      </x:c>
      <x:c r="F95" s="28" t="n">
        <x:v>15</x:v>
      </x:c>
      <x:c r="G95" s="23" t="str">
        <x:f>IFERROR(INDEX('官方售价'!$C$5:$C$204,MATCH(B95,'官方售价'!$A$5:$A$204,0)),"")</x:f>
        <x:v>SKU-SD20-STD-480</x:v>
      </x:c>
      <x:c r="H95" s="23" t="str">
        <x:f>IFERROR(INDEX('官方售价'!$D$5:$D$204,MATCH(B95,'官方售价'!$A$5:$A$204,0)),"")</x:f>
        <x:v>with_video</x:v>
      </x:c>
      <x:c r="I95" s="23" t="n">
        <x:f>IFERROR(INDEX('官方售价'!$H$5:$H$204,MATCH(B95,'官方售价'!$A$5:$A$204,0)),0)</x:f>
        <x:v>864</x:v>
      </x:c>
      <x:c r="J95" s="23" t="n">
        <x:f>IFERROR(INDEX('官方售价'!$I$5:$I$204,MATCH(B95,'官方售价'!$A$5:$A$204,0)),0)</x:f>
        <x:v>496</x:v>
      </x:c>
      <x:c r="K95" s="23" t="n">
        <x:f>IFERROR(INDEX('官方售价'!$J$5:$J$204,MATCH(B95,'官方售价'!$A$5:$A$204,0)),0)</x:f>
        <x:v>24</x:v>
      </x:c>
      <x:c r="L95" s="25" t="n">
        <x:f>(E95+F95)*I95*J95*K95/'参数'!$B$7</x:f>
        <x:v>180792</x:v>
      </x:c>
      <x:c r="M95" s="23" t="str">
        <x:f>IFERROR(INDEX('渠道成本'!$F$5:$F$1004,MATCH(C95,'渠道成本'!$A$5:$A$1004,0)),"")</x:f>
        <x:v>per_duration</x:v>
      </x:c>
      <x:c r="N95" s="26" t="n">
        <x:f>IFERROR(INDEX('渠道成本'!$U$5:$U$1004,MATCH(C95,'渠道成本'!$A$5:$A$1004,0)),0)</x:f>
        <x:v>0.0684931506849315</x:v>
      </x:c>
      <x:c r="O95" s="26" t="n">
        <x:f>IFERROR(L95/'参数'!$B$8*INDEX('官方售价'!$M$5:$M$204,MATCH(B95,'官方售价'!$A$5:$A$204,0)),0)</x:f>
        <x:v>0.6934487671232876</x:v>
      </x:c>
      <x:c r="P95" s="26" t="n">
        <x:f>IF(M95="per_token",L95/'参数'!$B$8*N95,IF(M95="per_duration",F95*N95,IF(M95="per_request",N95,0)))</x:f>
        <x:v>1.0273972602739725</x:v>
      </x:c>
      <x:c r="Q95" s="26" t="n">
        <x:f>O95*D95</x:f>
        <x:v>0.6934487671232876</x:v>
      </x:c>
      <x:c r="R95" s="26" t="n">
        <x:f>Q95-P95</x:f>
        <x:v>-0.33394849315068487</x:v>
      </x:c>
      <x:c r="S95" s="29" t="n">
        <x:f>IF(Q95=0,"",R95/Q95)</x:f>
        <x:v>-0.4815763023648328</x:v>
      </x:c>
      <x:c r="T95" s="23" t="str">
        <x:f>IF(OR(B95="",C95=""),"pending",IF(OR(O95&lt;0,P95&lt;0),"settlement_failed","settled"))</x:f>
        <x:v>settled</x:v>
      </x:c>
      <x:c r="U95" s="7" t="str">
        <x:v>源行=sd!52；自动利润预览；分组倍率可改为用户折扣</x:v>
      </x:c>
    </x:row>
    <x:row r="96" ht="26.350000381469727" customHeight="1">
      <x:c r="A96" s="19" t="str">
        <x:v>CASE-LUCEN-R53-1080-SEC-NOV</x:v>
      </x:c>
      <x:c r="B96" s="19" t="str">
        <x:v>SALE-SD20-STD-1080-NOV</x:v>
      </x:c>
      <x:c r="C96" s="19" t="str">
        <x:v>COST-LUCEN-R53-1080-SEC-NOV</x:v>
      </x:c>
      <x:c r="D96" s="28" t="n">
        <x:v>1</x:v>
      </x:c>
      <x:c r="E96" s="28" t="n">
        <x:v>0</x:v>
      </x:c>
      <x:c r="F96" s="28" t="n">
        <x:v>5</x:v>
      </x:c>
      <x:c r="G96" s="23" t="str">
        <x:f>IFERROR(INDEX('官方售价'!$C$5:$C$204,MATCH(B96,'官方售价'!$A$5:$A$204,0)),"")</x:f>
        <x:v>SKU-SD20-STD-1080</x:v>
      </x:c>
      <x:c r="H96" s="23" t="str">
        <x:f>IFERROR(INDEX('官方售价'!$D$5:$D$204,MATCH(B96,'官方售价'!$A$5:$A$204,0)),"")</x:f>
        <x:v>no_video</x:v>
      </x:c>
      <x:c r="I96" s="23" t="n">
        <x:f>IFERROR(INDEX('官方售价'!$H$5:$H$204,MATCH(B96,'官方售价'!$A$5:$A$204,0)),0)</x:f>
        <x:v>1920</x:v>
      </x:c>
      <x:c r="J96" s="23" t="n">
        <x:f>IFERROR(INDEX('官方售价'!$I$5:$I$204,MATCH(B96,'官方售价'!$A$5:$A$204,0)),0)</x:f>
        <x:v>1080</x:v>
      </x:c>
      <x:c r="K96" s="23" t="n">
        <x:f>IFERROR(INDEX('官方售价'!$J$5:$J$204,MATCH(B96,'官方售价'!$A$5:$A$204,0)),0)</x:f>
        <x:v>24</x:v>
      </x:c>
      <x:c r="L96" s="25" t="n">
        <x:f>(E96+F96)*I96*J96*K96/'参数'!$B$7</x:f>
        <x:v>243000</x:v>
      </x:c>
      <x:c r="M96" s="23" t="str">
        <x:f>IFERROR(INDEX('渠道成本'!$F$5:$F$1004,MATCH(C96,'渠道成本'!$A$5:$A$1004,0)),"")</x:f>
        <x:v>per_duration</x:v>
      </x:c>
      <x:c r="N96" s="26" t="n">
        <x:f>IFERROR(INDEX('渠道成本'!$U$5:$U$1004,MATCH(C96,'渠道成本'!$A$5:$A$1004,0)),0)</x:f>
        <x:v>0.3424657534246575</x:v>
      </x:c>
      <x:c r="O96" s="26" t="n">
        <x:f>IFERROR(L96/'参数'!$B$8*INDEX('官方售价'!$M$5:$M$204,MATCH(B96,'官方售价'!$A$5:$A$204,0)),0)</x:f>
        <x:v>1.697671232876712</x:v>
      </x:c>
      <x:c r="P96" s="26" t="n">
        <x:f>IF(M96="per_token",L96/'参数'!$B$8*N96,IF(M96="per_duration",F96*N96,IF(M96="per_request",N96,0)))</x:f>
        <x:v>1.7123287671232876</x:v>
      </x:c>
      <x:c r="Q96" s="26" t="n">
        <x:f>O96*D96</x:f>
        <x:v>1.697671232876712</x:v>
      </x:c>
      <x:c r="R96" s="26" t="n">
        <x:f>Q96-P96</x:f>
        <x:v>-0.014657534246575565</x:v>
      </x:c>
      <x:c r="S96" s="29" t="n">
        <x:f>IF(Q96=0,"",R96/Q96)</x:f>
        <x:v>-0.008633906237392209</x:v>
      </x:c>
      <x:c r="T96" s="23" t="str">
        <x:f>IF(OR(B96="",C96=""),"pending",IF(OR(O96&lt;0,P96&lt;0),"settlement_failed","settled"))</x:f>
        <x:v>settled</x:v>
      </x:c>
      <x:c r="U96" s="7" t="str">
        <x:v>源行=sd!53；自动利润预览；分组倍率可改为用户折扣</x:v>
      </x:c>
    </x:row>
    <x:row r="97" ht="26.350000381469727" customHeight="1">
      <x:c r="A97" s="19" t="str">
        <x:v>CASE-LUCEN-R53-1080-SEC-VID</x:v>
      </x:c>
      <x:c r="B97" s="19" t="str">
        <x:v>SALE-SD20-STD-1080-VID</x:v>
      </x:c>
      <x:c r="C97" s="19" t="str">
        <x:v>COST-LUCEN-R53-1080-SEC-VID</x:v>
      </x:c>
      <x:c r="D97" s="28" t="n">
        <x:v>1</x:v>
      </x:c>
      <x:c r="E97" s="28" t="n">
        <x:v>3</x:v>
      </x:c>
      <x:c r="F97" s="28" t="n">
        <x:v>5</x:v>
      </x:c>
      <x:c r="G97" s="23" t="str">
        <x:f>IFERROR(INDEX('官方售价'!$C$5:$C$204,MATCH(B97,'官方售价'!$A$5:$A$204,0)),"")</x:f>
        <x:v>SKU-SD20-STD-1080</x:v>
      </x:c>
      <x:c r="H97" s="23" t="str">
        <x:f>IFERROR(INDEX('官方售价'!$D$5:$D$204,MATCH(B97,'官方售价'!$A$5:$A$204,0)),"")</x:f>
        <x:v>with_video</x:v>
      </x:c>
      <x:c r="I97" s="23" t="n">
        <x:f>IFERROR(INDEX('官方售价'!$H$5:$H$204,MATCH(B97,'官方售价'!$A$5:$A$204,0)),0)</x:f>
        <x:v>1920</x:v>
      </x:c>
      <x:c r="J97" s="23" t="n">
        <x:f>IFERROR(INDEX('官方售价'!$I$5:$I$204,MATCH(B97,'官方售价'!$A$5:$A$204,0)),0)</x:f>
        <x:v>1080</x:v>
      </x:c>
      <x:c r="K97" s="23" t="n">
        <x:f>IFERROR(INDEX('官方售价'!$J$5:$J$204,MATCH(B97,'官方售价'!$A$5:$A$204,0)),0)</x:f>
        <x:v>24</x:v>
      </x:c>
      <x:c r="L97" s="25" t="n">
        <x:f>(E97+F97)*I97*J97*K97/'参数'!$B$7</x:f>
        <x:v>388800</x:v>
      </x:c>
      <x:c r="M97" s="23" t="str">
        <x:f>IFERROR(INDEX('渠道成本'!$F$5:$F$1004,MATCH(C97,'渠道成本'!$A$5:$A$1004,0)),"")</x:f>
        <x:v>per_duration</x:v>
      </x:c>
      <x:c r="N97" s="26" t="n">
        <x:f>IFERROR(INDEX('渠道成本'!$U$5:$U$1004,MATCH(C97,'渠道成本'!$A$5:$A$1004,0)),0)</x:f>
        <x:v>0.3424657534246575</x:v>
      </x:c>
      <x:c r="O97" s="26" t="n">
        <x:f>IFERROR(L97/'参数'!$B$8*INDEX('官方售价'!$M$5:$M$204,MATCH(B97,'官方售价'!$A$5:$A$204,0)),0)</x:f>
        <x:v>1.651068493150685</x:v>
      </x:c>
      <x:c r="P97" s="26" t="n">
        <x:f>IF(M97="per_token",L97/'参数'!$B$8*N97,IF(M97="per_duration",F97*N97,IF(M97="per_request",N97,0)))</x:f>
        <x:v>1.7123287671232876</x:v>
      </x:c>
      <x:c r="Q97" s="26" t="n">
        <x:f>O97*D97</x:f>
        <x:v>1.651068493150685</x:v>
      </x:c>
      <x:c r="R97" s="26" t="n">
        <x:f>Q97-P97</x:f>
        <x:v>-0.0612602739726027</x:v>
      </x:c>
      <x:c r="S97" s="29" t="n">
        <x:f>IF(Q97=0,"",R97/Q97)</x:f>
        <x:v>-0.03710341165538295</x:v>
      </x:c>
      <x:c r="T97" s="23" t="str">
        <x:f>IF(OR(B97="",C97=""),"pending",IF(OR(O97&lt;0,P97&lt;0),"settlement_failed","settled"))</x:f>
        <x:v>settled</x:v>
      </x:c>
      <x:c r="U97" s="7" t="str">
        <x:v>源行=sd!53；自动利润预览；分组倍率可改为用户折扣</x:v>
      </x:c>
    </x:row>
    <x:row r="98" ht="26.350000381469727" customHeight="1">
      <x:c r="A98" s="19" t="str">
        <x:v>CASE-LUCEN-R54-1080-SEC-NOV</x:v>
      </x:c>
      <x:c r="B98" s="19" t="str">
        <x:v>SALE-SD20-STD-1080-NOV</x:v>
      </x:c>
      <x:c r="C98" s="19" t="str">
        <x:v>COST-LUCEN-R54-1080-SEC-NOV</x:v>
      </x:c>
      <x:c r="D98" s="28" t="n">
        <x:v>1</x:v>
      </x:c>
      <x:c r="E98" s="28" t="n">
        <x:v>0</x:v>
      </x:c>
      <x:c r="F98" s="28" t="n">
        <x:v>10</x:v>
      </x:c>
      <x:c r="G98" s="23" t="str">
        <x:f>IFERROR(INDEX('官方售价'!$C$5:$C$204,MATCH(B98,'官方售价'!$A$5:$A$204,0)),"")</x:f>
        <x:v>SKU-SD20-STD-1080</x:v>
      </x:c>
      <x:c r="H98" s="23" t="str">
        <x:f>IFERROR(INDEX('官方售价'!$D$5:$D$204,MATCH(B98,'官方售价'!$A$5:$A$204,0)),"")</x:f>
        <x:v>no_video</x:v>
      </x:c>
      <x:c r="I98" s="23" t="n">
        <x:f>IFERROR(INDEX('官方售价'!$H$5:$H$204,MATCH(B98,'官方售价'!$A$5:$A$204,0)),0)</x:f>
        <x:v>1920</x:v>
      </x:c>
      <x:c r="J98" s="23" t="n">
        <x:f>IFERROR(INDEX('官方售价'!$I$5:$I$204,MATCH(B98,'官方售价'!$A$5:$A$204,0)),0)</x:f>
        <x:v>1080</x:v>
      </x:c>
      <x:c r="K98" s="23" t="n">
        <x:f>IFERROR(INDEX('官方售价'!$J$5:$J$204,MATCH(B98,'官方售价'!$A$5:$A$204,0)),0)</x:f>
        <x:v>24</x:v>
      </x:c>
      <x:c r="L98" s="25" t="n">
        <x:f>(E98+F98)*I98*J98*K98/'参数'!$B$7</x:f>
        <x:v>486000</x:v>
      </x:c>
      <x:c r="M98" s="23" t="str">
        <x:f>IFERROR(INDEX('渠道成本'!$F$5:$F$1004,MATCH(C98,'渠道成本'!$A$5:$A$1004,0)),"")</x:f>
        <x:v>per_duration</x:v>
      </x:c>
      <x:c r="N98" s="26" t="n">
        <x:f>IFERROR(INDEX('渠道成本'!$U$5:$U$1004,MATCH(C98,'渠道成本'!$A$5:$A$1004,0)),0)</x:f>
        <x:v>0.3424657534246575</x:v>
      </x:c>
      <x:c r="O98" s="26" t="n">
        <x:f>IFERROR(L98/'参数'!$B$8*INDEX('官方售价'!$M$5:$M$204,MATCH(B98,'官方售价'!$A$5:$A$204,0)),0)</x:f>
        <x:v>3.395342465753424</x:v>
      </x:c>
      <x:c r="P98" s="26" t="n">
        <x:f>IF(M98="per_token",L98/'参数'!$B$8*N98,IF(M98="per_duration",F98*N98,IF(M98="per_request",N98,0)))</x:f>
        <x:v>3.4246575342465753</x:v>
      </x:c>
      <x:c r="Q98" s="26" t="n">
        <x:f>O98*D98</x:f>
        <x:v>3.395342465753424</x:v>
      </x:c>
      <x:c r="R98" s="26" t="n">
        <x:f>Q98-P98</x:f>
        <x:v>-0.02931506849315113</x:v>
      </x:c>
      <x:c r="S98" s="29" t="n">
        <x:f>IF(Q98=0,"",R98/Q98)</x:f>
        <x:v>-0.008633906237392209</x:v>
      </x:c>
      <x:c r="T98" s="23" t="str">
        <x:f>IF(OR(B98="",C98=""),"pending",IF(OR(O98&lt;0,P98&lt;0),"settlement_failed","settled"))</x:f>
        <x:v>settled</x:v>
      </x:c>
      <x:c r="U98" s="7" t="str">
        <x:v>源行=sd!54；自动利润预览；分组倍率可改为用户折扣</x:v>
      </x:c>
    </x:row>
    <x:row r="99" ht="26.350000381469727" customHeight="1">
      <x:c r="A99" s="19" t="str">
        <x:v>CASE-LUCEN-R54-1080-SEC-VID</x:v>
      </x:c>
      <x:c r="B99" s="19" t="str">
        <x:v>SALE-SD20-STD-1080-VID</x:v>
      </x:c>
      <x:c r="C99" s="19" t="str">
        <x:v>COST-LUCEN-R54-1080-SEC-VID</x:v>
      </x:c>
      <x:c r="D99" s="28" t="n">
        <x:v>1</x:v>
      </x:c>
      <x:c r="E99" s="28" t="n">
        <x:v>3</x:v>
      </x:c>
      <x:c r="F99" s="28" t="n">
        <x:v>10</x:v>
      </x:c>
      <x:c r="G99" s="23" t="str">
        <x:f>IFERROR(INDEX('官方售价'!$C$5:$C$204,MATCH(B99,'官方售价'!$A$5:$A$204,0)),"")</x:f>
        <x:v>SKU-SD20-STD-1080</x:v>
      </x:c>
      <x:c r="H99" s="23" t="str">
        <x:f>IFERROR(INDEX('官方售价'!$D$5:$D$204,MATCH(B99,'官方售价'!$A$5:$A$204,0)),"")</x:f>
        <x:v>with_video</x:v>
      </x:c>
      <x:c r="I99" s="23" t="n">
        <x:f>IFERROR(INDEX('官方售价'!$H$5:$H$204,MATCH(B99,'官方售价'!$A$5:$A$204,0)),0)</x:f>
        <x:v>1920</x:v>
      </x:c>
      <x:c r="J99" s="23" t="n">
        <x:f>IFERROR(INDEX('官方售价'!$I$5:$I$204,MATCH(B99,'官方售价'!$A$5:$A$204,0)),0)</x:f>
        <x:v>1080</x:v>
      </x:c>
      <x:c r="K99" s="23" t="n">
        <x:f>IFERROR(INDEX('官方售价'!$J$5:$J$204,MATCH(B99,'官方售价'!$A$5:$A$204,0)),0)</x:f>
        <x:v>24</x:v>
      </x:c>
      <x:c r="L99" s="25" t="n">
        <x:f>(E99+F99)*I99*J99*K99/'参数'!$B$7</x:f>
        <x:v>631800</x:v>
      </x:c>
      <x:c r="M99" s="23" t="str">
        <x:f>IFERROR(INDEX('渠道成本'!$F$5:$F$1004,MATCH(C99,'渠道成本'!$A$5:$A$1004,0)),"")</x:f>
        <x:v>per_duration</x:v>
      </x:c>
      <x:c r="N99" s="26" t="n">
        <x:f>IFERROR(INDEX('渠道成本'!$U$5:$U$1004,MATCH(C99,'渠道成本'!$A$5:$A$1004,0)),0)</x:f>
        <x:v>0.3424657534246575</x:v>
      </x:c>
      <x:c r="O99" s="26" t="n">
        <x:f>IFERROR(L99/'参数'!$B$8*INDEX('官方售价'!$M$5:$M$204,MATCH(B99,'官方售价'!$A$5:$A$204,0)),0)</x:f>
        <x:v>2.6829863013698634</x:v>
      </x:c>
      <x:c r="P99" s="26" t="n">
        <x:f>IF(M99="per_token",L99/'参数'!$B$8*N99,IF(M99="per_duration",F99*N99,IF(M99="per_request",N99,0)))</x:f>
        <x:v>3.4246575342465753</x:v>
      </x:c>
      <x:c r="Q99" s="26" t="n">
        <x:f>O99*D99</x:f>
        <x:v>2.6829863013698634</x:v>
      </x:c>
      <x:c r="R99" s="26" t="n">
        <x:f>Q99-P99</x:f>
        <x:v>-0.7416712328767119</x:v>
      </x:c>
      <x:c r="S99" s="29" t="n">
        <x:f>IF(Q99=0,"",R99/Q99)</x:f>
        <x:v>-0.2764349681912404</x:v>
      </x:c>
      <x:c r="T99" s="23" t="str">
        <x:f>IF(OR(B99="",C99=""),"pending",IF(OR(O99&lt;0,P99&lt;0),"settlement_failed","settled"))</x:f>
        <x:v>settled</x:v>
      </x:c>
      <x:c r="U99" s="7" t="str">
        <x:v>源行=sd!54；自动利润预览；分组倍率可改为用户折扣</x:v>
      </x:c>
    </x:row>
    <x:row r="100" ht="26.350000381469727" customHeight="1">
      <x:c r="A100" s="19" t="str">
        <x:v>CASE-LUCEN-R55-1080-SEC-NOV</x:v>
      </x:c>
      <x:c r="B100" s="19" t="str">
        <x:v>SALE-SD20-STD-1080-NOV</x:v>
      </x:c>
      <x:c r="C100" s="19" t="str">
        <x:v>COST-LUCEN-R55-1080-SEC-NOV</x:v>
      </x:c>
      <x:c r="D100" s="28" t="n">
        <x:v>1</x:v>
      </x:c>
      <x:c r="E100" s="28" t="n">
        <x:v>0</x:v>
      </x:c>
      <x:c r="F100" s="28" t="n">
        <x:v>15</x:v>
      </x:c>
      <x:c r="G100" s="23" t="str">
        <x:f>IFERROR(INDEX('官方售价'!$C$5:$C$204,MATCH(B100,'官方售价'!$A$5:$A$204,0)),"")</x:f>
        <x:v>SKU-SD20-STD-1080</x:v>
      </x:c>
      <x:c r="H100" s="23" t="str">
        <x:f>IFERROR(INDEX('官方售价'!$D$5:$D$204,MATCH(B100,'官方售价'!$A$5:$A$204,0)),"")</x:f>
        <x:v>no_video</x:v>
      </x:c>
      <x:c r="I100" s="23" t="n">
        <x:f>IFERROR(INDEX('官方售价'!$H$5:$H$204,MATCH(B100,'官方售价'!$A$5:$A$204,0)),0)</x:f>
        <x:v>1920</x:v>
      </x:c>
      <x:c r="J100" s="23" t="n">
        <x:f>IFERROR(INDEX('官方售价'!$I$5:$I$204,MATCH(B100,'官方售价'!$A$5:$A$204,0)),0)</x:f>
        <x:v>1080</x:v>
      </x:c>
      <x:c r="K100" s="23" t="n">
        <x:f>IFERROR(INDEX('官方售价'!$J$5:$J$204,MATCH(B100,'官方售价'!$A$5:$A$204,0)),0)</x:f>
        <x:v>24</x:v>
      </x:c>
      <x:c r="L100" s="25" t="n">
        <x:f>(E100+F100)*I100*J100*K100/'参数'!$B$7</x:f>
        <x:v>729000</x:v>
      </x:c>
      <x:c r="M100" s="23" t="str">
        <x:f>IFERROR(INDEX('渠道成本'!$F$5:$F$1004,MATCH(C100,'渠道成本'!$A$5:$A$1004,0)),"")</x:f>
        <x:v>per_duration</x:v>
      </x:c>
      <x:c r="N100" s="26" t="n">
        <x:f>IFERROR(INDEX('渠道成本'!$U$5:$U$1004,MATCH(C100,'渠道成本'!$A$5:$A$1004,0)),0)</x:f>
        <x:v>0.3424657534246575</x:v>
      </x:c>
      <x:c r="O100" s="26" t="n">
        <x:f>IFERROR(L100/'参数'!$B$8*INDEX('官方售价'!$M$5:$M$204,MATCH(B100,'官方售价'!$A$5:$A$204,0)),0)</x:f>
        <x:v>5.093013698630137</x:v>
      </x:c>
      <x:c r="P100" s="26" t="n">
        <x:f>IF(M100="per_token",L100/'参数'!$B$8*N100,IF(M100="per_duration",F100*N100,IF(M100="per_request",N100,0)))</x:f>
        <x:v>5.136986301369863</x:v>
      </x:c>
      <x:c r="Q100" s="26" t="n">
        <x:f>O100*D100</x:f>
        <x:v>5.093013698630137</x:v>
      </x:c>
      <x:c r="R100" s="26" t="n">
        <x:f>Q100-P100</x:f>
        <x:v>-0.04397260273972581</x:v>
      </x:c>
      <x:c r="S100" s="29" t="n">
        <x:f>IF(Q100=0,"",R100/Q100)</x:f>
        <x:v>-0.008633906237392033</x:v>
      </x:c>
      <x:c r="T100" s="23" t="str">
        <x:f>IF(OR(B100="",C100=""),"pending",IF(OR(O100&lt;0,P100&lt;0),"settlement_failed","settled"))</x:f>
        <x:v>settled</x:v>
      </x:c>
      <x:c r="U100" s="7" t="str">
        <x:v>源行=sd!55；自动利润预览；分组倍率可改为用户折扣</x:v>
      </x:c>
    </x:row>
    <x:row r="101" ht="26.350000381469727" customHeight="1">
      <x:c r="A101" s="19" t="str">
        <x:v>CASE-LUCEN-R55-1080-SEC-VID</x:v>
      </x:c>
      <x:c r="B101" s="19" t="str">
        <x:v>SALE-SD20-STD-1080-VID</x:v>
      </x:c>
      <x:c r="C101" s="19" t="str">
        <x:v>COST-LUCEN-R55-1080-SEC-VID</x:v>
      </x:c>
      <x:c r="D101" s="28" t="n">
        <x:v>1</x:v>
      </x:c>
      <x:c r="E101" s="28" t="n">
        <x:v>3</x:v>
      </x:c>
      <x:c r="F101" s="28" t="n">
        <x:v>15</x:v>
      </x:c>
      <x:c r="G101" s="23" t="str">
        <x:f>IFERROR(INDEX('官方售价'!$C$5:$C$204,MATCH(B101,'官方售价'!$A$5:$A$204,0)),"")</x:f>
        <x:v>SKU-SD20-STD-1080</x:v>
      </x:c>
      <x:c r="H101" s="23" t="str">
        <x:f>IFERROR(INDEX('官方售价'!$D$5:$D$204,MATCH(B101,'官方售价'!$A$5:$A$204,0)),"")</x:f>
        <x:v>with_video</x:v>
      </x:c>
      <x:c r="I101" s="23" t="n">
        <x:f>IFERROR(INDEX('官方售价'!$H$5:$H$204,MATCH(B101,'官方售价'!$A$5:$A$204,0)),0)</x:f>
        <x:v>1920</x:v>
      </x:c>
      <x:c r="J101" s="23" t="n">
        <x:f>IFERROR(INDEX('官方售价'!$I$5:$I$204,MATCH(B101,'官方售价'!$A$5:$A$204,0)),0)</x:f>
        <x:v>1080</x:v>
      </x:c>
      <x:c r="K101" s="23" t="n">
        <x:f>IFERROR(INDEX('官方售价'!$J$5:$J$204,MATCH(B101,'官方售价'!$A$5:$A$204,0)),0)</x:f>
        <x:v>24</x:v>
      </x:c>
      <x:c r="L101" s="25" t="n">
        <x:f>(E101+F101)*I101*J101*K101/'参数'!$B$7</x:f>
        <x:v>874800</x:v>
      </x:c>
      <x:c r="M101" s="23" t="str">
        <x:f>IFERROR(INDEX('渠道成本'!$F$5:$F$1004,MATCH(C101,'渠道成本'!$A$5:$A$1004,0)),"")</x:f>
        <x:v>per_duration</x:v>
      </x:c>
      <x:c r="N101" s="26" t="n">
        <x:f>IFERROR(INDEX('渠道成本'!$U$5:$U$1004,MATCH(C101,'渠道成本'!$A$5:$A$1004,0)),0)</x:f>
        <x:v>0.3424657534246575</x:v>
      </x:c>
      <x:c r="O101" s="26" t="n">
        <x:f>IFERROR(L101/'参数'!$B$8*INDEX('官方售价'!$M$5:$M$204,MATCH(B101,'官方售价'!$A$5:$A$204,0)),0)</x:f>
        <x:v>3.714904109589041</x:v>
      </x:c>
      <x:c r="P101" s="26" t="n">
        <x:f>IF(M101="per_token",L101/'参数'!$B$8*N101,IF(M101="per_duration",F101*N101,IF(M101="per_request",N101,0)))</x:f>
        <x:v>5.136986301369863</x:v>
      </x:c>
      <x:c r="Q101" s="26" t="n">
        <x:f>O101*D101</x:f>
        <x:v>3.714904109589041</x:v>
      </x:c>
      <x:c r="R101" s="26" t="n">
        <x:f>Q101-P101</x:f>
        <x:v>-1.4220821917808215</x:v>
      </x:c>
      <x:c r="S101" s="29" t="n">
        <x:f>IF(Q101=0,"",R101/Q101)</x:f>
        <x:v>-0.38280454887384385</x:v>
      </x:c>
      <x:c r="T101" s="23" t="str">
        <x:f>IF(OR(B101="",C101=""),"pending",IF(OR(O101&lt;0,P101&lt;0),"settlement_failed","settled"))</x:f>
        <x:v>settled</x:v>
      </x:c>
      <x:c r="U101" s="7" t="str">
        <x:v>源行=sd!55；自动利润预览；分组倍率可改为用户折扣</x:v>
      </x:c>
    </x:row>
    <x:row r="102" ht="26.350000381469727" customHeight="1">
      <x:c r="A102" s="19" t="str">
        <x:v>CASE-LUCEN-R56-480-TOK-NOV</x:v>
      </x:c>
      <x:c r="B102" s="19" t="str">
        <x:v>SALE-SD20-STD-480-NOV</x:v>
      </x:c>
      <x:c r="C102" s="19" t="str">
        <x:v>COST-LUCEN-R56-480-TOK-NOV</x:v>
      </x:c>
      <x:c r="D102" s="28" t="n">
        <x:v>1</x:v>
      </x:c>
      <x:c r="E102" s="28" t="n">
        <x:v>0</x:v>
      </x:c>
      <x:c r="F102" s="28" t="n">
        <x:v>5</x:v>
      </x:c>
      <x:c r="G102" s="23" t="str">
        <x:f>IFERROR(INDEX('官方售价'!$C$5:$C$204,MATCH(B102,'官方售价'!$A$5:$A$204,0)),"")</x:f>
        <x:v>SKU-SD20-STD-480</x:v>
      </x:c>
      <x:c r="H102" s="23" t="str">
        <x:f>IFERROR(INDEX('官方售价'!$D$5:$D$204,MATCH(B102,'官方售价'!$A$5:$A$204,0)),"")</x:f>
        <x:v>no_video</x:v>
      </x:c>
      <x:c r="I102" s="23" t="n">
        <x:f>IFERROR(INDEX('官方售价'!$H$5:$H$204,MATCH(B102,'官方售价'!$A$5:$A$204,0)),0)</x:f>
        <x:v>864</x:v>
      </x:c>
      <x:c r="J102" s="23" t="n">
        <x:f>IFERROR(INDEX('官方售价'!$I$5:$I$204,MATCH(B102,'官方售价'!$A$5:$A$204,0)),0)</x:f>
        <x:v>496</x:v>
      </x:c>
      <x:c r="K102" s="23" t="n">
        <x:f>IFERROR(INDEX('官方售价'!$J$5:$J$204,MATCH(B102,'官方售价'!$A$5:$A$204,0)),0)</x:f>
        <x:v>24</x:v>
      </x:c>
      <x:c r="L102" s="25" t="n">
        <x:f>(E102+F102)*I102*J102*K102/'参数'!$B$7</x:f>
        <x:v>50220</x:v>
      </x:c>
      <x:c r="M102" s="23" t="str">
        <x:f>IFERROR(INDEX('渠道成本'!$F$5:$F$1004,MATCH(C102,'渠道成本'!$A$5:$A$1004,0)),"")</x:f>
        <x:v>per_token</x:v>
      </x:c>
      <x:c r="N102" s="26" t="n">
        <x:f>IFERROR(INDEX('渠道成本'!$U$5:$U$1004,MATCH(C102,'渠道成本'!$A$5:$A$1004,0)),0)</x:f>
        <x:v>6.301369863013698</x:v>
      </x:c>
      <x:c r="O102" s="26" t="n">
        <x:f>IFERROR(L102/'参数'!$B$8*INDEX('官方售价'!$M$5:$M$204,MATCH(B102,'官方售价'!$A$5:$A$204,0)),0)</x:f>
        <x:v>0.3164547945205479</x:v>
      </x:c>
      <x:c r="P102" s="26" t="n">
        <x:f>IF(M102="per_token",L102/'参数'!$B$8*N102,IF(M102="per_duration",F102*N102,IF(M102="per_request",N102,0)))</x:f>
        <x:v>0.3164547945205479</x:v>
      </x:c>
      <x:c r="Q102" s="26" t="n">
        <x:f>O102*D102</x:f>
        <x:v>0.3164547945205479</x:v>
      </x:c>
      <x:c r="R102" s="26" t="n">
        <x:f>Q102-P102</x:f>
        <x:v>0</x:v>
      </x:c>
      <x:c r="S102" s="29" t="n">
        <x:f>IF(Q102=0,"",R102/Q102)</x:f>
        <x:v>0</x:v>
      </x:c>
      <x:c r="T102" s="23" t="str">
        <x:f>IF(OR(B102="",C102=""),"pending",IF(OR(O102&lt;0,P102&lt;0),"settlement_failed","settled"))</x:f>
        <x:v>settled</x:v>
      </x:c>
      <x:c r="U102" s="7" t="str">
        <x:v>源行=sd!56；自动利润预览；分组倍率可改为用户折扣</x:v>
      </x:c>
    </x:row>
    <x:row r="103" ht="26.350000381469727" customHeight="1">
      <x:c r="A103" s="19" t="str">
        <x:v>CASE-LUCEN-R56-480-TOK-VID</x:v>
      </x:c>
      <x:c r="B103" s="19" t="str">
        <x:v>SALE-SD20-STD-480-VID</x:v>
      </x:c>
      <x:c r="C103" s="19" t="str">
        <x:v>COST-LUCEN-R56-480-TOK-VID</x:v>
      </x:c>
      <x:c r="D103" s="28" t="n">
        <x:v>1</x:v>
      </x:c>
      <x:c r="E103" s="28" t="n">
        <x:v>3</x:v>
      </x:c>
      <x:c r="F103" s="28" t="n">
        <x:v>5</x:v>
      </x:c>
      <x:c r="G103" s="23" t="str">
        <x:f>IFERROR(INDEX('官方售价'!$C$5:$C$204,MATCH(B103,'官方售价'!$A$5:$A$204,0)),"")</x:f>
        <x:v>SKU-SD20-STD-480</x:v>
      </x:c>
      <x:c r="H103" s="23" t="str">
        <x:f>IFERROR(INDEX('官方售价'!$D$5:$D$204,MATCH(B103,'官方售价'!$A$5:$A$204,0)),"")</x:f>
        <x:v>with_video</x:v>
      </x:c>
      <x:c r="I103" s="23" t="n">
        <x:f>IFERROR(INDEX('官方售价'!$H$5:$H$204,MATCH(B103,'官方售价'!$A$5:$A$204,0)),0)</x:f>
        <x:v>864</x:v>
      </x:c>
      <x:c r="J103" s="23" t="n">
        <x:f>IFERROR(INDEX('官方售价'!$I$5:$I$204,MATCH(B103,'官方售价'!$A$5:$A$204,0)),0)</x:f>
        <x:v>496</x:v>
      </x:c>
      <x:c r="K103" s="23" t="n">
        <x:f>IFERROR(INDEX('官方售价'!$J$5:$J$204,MATCH(B103,'官方售价'!$A$5:$A$204,0)),0)</x:f>
        <x:v>24</x:v>
      </x:c>
      <x:c r="L103" s="25" t="n">
        <x:f>(E103+F103)*I103*J103*K103/'参数'!$B$7</x:f>
        <x:v>80352</x:v>
      </x:c>
      <x:c r="M103" s="23" t="str">
        <x:f>IFERROR(INDEX('渠道成本'!$F$5:$F$1004,MATCH(C103,'渠道成本'!$A$5:$A$1004,0)),"")</x:f>
        <x:v>per_token</x:v>
      </x:c>
      <x:c r="N103" s="26" t="n">
        <x:f>IFERROR(INDEX('渠道成本'!$U$5:$U$1004,MATCH(C103,'渠道成本'!$A$5:$A$1004,0)),0)</x:f>
        <x:v>6.301369863013698</x:v>
      </x:c>
      <x:c r="O103" s="26" t="n">
        <x:f>IFERROR(L103/'参数'!$B$8*INDEX('官方售价'!$M$5:$M$204,MATCH(B103,'官方售价'!$A$5:$A$204,0)),0)</x:f>
        <x:v>0.30819945205479454</x:v>
      </x:c>
      <x:c r="P103" s="26" t="n">
        <x:f>IF(M103="per_token",L103/'参数'!$B$8*N103,IF(M103="per_duration",F103*N103,IF(M103="per_request",N103,0)))</x:f>
        <x:v>0.5063276712328767</x:v>
      </x:c>
      <x:c r="Q103" s="26" t="n">
        <x:f>O103*D103</x:f>
        <x:v>0.30819945205479454</x:v>
      </x:c>
      <x:c r="R103" s="26" t="n">
        <x:f>Q103-P103</x:f>
        <x:v>-0.19812821917808215</x:v>
      </x:c>
      <x:c r="S103" s="29" t="n">
        <x:f>IF(Q103=0,"",R103/Q103)</x:f>
        <x:v>-0.6428571428571427</x:v>
      </x:c>
      <x:c r="T103" s="23" t="str">
        <x:f>IF(OR(B103="",C103=""),"pending",IF(OR(O103&lt;0,P103&lt;0),"settlement_failed","settled"))</x:f>
        <x:v>settled</x:v>
      </x:c>
      <x:c r="U103" s="7" t="str">
        <x:v>源行=sd!56；自动利润预览；分组倍率可改为用户折扣</x:v>
      </x:c>
    </x:row>
    <x:row r="104" ht="26.350000381469727" customHeight="1">
      <x:c r="A104" s="19" t="str">
        <x:v>CASE-LUCEN-R57-720-TOK-NOV</x:v>
      </x:c>
      <x:c r="B104" s="19" t="str">
        <x:v>SALE-SD20-STD-720-NOV</x:v>
      </x:c>
      <x:c r="C104" s="19" t="str">
        <x:v>COST-LUCEN-R57-720-TOK-NOV</x:v>
      </x:c>
      <x:c r="D104" s="28" t="n">
        <x:v>1</x:v>
      </x:c>
      <x:c r="E104" s="28" t="n">
        <x:v>0</x:v>
      </x:c>
      <x:c r="F104" s="28" t="n">
        <x:v>5</x:v>
      </x:c>
      <x:c r="G104" s="23" t="str">
        <x:f>IFERROR(INDEX('官方售价'!$C$5:$C$204,MATCH(B104,'官方售价'!$A$5:$A$204,0)),"")</x:f>
        <x:v>SKU-SD20-STD-720</x:v>
      </x:c>
      <x:c r="H104" s="23" t="str">
        <x:f>IFERROR(INDEX('官方售价'!$D$5:$D$204,MATCH(B104,'官方售价'!$A$5:$A$204,0)),"")</x:f>
        <x:v>no_video</x:v>
      </x:c>
      <x:c r="I104" s="23" t="n">
        <x:f>IFERROR(INDEX('官方售价'!$H$5:$H$204,MATCH(B104,'官方售价'!$A$5:$A$204,0)),0)</x:f>
        <x:v>1280</x:v>
      </x:c>
      <x:c r="J104" s="23" t="n">
        <x:f>IFERROR(INDEX('官方售价'!$I$5:$I$204,MATCH(B104,'官方售价'!$A$5:$A$204,0)),0)</x:f>
        <x:v>720</x:v>
      </x:c>
      <x:c r="K104" s="23" t="n">
        <x:f>IFERROR(INDEX('官方售价'!$J$5:$J$204,MATCH(B104,'官方售价'!$A$5:$A$204,0)),0)</x:f>
        <x:v>24</x:v>
      </x:c>
      <x:c r="L104" s="25" t="n">
        <x:f>(E104+F104)*I104*J104*K104/'参数'!$B$7</x:f>
        <x:v>108000</x:v>
      </x:c>
      <x:c r="M104" s="23" t="str">
        <x:f>IFERROR(INDEX('渠道成本'!$F$5:$F$1004,MATCH(C104,'渠道成本'!$A$5:$A$1004,0)),"")</x:f>
        <x:v>per_token</x:v>
      </x:c>
      <x:c r="N104" s="26" t="n">
        <x:f>IFERROR(INDEX('渠道成本'!$U$5:$U$1004,MATCH(C104,'渠道成本'!$A$5:$A$1004,0)),0)</x:f>
        <x:v>6.301369863013698</x:v>
      </x:c>
      <x:c r="O104" s="26" t="n">
        <x:f>IFERROR(L104/'参数'!$B$8*INDEX('官方售价'!$M$5:$M$204,MATCH(B104,'官方售价'!$A$5:$A$204,0)),0)</x:f>
        <x:v>0.6805479452054793</x:v>
      </x:c>
      <x:c r="P104" s="26" t="n">
        <x:f>IF(M104="per_token",L104/'参数'!$B$8*N104,IF(M104="per_duration",F104*N104,IF(M104="per_request",N104,0)))</x:f>
        <x:v>0.6805479452054793</x:v>
      </x:c>
      <x:c r="Q104" s="26" t="n">
        <x:f>O104*D104</x:f>
        <x:v>0.6805479452054793</x:v>
      </x:c>
      <x:c r="R104" s="26" t="n">
        <x:f>Q104-P104</x:f>
        <x:v>0</x:v>
      </x:c>
      <x:c r="S104" s="29" t="n">
        <x:f>IF(Q104=0,"",R104/Q104)</x:f>
        <x:v>0</x:v>
      </x:c>
      <x:c r="T104" s="23" t="str">
        <x:f>IF(OR(B104="",C104=""),"pending",IF(OR(O104&lt;0,P104&lt;0),"settlement_failed","settled"))</x:f>
        <x:v>settled</x:v>
      </x:c>
      <x:c r="U104" s="7" t="str">
        <x:v>源行=sd!57；自动利润预览；分组倍率可改为用户折扣</x:v>
      </x:c>
    </x:row>
    <x:row r="105" ht="26.350000381469727" customHeight="1">
      <x:c r="A105" s="19" t="str">
        <x:v>CASE-LUCEN-R57-720-TOK-VID</x:v>
      </x:c>
      <x:c r="B105" s="19" t="str">
        <x:v>SALE-SD20-STD-720-VID</x:v>
      </x:c>
      <x:c r="C105" s="19" t="str">
        <x:v>COST-LUCEN-R57-720-TOK-VID</x:v>
      </x:c>
      <x:c r="D105" s="28" t="n">
        <x:v>1</x:v>
      </x:c>
      <x:c r="E105" s="28" t="n">
        <x:v>3</x:v>
      </x:c>
      <x:c r="F105" s="28" t="n">
        <x:v>5</x:v>
      </x:c>
      <x:c r="G105" s="23" t="str">
        <x:f>IFERROR(INDEX('官方售价'!$C$5:$C$204,MATCH(B105,'官方售价'!$A$5:$A$204,0)),"")</x:f>
        <x:v>SKU-SD20-STD-720</x:v>
      </x:c>
      <x:c r="H105" s="23" t="str">
        <x:f>IFERROR(INDEX('官方售价'!$D$5:$D$204,MATCH(B105,'官方售价'!$A$5:$A$204,0)),"")</x:f>
        <x:v>with_video</x:v>
      </x:c>
      <x:c r="I105" s="23" t="n">
        <x:f>IFERROR(INDEX('官方售价'!$H$5:$H$204,MATCH(B105,'官方售价'!$A$5:$A$204,0)),0)</x:f>
        <x:v>1280</x:v>
      </x:c>
      <x:c r="J105" s="23" t="n">
        <x:f>IFERROR(INDEX('官方售价'!$I$5:$I$204,MATCH(B105,'官方售价'!$A$5:$A$204,0)),0)</x:f>
        <x:v>720</x:v>
      </x:c>
      <x:c r="K105" s="23" t="n">
        <x:f>IFERROR(INDEX('官方售价'!$J$5:$J$204,MATCH(B105,'官方售价'!$A$5:$A$204,0)),0)</x:f>
        <x:v>24</x:v>
      </x:c>
      <x:c r="L105" s="25" t="n">
        <x:f>(E105+F105)*I105*J105*K105/'参数'!$B$7</x:f>
        <x:v>172800</x:v>
      </x:c>
      <x:c r="M105" s="23" t="str">
        <x:f>IFERROR(INDEX('渠道成本'!$F$5:$F$1004,MATCH(C105,'渠道成本'!$A$5:$A$1004,0)),"")</x:f>
        <x:v>per_token</x:v>
      </x:c>
      <x:c r="N105" s="26" t="n">
        <x:f>IFERROR(INDEX('渠道成本'!$U$5:$U$1004,MATCH(C105,'渠道成本'!$A$5:$A$1004,0)),0)</x:f>
        <x:v>6.301369863013698</x:v>
      </x:c>
      <x:c r="O105" s="26" t="n">
        <x:f>IFERROR(L105/'参数'!$B$8*INDEX('官方售价'!$M$5:$M$204,MATCH(B105,'官方售价'!$A$5:$A$204,0)),0)</x:f>
        <x:v>0.6627945205479452</x:v>
      </x:c>
      <x:c r="P105" s="26" t="n">
        <x:f>IF(M105="per_token",L105/'参数'!$B$8*N105,IF(M105="per_duration",F105*N105,IF(M105="per_request",N105,0)))</x:f>
        <x:v>1.088876712328767</x:v>
      </x:c>
      <x:c r="Q105" s="26" t="n">
        <x:f>O105*D105</x:f>
        <x:v>0.6627945205479452</x:v>
      </x:c>
      <x:c r="R105" s="26" t="n">
        <x:f>Q105-P105</x:f>
        <x:v>-0.42608219178082185</x:v>
      </x:c>
      <x:c r="S105" s="29" t="n">
        <x:f>IF(Q105=0,"",R105/Q105)</x:f>
        <x:v>-0.6428571428571428</x:v>
      </x:c>
      <x:c r="T105" s="23" t="str">
        <x:f>IF(OR(B105="",C105=""),"pending",IF(OR(O105&lt;0,P105&lt;0),"settlement_failed","settled"))</x:f>
        <x:v>settled</x:v>
      </x:c>
      <x:c r="U105" s="7" t="str">
        <x:v>源行=sd!57；自动利润预览；分组倍率可改为用户折扣</x:v>
      </x:c>
    </x:row>
    <x:row r="106" ht="26.350000381469727" customHeight="1">
      <x:c r="A106" s="19" t="str">
        <x:v>CASE-LUCEN-R58-1080-TOK-NOV</x:v>
      </x:c>
      <x:c r="B106" s="19" t="str">
        <x:v>SALE-SD20-STD-1080-NOV</x:v>
      </x:c>
      <x:c r="C106" s="19" t="str">
        <x:v>COST-LUCEN-R58-1080-TOK-NOV</x:v>
      </x:c>
      <x:c r="D106" s="28" t="n">
        <x:v>1</x:v>
      </x:c>
      <x:c r="E106" s="28" t="n">
        <x:v>0</x:v>
      </x:c>
      <x:c r="F106" s="28" t="n">
        <x:v>5</x:v>
      </x:c>
      <x:c r="G106" s="23" t="str">
        <x:f>IFERROR(INDEX('官方售价'!$C$5:$C$204,MATCH(B106,'官方售价'!$A$5:$A$204,0)),"")</x:f>
        <x:v>SKU-SD20-STD-1080</x:v>
      </x:c>
      <x:c r="H106" s="23" t="str">
        <x:f>IFERROR(INDEX('官方售价'!$D$5:$D$204,MATCH(B106,'官方售价'!$A$5:$A$204,0)),"")</x:f>
        <x:v>no_video</x:v>
      </x:c>
      <x:c r="I106" s="23" t="n">
        <x:f>IFERROR(INDEX('官方售价'!$H$5:$H$204,MATCH(B106,'官方售价'!$A$5:$A$204,0)),0)</x:f>
        <x:v>1920</x:v>
      </x:c>
      <x:c r="J106" s="23" t="n">
        <x:f>IFERROR(INDEX('官方售价'!$I$5:$I$204,MATCH(B106,'官方售价'!$A$5:$A$204,0)),0)</x:f>
        <x:v>1080</x:v>
      </x:c>
      <x:c r="K106" s="23" t="n">
        <x:f>IFERROR(INDEX('官方售价'!$J$5:$J$204,MATCH(B106,'官方售价'!$A$5:$A$204,0)),0)</x:f>
        <x:v>24</x:v>
      </x:c>
      <x:c r="L106" s="25" t="n">
        <x:f>(E106+F106)*I106*J106*K106/'参数'!$B$7</x:f>
        <x:v>243000</x:v>
      </x:c>
      <x:c r="M106" s="23" t="str">
        <x:f>IFERROR(INDEX('渠道成本'!$F$5:$F$1004,MATCH(C106,'渠道成本'!$A$5:$A$1004,0)),"")</x:f>
        <x:v>per_token</x:v>
      </x:c>
      <x:c r="N106" s="26" t="n">
        <x:f>IFERROR(INDEX('渠道成本'!$U$5:$U$1004,MATCH(C106,'渠道成本'!$A$5:$A$1004,0)),0)</x:f>
        <x:v>6.986301369863013</x:v>
      </x:c>
      <x:c r="O106" s="26" t="n">
        <x:f>IFERROR(L106/'参数'!$B$8*INDEX('官方售价'!$M$5:$M$204,MATCH(B106,'官方售价'!$A$5:$A$204,0)),0)</x:f>
        <x:v>1.697671232876712</x:v>
      </x:c>
      <x:c r="P106" s="26" t="n">
        <x:f>IF(M106="per_token",L106/'参数'!$B$8*N106,IF(M106="per_duration",F106*N106,IF(M106="per_request",N106,0)))</x:f>
        <x:v>1.697671232876712</x:v>
      </x:c>
      <x:c r="Q106" s="26" t="n">
        <x:f>O106*D106</x:f>
        <x:v>1.697671232876712</x:v>
      </x:c>
      <x:c r="R106" s="26" t="n">
        <x:f>Q106-P106</x:f>
        <x:v>0</x:v>
      </x:c>
      <x:c r="S106" s="29" t="n">
        <x:f>IF(Q106=0,"",R106/Q106)</x:f>
        <x:v>0</x:v>
      </x:c>
      <x:c r="T106" s="23" t="str">
        <x:f>IF(OR(B106="",C106=""),"pending",IF(OR(O106&lt;0,P106&lt;0),"settlement_failed","settled"))</x:f>
        <x:v>settled</x:v>
      </x:c>
      <x:c r="U106" s="7" t="str">
        <x:v>源行=sd!58；自动利润预览；分组倍率可改为用户折扣</x:v>
      </x:c>
    </x:row>
    <x:row r="107" ht="26.350000381469727" customHeight="1">
      <x:c r="A107" s="19" t="str">
        <x:v>CASE-LUCEN-R58-1080-TOK-VID</x:v>
      </x:c>
      <x:c r="B107" s="19" t="str">
        <x:v>SALE-SD20-STD-1080-VID</x:v>
      </x:c>
      <x:c r="C107" s="19" t="str">
        <x:v>COST-LUCEN-R58-1080-TOK-VID</x:v>
      </x:c>
      <x:c r="D107" s="28" t="n">
        <x:v>1</x:v>
      </x:c>
      <x:c r="E107" s="28" t="n">
        <x:v>3</x:v>
      </x:c>
      <x:c r="F107" s="28" t="n">
        <x:v>5</x:v>
      </x:c>
      <x:c r="G107" s="23" t="str">
        <x:f>IFERROR(INDEX('官方售价'!$C$5:$C$204,MATCH(B107,'官方售价'!$A$5:$A$204,0)),"")</x:f>
        <x:v>SKU-SD20-STD-1080</x:v>
      </x:c>
      <x:c r="H107" s="23" t="str">
        <x:f>IFERROR(INDEX('官方售价'!$D$5:$D$204,MATCH(B107,'官方售价'!$A$5:$A$204,0)),"")</x:f>
        <x:v>with_video</x:v>
      </x:c>
      <x:c r="I107" s="23" t="n">
        <x:f>IFERROR(INDEX('官方售价'!$H$5:$H$204,MATCH(B107,'官方售价'!$A$5:$A$204,0)),0)</x:f>
        <x:v>1920</x:v>
      </x:c>
      <x:c r="J107" s="23" t="n">
        <x:f>IFERROR(INDEX('官方售价'!$I$5:$I$204,MATCH(B107,'官方售价'!$A$5:$A$204,0)),0)</x:f>
        <x:v>1080</x:v>
      </x:c>
      <x:c r="K107" s="23" t="n">
        <x:f>IFERROR(INDEX('官方售价'!$J$5:$J$204,MATCH(B107,'官方售价'!$A$5:$A$204,0)),0)</x:f>
        <x:v>24</x:v>
      </x:c>
      <x:c r="L107" s="25" t="n">
        <x:f>(E107+F107)*I107*J107*K107/'参数'!$B$7</x:f>
        <x:v>388800</x:v>
      </x:c>
      <x:c r="M107" s="23" t="str">
        <x:f>IFERROR(INDEX('渠道成本'!$F$5:$F$1004,MATCH(C107,'渠道成本'!$A$5:$A$1004,0)),"")</x:f>
        <x:v>per_token</x:v>
      </x:c>
      <x:c r="N107" s="26" t="n">
        <x:f>IFERROR(INDEX('渠道成本'!$U$5:$U$1004,MATCH(C107,'渠道成本'!$A$5:$A$1004,0)),0)</x:f>
        <x:v>6.986301369863013</x:v>
      </x:c>
      <x:c r="O107" s="26" t="n">
        <x:f>IFERROR(L107/'参数'!$B$8*INDEX('官方售价'!$M$5:$M$204,MATCH(B107,'官方售价'!$A$5:$A$204,0)),0)</x:f>
        <x:v>1.651068493150685</x:v>
      </x:c>
      <x:c r="P107" s="26" t="n">
        <x:f>IF(M107="per_token",L107/'参数'!$B$8*N107,IF(M107="per_duration",F107*N107,IF(M107="per_request",N107,0)))</x:f>
        <x:v>2.7162739726027394</x:v>
      </x:c>
      <x:c r="Q107" s="26" t="n">
        <x:f>O107*D107</x:f>
        <x:v>1.651068493150685</x:v>
      </x:c>
      <x:c r="R107" s="26" t="n">
        <x:f>Q107-P107</x:f>
        <x:v>-1.0652054794520545</x:v>
      </x:c>
      <x:c r="S107" s="29" t="n">
        <x:f>IF(Q107=0,"",R107/Q107)</x:f>
        <x:v>-0.6451612903225804</x:v>
      </x:c>
      <x:c r="T107" s="23" t="str">
        <x:f>IF(OR(B107="",C107=""),"pending",IF(OR(O107&lt;0,P107&lt;0),"settlement_failed","settled"))</x:f>
        <x:v>settled</x:v>
      </x:c>
      <x:c r="U107" s="7" t="str">
        <x:v>源行=sd!58；自动利润预览；分组倍率可改为用户折扣</x:v>
      </x:c>
    </x:row>
    <x:row r="108" ht="26.350000381469727" customHeight="1">
      <x:c r="A108" s="19" t="str">
        <x:v>CASE-8YES-R60-480-REQ-NOV</x:v>
      </x:c>
      <x:c r="B108" s="19" t="str">
        <x:v>SALE-SD20-STD-480-NOV</x:v>
      </x:c>
      <x:c r="C108" s="19" t="str">
        <x:v>COST-8YES-R60-480-REQ-NOV</x:v>
      </x:c>
      <x:c r="D108" s="28" t="n">
        <x:v>1</x:v>
      </x:c>
      <x:c r="E108" s="28" t="n">
        <x:v>0</x:v>
      </x:c>
      <x:c r="F108" s="28" t="n">
        <x:v>5</x:v>
      </x:c>
      <x:c r="G108" s="23" t="str">
        <x:f>IFERROR(INDEX('官方售价'!$C$5:$C$204,MATCH(B108,'官方售价'!$A$5:$A$204,0)),"")</x:f>
        <x:v>SKU-SD20-STD-480</x:v>
      </x:c>
      <x:c r="H108" s="23" t="str">
        <x:f>IFERROR(INDEX('官方售价'!$D$5:$D$204,MATCH(B108,'官方售价'!$A$5:$A$204,0)),"")</x:f>
        <x:v>no_video</x:v>
      </x:c>
      <x:c r="I108" s="23" t="n">
        <x:f>IFERROR(INDEX('官方售价'!$H$5:$H$204,MATCH(B108,'官方售价'!$A$5:$A$204,0)),0)</x:f>
        <x:v>864</x:v>
      </x:c>
      <x:c r="J108" s="23" t="n">
        <x:f>IFERROR(INDEX('官方售价'!$I$5:$I$204,MATCH(B108,'官方售价'!$A$5:$A$204,0)),0)</x:f>
        <x:v>496</x:v>
      </x:c>
      <x:c r="K108" s="23" t="n">
        <x:f>IFERROR(INDEX('官方售价'!$J$5:$J$204,MATCH(B108,'官方售价'!$A$5:$A$204,0)),0)</x:f>
        <x:v>24</x:v>
      </x:c>
      <x:c r="L108" s="25" t="n">
        <x:f>(E108+F108)*I108*J108*K108/'参数'!$B$7</x:f>
        <x:v>50220</x:v>
      </x:c>
      <x:c r="M108" s="23" t="str">
        <x:f>IFERROR(INDEX('渠道成本'!$F$5:$F$1004,MATCH(C108,'渠道成本'!$A$5:$A$1004,0)),"")</x:f>
        <x:v>per_request</x:v>
      </x:c>
      <x:c r="N108" s="26" t="n">
        <x:f>IFERROR(INDEX('渠道成本'!$U$5:$U$1004,MATCH(C108,'渠道成本'!$A$5:$A$1004,0)),0)</x:f>
        <x:v>0.6924726027397259</x:v>
      </x:c>
      <x:c r="O108" s="26" t="n">
        <x:f>IFERROR(L108/'参数'!$B$8*INDEX('官方售价'!$M$5:$M$204,MATCH(B108,'官方售价'!$A$5:$A$204,0)),0)</x:f>
        <x:v>0.3164547945205479</x:v>
      </x:c>
      <x:c r="P108" s="26" t="n">
        <x:f>IF(M108="per_token",L108/'参数'!$B$8*N108,IF(M108="per_duration",F108*N108,IF(M108="per_request",N108,0)))</x:f>
        <x:v>0.6924726027397259</x:v>
      </x:c>
      <x:c r="Q108" s="26" t="n">
        <x:f>O108*D108</x:f>
        <x:v>0.3164547945205479</x:v>
      </x:c>
      <x:c r="R108" s="26" t="n">
        <x:f>Q108-P108</x:f>
        <x:v>-0.37601780821917796</x:v>
      </x:c>
      <x:c r="S108" s="29" t="n">
        <x:f>IF(Q108=0,"",R108/Q108)</x:f>
        <x:v>-1.1882196595847831</x:v>
      </x:c>
      <x:c r="T108" s="23" t="str">
        <x:f>IF(OR(B108="",C108=""),"pending",IF(OR(O108&lt;0,P108&lt;0),"settlement_failed","settled"))</x:f>
        <x:v>settled</x:v>
      </x:c>
      <x:c r="U108" s="7" t="str">
        <x:v>源行=sd!60；自动利润预览；分组倍率可改为用户折扣</x:v>
      </x:c>
    </x:row>
    <x:row r="109" ht="26.350000381469727" customHeight="1">
      <x:c r="A109" s="19" t="str">
        <x:v>CASE-8YES-R60-480-REQ-VID</x:v>
      </x:c>
      <x:c r="B109" s="19" t="str">
        <x:v>SALE-SD20-STD-480-VID</x:v>
      </x:c>
      <x:c r="C109" s="19" t="str">
        <x:v>COST-8YES-R60-480-REQ-VID</x:v>
      </x:c>
      <x:c r="D109" s="28" t="n">
        <x:v>1</x:v>
      </x:c>
      <x:c r="E109" s="28" t="n">
        <x:v>3</x:v>
      </x:c>
      <x:c r="F109" s="28" t="n">
        <x:v>5</x:v>
      </x:c>
      <x:c r="G109" s="23" t="str">
        <x:f>IFERROR(INDEX('官方售价'!$C$5:$C$204,MATCH(B109,'官方售价'!$A$5:$A$204,0)),"")</x:f>
        <x:v>SKU-SD20-STD-480</x:v>
      </x:c>
      <x:c r="H109" s="23" t="str">
        <x:f>IFERROR(INDEX('官方售价'!$D$5:$D$204,MATCH(B109,'官方售价'!$A$5:$A$204,0)),"")</x:f>
        <x:v>with_video</x:v>
      </x:c>
      <x:c r="I109" s="23" t="n">
        <x:f>IFERROR(INDEX('官方售价'!$H$5:$H$204,MATCH(B109,'官方售价'!$A$5:$A$204,0)),0)</x:f>
        <x:v>864</x:v>
      </x:c>
      <x:c r="J109" s="23" t="n">
        <x:f>IFERROR(INDEX('官方售价'!$I$5:$I$204,MATCH(B109,'官方售价'!$A$5:$A$204,0)),0)</x:f>
        <x:v>496</x:v>
      </x:c>
      <x:c r="K109" s="23" t="n">
        <x:f>IFERROR(INDEX('官方售价'!$J$5:$J$204,MATCH(B109,'官方售价'!$A$5:$A$204,0)),0)</x:f>
        <x:v>24</x:v>
      </x:c>
      <x:c r="L109" s="25" t="n">
        <x:f>(E109+F109)*I109*J109*K109/'参数'!$B$7</x:f>
        <x:v>80352</x:v>
      </x:c>
      <x:c r="M109" s="23" t="str">
        <x:f>IFERROR(INDEX('渠道成本'!$F$5:$F$1004,MATCH(C109,'渠道成本'!$A$5:$A$1004,0)),"")</x:f>
        <x:v>per_request</x:v>
      </x:c>
      <x:c r="N109" s="26" t="n">
        <x:f>IFERROR(INDEX('渠道成本'!$U$5:$U$1004,MATCH(C109,'渠道成本'!$A$5:$A$1004,0)),0)</x:f>
        <x:v>0.6924726027397259</x:v>
      </x:c>
      <x:c r="O109" s="26" t="n">
        <x:f>IFERROR(L109/'参数'!$B$8*INDEX('官方售价'!$M$5:$M$204,MATCH(B109,'官方售价'!$A$5:$A$204,0)),0)</x:f>
        <x:v>0.30819945205479454</x:v>
      </x:c>
      <x:c r="P109" s="26" t="n">
        <x:f>IF(M109="per_token",L109/'参数'!$B$8*N109,IF(M109="per_duration",F109*N109,IF(M109="per_request",N109,0)))</x:f>
        <x:v>0.6924726027397259</x:v>
      </x:c>
      <x:c r="Q109" s="26" t="n">
        <x:f>O109*D109</x:f>
        <x:v>0.30819945205479454</x:v>
      </x:c>
      <x:c r="R109" s="26" t="n">
        <x:f>Q109-P109</x:f>
        <x:v>-0.38427315068493134</x:v>
      </x:c>
      <x:c r="S109" s="29" t="n">
        <x:f>IF(Q109=0,"",R109/Q109)</x:f>
        <x:v>-1.246832686180804</x:v>
      </x:c>
      <x:c r="T109" s="23" t="str">
        <x:f>IF(OR(B109="",C109=""),"pending",IF(OR(O109&lt;0,P109&lt;0),"settlement_failed","settled"))</x:f>
        <x:v>settled</x:v>
      </x:c>
      <x:c r="U109" s="7" t="str">
        <x:v>源行=sd!60；自动利润预览；分组倍率可改为用户折扣</x:v>
      </x:c>
    </x:row>
    <x:row r="110" ht="26.350000381469727" customHeight="1">
      <x:c r="A110" s="19" t="str">
        <x:v>CASE-8YES-R60-720-REQ-NOV</x:v>
      </x:c>
      <x:c r="B110" s="19" t="str">
        <x:v>SALE-SD20-STD-720-NOV</x:v>
      </x:c>
      <x:c r="C110" s="19" t="str">
        <x:v>COST-8YES-R60-720-REQ-NOV</x:v>
      </x:c>
      <x:c r="D110" s="28" t="n">
        <x:v>1</x:v>
      </x:c>
      <x:c r="E110" s="28" t="n">
        <x:v>0</x:v>
      </x:c>
      <x:c r="F110" s="28" t="n">
        <x:v>5</x:v>
      </x:c>
      <x:c r="G110" s="23" t="str">
        <x:f>IFERROR(INDEX('官方售价'!$C$5:$C$204,MATCH(B110,'官方售价'!$A$5:$A$204,0)),"")</x:f>
        <x:v>SKU-SD20-STD-720</x:v>
      </x:c>
      <x:c r="H110" s="23" t="str">
        <x:f>IFERROR(INDEX('官方售价'!$D$5:$D$204,MATCH(B110,'官方售价'!$A$5:$A$204,0)),"")</x:f>
        <x:v>no_video</x:v>
      </x:c>
      <x:c r="I110" s="23" t="n">
        <x:f>IFERROR(INDEX('官方售价'!$H$5:$H$204,MATCH(B110,'官方售价'!$A$5:$A$204,0)),0)</x:f>
        <x:v>1280</x:v>
      </x:c>
      <x:c r="J110" s="23" t="n">
        <x:f>IFERROR(INDEX('官方售价'!$I$5:$I$204,MATCH(B110,'官方售价'!$A$5:$A$204,0)),0)</x:f>
        <x:v>720</x:v>
      </x:c>
      <x:c r="K110" s="23" t="n">
        <x:f>IFERROR(INDEX('官方售价'!$J$5:$J$204,MATCH(B110,'官方售价'!$A$5:$A$204,0)),0)</x:f>
        <x:v>24</x:v>
      </x:c>
      <x:c r="L110" s="25" t="n">
        <x:f>(E110+F110)*I110*J110*K110/'参数'!$B$7</x:f>
        <x:v>108000</x:v>
      </x:c>
      <x:c r="M110" s="23" t="str">
        <x:f>IFERROR(INDEX('渠道成本'!$F$5:$F$1004,MATCH(C110,'渠道成本'!$A$5:$A$1004,0)),"")</x:f>
        <x:v>per_request</x:v>
      </x:c>
      <x:c r="N110" s="26" t="n">
        <x:f>IFERROR(INDEX('渠道成本'!$U$5:$U$1004,MATCH(C110,'渠道成本'!$A$5:$A$1004,0)),0)</x:f>
        <x:v>0.6924726027397259</x:v>
      </x:c>
      <x:c r="O110" s="26" t="n">
        <x:f>IFERROR(L110/'参数'!$B$8*INDEX('官方售价'!$M$5:$M$204,MATCH(B110,'官方售价'!$A$5:$A$204,0)),0)</x:f>
        <x:v>0.6805479452054793</x:v>
      </x:c>
      <x:c r="P110" s="26" t="n">
        <x:f>IF(M110="per_token",L110/'参数'!$B$8*N110,IF(M110="per_duration",F110*N110,IF(M110="per_request",N110,0)))</x:f>
        <x:v>0.6924726027397259</x:v>
      </x:c>
      <x:c r="Q110" s="26" t="n">
        <x:f>O110*D110</x:f>
        <x:v>0.6805479452054793</x:v>
      </x:c>
      <x:c r="R110" s="26" t="n">
        <x:f>Q110-P110</x:f>
        <x:v>-0.011924657534246541</x:v>
      </x:c>
      <x:c r="S110" s="29" t="n">
        <x:f>IF(Q110=0,"",R110/Q110)</x:f>
        <x:v>-0.017522141706924267</x:v>
      </x:c>
      <x:c r="T110" s="23" t="str">
        <x:f>IF(OR(B110="",C110=""),"pending",IF(OR(O110&lt;0,P110&lt;0),"settlement_failed","settled"))</x:f>
        <x:v>settled</x:v>
      </x:c>
      <x:c r="U110" s="7" t="str">
        <x:v>源行=sd!60；自动利润预览；分组倍率可改为用户折扣</x:v>
      </x:c>
    </x:row>
    <x:row r="111" ht="26.350000381469727" customHeight="1">
      <x:c r="A111" s="19" t="str">
        <x:v>CASE-8YES-R60-720-REQ-VID</x:v>
      </x:c>
      <x:c r="B111" s="19" t="str">
        <x:v>SALE-SD20-STD-720-VID</x:v>
      </x:c>
      <x:c r="C111" s="19" t="str">
        <x:v>COST-8YES-R60-720-REQ-VID</x:v>
      </x:c>
      <x:c r="D111" s="28" t="n">
        <x:v>1</x:v>
      </x:c>
      <x:c r="E111" s="28" t="n">
        <x:v>3</x:v>
      </x:c>
      <x:c r="F111" s="28" t="n">
        <x:v>5</x:v>
      </x:c>
      <x:c r="G111" s="23" t="str">
        <x:f>IFERROR(INDEX('官方售价'!$C$5:$C$204,MATCH(B111,'官方售价'!$A$5:$A$204,0)),"")</x:f>
        <x:v>SKU-SD20-STD-720</x:v>
      </x:c>
      <x:c r="H111" s="23" t="str">
        <x:f>IFERROR(INDEX('官方售价'!$D$5:$D$204,MATCH(B111,'官方售价'!$A$5:$A$204,0)),"")</x:f>
        <x:v>with_video</x:v>
      </x:c>
      <x:c r="I111" s="23" t="n">
        <x:f>IFERROR(INDEX('官方售价'!$H$5:$H$204,MATCH(B111,'官方售价'!$A$5:$A$204,0)),0)</x:f>
        <x:v>1280</x:v>
      </x:c>
      <x:c r="J111" s="23" t="n">
        <x:f>IFERROR(INDEX('官方售价'!$I$5:$I$204,MATCH(B111,'官方售价'!$A$5:$A$204,0)),0)</x:f>
        <x:v>720</x:v>
      </x:c>
      <x:c r="K111" s="23" t="n">
        <x:f>IFERROR(INDEX('官方售价'!$J$5:$J$204,MATCH(B111,'官方售价'!$A$5:$A$204,0)),0)</x:f>
        <x:v>24</x:v>
      </x:c>
      <x:c r="L111" s="25" t="n">
        <x:f>(E111+F111)*I111*J111*K111/'参数'!$B$7</x:f>
        <x:v>172800</x:v>
      </x:c>
      <x:c r="M111" s="23" t="str">
        <x:f>IFERROR(INDEX('渠道成本'!$F$5:$F$1004,MATCH(C111,'渠道成本'!$A$5:$A$1004,0)),"")</x:f>
        <x:v>per_request</x:v>
      </x:c>
      <x:c r="N111" s="26" t="n">
        <x:f>IFERROR(INDEX('渠道成本'!$U$5:$U$1004,MATCH(C111,'渠道成本'!$A$5:$A$1004,0)),0)</x:f>
        <x:v>0.6924726027397259</x:v>
      </x:c>
      <x:c r="O111" s="26" t="n">
        <x:f>IFERROR(L111/'参数'!$B$8*INDEX('官方售价'!$M$5:$M$204,MATCH(B111,'官方售价'!$A$5:$A$204,0)),0)</x:f>
        <x:v>0.6627945205479452</x:v>
      </x:c>
      <x:c r="P111" s="26" t="n">
        <x:f>IF(M111="per_token",L111/'参数'!$B$8*N111,IF(M111="per_duration",F111*N111,IF(M111="per_request",N111,0)))</x:f>
        <x:v>0.6924726027397259</x:v>
      </x:c>
      <x:c r="Q111" s="26" t="n">
        <x:f>O111*D111</x:f>
        <x:v>0.6627945205479452</x:v>
      </x:c>
      <x:c r="R111" s="26" t="n">
        <x:f>Q111-P111</x:f>
        <x:v>-0.029678082191780697</x:v>
      </x:c>
      <x:c r="S111" s="29" t="n">
        <x:f>IF(Q111=0,"",R111/Q111)</x:f>
        <x:v>-0.04477719907407389</x:v>
      </x:c>
      <x:c r="T111" s="23" t="str">
        <x:f>IF(OR(B111="",C111=""),"pending",IF(OR(O111&lt;0,P111&lt;0),"settlement_failed","settled"))</x:f>
        <x:v>settled</x:v>
      </x:c>
      <x:c r="U111" s="7" t="str">
        <x:v>源行=sd!60；自动利润预览；分组倍率可改为用户折扣</x:v>
      </x:c>
    </x:row>
    <x:row r="112" ht="26.350000381469727" customHeight="1">
      <x:c r="A112" s="19" t="str">
        <x:v>CASE-8YES-R61-1080-SEC-NOV</x:v>
      </x:c>
      <x:c r="B112" s="19" t="str">
        <x:v>SALE-SD20-STD-1080-NOV</x:v>
      </x:c>
      <x:c r="C112" s="19" t="str">
        <x:v>COST-8YES-R61-1080-SEC-NOV</x:v>
      </x:c>
      <x:c r="D112" s="28" t="n">
        <x:v>1</x:v>
      </x:c>
      <x:c r="E112" s="28" t="n">
        <x:v>0</x:v>
      </x:c>
      <x:c r="F112" s="28" t="n">
        <x:v>5</x:v>
      </x:c>
      <x:c r="G112" s="23" t="str">
        <x:f>IFERROR(INDEX('官方售价'!$C$5:$C$204,MATCH(B112,'官方售价'!$A$5:$A$204,0)),"")</x:f>
        <x:v>SKU-SD20-STD-1080</x:v>
      </x:c>
      <x:c r="H112" s="23" t="str">
        <x:f>IFERROR(INDEX('官方售价'!$D$5:$D$204,MATCH(B112,'官方售价'!$A$5:$A$204,0)),"")</x:f>
        <x:v>no_video</x:v>
      </x:c>
      <x:c r="I112" s="23" t="n">
        <x:f>IFERROR(INDEX('官方售价'!$H$5:$H$204,MATCH(B112,'官方售价'!$A$5:$A$204,0)),0)</x:f>
        <x:v>1920</x:v>
      </x:c>
      <x:c r="J112" s="23" t="n">
        <x:f>IFERROR(INDEX('官方售价'!$I$5:$I$204,MATCH(B112,'官方售价'!$A$5:$A$204,0)),0)</x:f>
        <x:v>1080</x:v>
      </x:c>
      <x:c r="K112" s="23" t="n">
        <x:f>IFERROR(INDEX('官方售价'!$J$5:$J$204,MATCH(B112,'官方售价'!$A$5:$A$204,0)),0)</x:f>
        <x:v>24</x:v>
      </x:c>
      <x:c r="L112" s="25" t="n">
        <x:f>(E112+F112)*I112*J112*K112/'参数'!$B$7</x:f>
        <x:v>243000</x:v>
      </x:c>
      <x:c r="M112" s="23" t="str">
        <x:f>IFERROR(INDEX('渠道成本'!$F$5:$F$1004,MATCH(C112,'渠道成本'!$A$5:$A$1004,0)),"")</x:f>
        <x:v>per_duration</x:v>
      </x:c>
      <x:c r="N112" s="26" t="n">
        <x:f>IFERROR(INDEX('渠道成本'!$U$5:$U$1004,MATCH(C112,'渠道成本'!$A$5:$A$1004,0)),0)</x:f>
        <x:v>0.26979452054794517</x:v>
      </x:c>
      <x:c r="O112" s="26" t="n">
        <x:f>IFERROR(L112/'参数'!$B$8*INDEX('官方售价'!$M$5:$M$204,MATCH(B112,'官方售价'!$A$5:$A$204,0)),0)</x:f>
        <x:v>1.697671232876712</x:v>
      </x:c>
      <x:c r="P112" s="26" t="n">
        <x:f>IF(M112="per_token",L112/'参数'!$B$8*N112,IF(M112="per_duration",F112*N112,IF(M112="per_request",N112,0)))</x:f>
        <x:v>1.348972602739726</x:v>
      </x:c>
      <x:c r="Q112" s="26" t="n">
        <x:f>O112*D112</x:f>
        <x:v>1.697671232876712</x:v>
      </x:c>
      <x:c r="R112" s="26" t="n">
        <x:f>Q112-P112</x:f>
        <x:v>0.3486986301369861</x:v>
      </x:c>
      <x:c r="S112" s="29" t="n">
        <x:f>IF(Q112=0,"",R112/Q112)</x:f>
        <x:v>0.20539820866618244</x:v>
      </x:c>
      <x:c r="T112" s="23" t="str">
        <x:f>IF(OR(B112="",C112=""),"pending",IF(OR(O112&lt;0,P112&lt;0),"settlement_failed","settled"))</x:f>
        <x:v>settled</x:v>
      </x:c>
      <x:c r="U112" s="7" t="str">
        <x:v>源行=sd!61；自动利润预览；分组倍率可改为用户折扣</x:v>
      </x:c>
    </x:row>
    <x:row r="113" ht="26.350000381469727" customHeight="1">
      <x:c r="A113" s="19" t="str">
        <x:v>CASE-8YES-R61-1080-SEC-VID</x:v>
      </x:c>
      <x:c r="B113" s="19" t="str">
        <x:v>SALE-SD20-STD-1080-VID</x:v>
      </x:c>
      <x:c r="C113" s="19" t="str">
        <x:v>COST-8YES-R61-1080-SEC-VID</x:v>
      </x:c>
      <x:c r="D113" s="28" t="n">
        <x:v>1</x:v>
      </x:c>
      <x:c r="E113" s="28" t="n">
        <x:v>3</x:v>
      </x:c>
      <x:c r="F113" s="28" t="n">
        <x:v>5</x:v>
      </x:c>
      <x:c r="G113" s="23" t="str">
        <x:f>IFERROR(INDEX('官方售价'!$C$5:$C$204,MATCH(B113,'官方售价'!$A$5:$A$204,0)),"")</x:f>
        <x:v>SKU-SD20-STD-1080</x:v>
      </x:c>
      <x:c r="H113" s="23" t="str">
        <x:f>IFERROR(INDEX('官方售价'!$D$5:$D$204,MATCH(B113,'官方售价'!$A$5:$A$204,0)),"")</x:f>
        <x:v>with_video</x:v>
      </x:c>
      <x:c r="I113" s="23" t="n">
        <x:f>IFERROR(INDEX('官方售价'!$H$5:$H$204,MATCH(B113,'官方售价'!$A$5:$A$204,0)),0)</x:f>
        <x:v>1920</x:v>
      </x:c>
      <x:c r="J113" s="23" t="n">
        <x:f>IFERROR(INDEX('官方售价'!$I$5:$I$204,MATCH(B113,'官方售价'!$A$5:$A$204,0)),0)</x:f>
        <x:v>1080</x:v>
      </x:c>
      <x:c r="K113" s="23" t="n">
        <x:f>IFERROR(INDEX('官方售价'!$J$5:$J$204,MATCH(B113,'官方售价'!$A$5:$A$204,0)),0)</x:f>
        <x:v>24</x:v>
      </x:c>
      <x:c r="L113" s="25" t="n">
        <x:f>(E113+F113)*I113*J113*K113/'参数'!$B$7</x:f>
        <x:v>388800</x:v>
      </x:c>
      <x:c r="M113" s="23" t="str">
        <x:f>IFERROR(INDEX('渠道成本'!$F$5:$F$1004,MATCH(C113,'渠道成本'!$A$5:$A$1004,0)),"")</x:f>
        <x:v>per_duration</x:v>
      </x:c>
      <x:c r="N113" s="26" t="n">
        <x:f>IFERROR(INDEX('渠道成本'!$U$5:$U$1004,MATCH(C113,'渠道成本'!$A$5:$A$1004,0)),0)</x:f>
        <x:v>0.26979452054794517</x:v>
      </x:c>
      <x:c r="O113" s="26" t="n">
        <x:f>IFERROR(L113/'参数'!$B$8*INDEX('官方售价'!$M$5:$M$204,MATCH(B113,'官方售价'!$A$5:$A$204,0)),0)</x:f>
        <x:v>1.651068493150685</x:v>
      </x:c>
      <x:c r="P113" s="26" t="n">
        <x:f>IF(M113="per_token",L113/'参数'!$B$8*N113,IF(M113="per_duration",F113*N113,IF(M113="per_request",N113,0)))</x:f>
        <x:v>1.348972602739726</x:v>
      </x:c>
      <x:c r="Q113" s="26" t="n">
        <x:f>O113*D113</x:f>
        <x:v>1.651068493150685</x:v>
      </x:c>
      <x:c r="R113" s="26" t="n">
        <x:f>Q113-P113</x:f>
        <x:v>0.30209589041095897</x:v>
      </x:c>
      <x:c r="S113" s="29" t="n">
        <x:f>IF(Q113=0,"",R113/Q113)</x:f>
        <x:v>0.18296993229788933</x:v>
      </x:c>
      <x:c r="T113" s="23" t="str">
        <x:f>IF(OR(B113="",C113=""),"pending",IF(OR(O113&lt;0,P113&lt;0),"settlement_failed","settled"))</x:f>
        <x:v>settled</x:v>
      </x:c>
      <x:c r="U113" s="7" t="str">
        <x:v>源行=sd!61；自动利润预览；分组倍率可改为用户折扣</x:v>
      </x:c>
    </x:row>
    <x:row r="114" ht="26.350000381469727" customHeight="1">
      <x:c r="A114" s="19" t="str">
        <x:v>CASE-8YES-R62-480-SEC-NOV</x:v>
      </x:c>
      <x:c r="B114" s="19" t="str">
        <x:v>SALE-SD20-STD-480-NOV</x:v>
      </x:c>
      <x:c r="C114" s="19" t="str">
        <x:v>COST-8YES-R62-480-SEC-NOV</x:v>
      </x:c>
      <x:c r="D114" s="28" t="n">
        <x:v>1</x:v>
      </x:c>
      <x:c r="E114" s="28" t="n">
        <x:v>0</x:v>
      </x:c>
      <x:c r="F114" s="28" t="n">
        <x:v>5</x:v>
      </x:c>
      <x:c r="G114" s="23" t="str">
        <x:f>IFERROR(INDEX('官方售价'!$C$5:$C$204,MATCH(B114,'官方售价'!$A$5:$A$204,0)),"")</x:f>
        <x:v>SKU-SD20-STD-480</x:v>
      </x:c>
      <x:c r="H114" s="23" t="str">
        <x:f>IFERROR(INDEX('官方售价'!$D$5:$D$204,MATCH(B114,'官方售价'!$A$5:$A$204,0)),"")</x:f>
        <x:v>no_video</x:v>
      </x:c>
      <x:c r="I114" s="23" t="n">
        <x:f>IFERROR(INDEX('官方售价'!$H$5:$H$204,MATCH(B114,'官方售价'!$A$5:$A$204,0)),0)</x:f>
        <x:v>864</x:v>
      </x:c>
      <x:c r="J114" s="23" t="n">
        <x:f>IFERROR(INDEX('官方售价'!$I$5:$I$204,MATCH(B114,'官方售价'!$A$5:$A$204,0)),0)</x:f>
        <x:v>496</x:v>
      </x:c>
      <x:c r="K114" s="23" t="n">
        <x:f>IFERROR(INDEX('官方售价'!$J$5:$J$204,MATCH(B114,'官方售价'!$A$5:$A$204,0)),0)</x:f>
        <x:v>24</x:v>
      </x:c>
      <x:c r="L114" s="25" t="n">
        <x:f>(E114+F114)*I114*J114*K114/'参数'!$B$7</x:f>
        <x:v>50220</x:v>
      </x:c>
      <x:c r="M114" s="23" t="str">
        <x:f>IFERROR(INDEX('渠道成本'!$F$5:$F$1004,MATCH(C114,'渠道成本'!$A$5:$A$1004,0)),"")</x:f>
        <x:v>per_duration</x:v>
      </x:c>
      <x:c r="N114" s="26" t="n">
        <x:f>IFERROR(INDEX('渠道成本'!$U$5:$U$1004,MATCH(C114,'渠道成本'!$A$5:$A$1004,0)),0)</x:f>
        <x:v>0.08093835616438355</x:v>
      </x:c>
      <x:c r="O114" s="26" t="n">
        <x:f>IFERROR(L114/'参数'!$B$8*INDEX('官方售价'!$M$5:$M$204,MATCH(B114,'官方售价'!$A$5:$A$204,0)),0)</x:f>
        <x:v>0.3164547945205479</x:v>
      </x:c>
      <x:c r="P114" s="26" t="n">
        <x:f>IF(M114="per_token",L114/'参数'!$B$8*N114,IF(M114="per_duration",F114*N114,IF(M114="per_request",N114,0)))</x:f>
        <x:v>0.40469178082191776</x:v>
      </x:c>
      <x:c r="Q114" s="26" t="n">
        <x:f>O114*D114</x:f>
        <x:v>0.3164547945205479</x:v>
      </x:c>
      <x:c r="R114" s="26" t="n">
        <x:f>Q114-P114</x:f>
        <x:v>-0.08823698630136984</x:v>
      </x:c>
      <x:c r="S114" s="29" t="n">
        <x:f>IF(Q114=0,"",R114/Q114)</x:f>
        <x:v>-0.27882967118591234</x:v>
      </x:c>
      <x:c r="T114" s="23" t="str">
        <x:f>IF(OR(B114="",C114=""),"pending",IF(OR(O114&lt;0,P114&lt;0),"settlement_failed","settled"))</x:f>
        <x:v>settled</x:v>
      </x:c>
      <x:c r="U114" s="7" t="str">
        <x:v>源行=sd!62；自动利润预览；分组倍率可改为用户折扣</x:v>
      </x:c>
    </x:row>
    <x:row r="115" ht="26.350000381469727" customHeight="1">
      <x:c r="A115" s="19" t="str">
        <x:v>CASE-8YES-R62-480-SEC-VID</x:v>
      </x:c>
      <x:c r="B115" s="19" t="str">
        <x:v>SALE-SD20-STD-480-VID</x:v>
      </x:c>
      <x:c r="C115" s="19" t="str">
        <x:v>COST-8YES-R62-480-SEC-VID</x:v>
      </x:c>
      <x:c r="D115" s="28" t="n">
        <x:v>1</x:v>
      </x:c>
      <x:c r="E115" s="28" t="n">
        <x:v>3</x:v>
      </x:c>
      <x:c r="F115" s="28" t="n">
        <x:v>5</x:v>
      </x:c>
      <x:c r="G115" s="23" t="str">
        <x:f>IFERROR(INDEX('官方售价'!$C$5:$C$204,MATCH(B115,'官方售价'!$A$5:$A$204,0)),"")</x:f>
        <x:v>SKU-SD20-STD-480</x:v>
      </x:c>
      <x:c r="H115" s="23" t="str">
        <x:f>IFERROR(INDEX('官方售价'!$D$5:$D$204,MATCH(B115,'官方售价'!$A$5:$A$204,0)),"")</x:f>
        <x:v>with_video</x:v>
      </x:c>
      <x:c r="I115" s="23" t="n">
        <x:f>IFERROR(INDEX('官方售价'!$H$5:$H$204,MATCH(B115,'官方售价'!$A$5:$A$204,0)),0)</x:f>
        <x:v>864</x:v>
      </x:c>
      <x:c r="J115" s="23" t="n">
        <x:f>IFERROR(INDEX('官方售价'!$I$5:$I$204,MATCH(B115,'官方售价'!$A$5:$A$204,0)),0)</x:f>
        <x:v>496</x:v>
      </x:c>
      <x:c r="K115" s="23" t="n">
        <x:f>IFERROR(INDEX('官方售价'!$J$5:$J$204,MATCH(B115,'官方售价'!$A$5:$A$204,0)),0)</x:f>
        <x:v>24</x:v>
      </x:c>
      <x:c r="L115" s="25" t="n">
        <x:f>(E115+F115)*I115*J115*K115/'参数'!$B$7</x:f>
        <x:v>80352</x:v>
      </x:c>
      <x:c r="M115" s="23" t="str">
        <x:f>IFERROR(INDEX('渠道成本'!$F$5:$F$1004,MATCH(C115,'渠道成本'!$A$5:$A$1004,0)),"")</x:f>
        <x:v>per_duration</x:v>
      </x:c>
      <x:c r="N115" s="26" t="n">
        <x:f>IFERROR(INDEX('渠道成本'!$U$5:$U$1004,MATCH(C115,'渠道成本'!$A$5:$A$1004,0)),0)</x:f>
        <x:v>0.08093835616438355</x:v>
      </x:c>
      <x:c r="O115" s="26" t="n">
        <x:f>IFERROR(L115/'参数'!$B$8*INDEX('官方售价'!$M$5:$M$204,MATCH(B115,'官方售价'!$A$5:$A$204,0)),0)</x:f>
        <x:v>0.30819945205479454</x:v>
      </x:c>
      <x:c r="P115" s="26" t="n">
        <x:f>IF(M115="per_token",L115/'参数'!$B$8*N115,IF(M115="per_duration",F115*N115,IF(M115="per_request",N115,0)))</x:f>
        <x:v>0.40469178082191776</x:v>
      </x:c>
      <x:c r="Q115" s="26" t="n">
        <x:f>O115*D115</x:f>
        <x:v>0.30819945205479454</x:v>
      </x:c>
      <x:c r="R115" s="26" t="n">
        <x:f>Q115-P115</x:f>
        <x:v>-0.09649232876712321</x:v>
      </x:c>
      <x:c r="S115" s="29" t="n">
        <x:f>IF(Q115=0,"",R115/Q115)</x:f>
        <x:v>-0.31308403737839197</x:v>
      </x:c>
      <x:c r="T115" s="23" t="str">
        <x:f>IF(OR(B115="",C115=""),"pending",IF(OR(O115&lt;0,P115&lt;0),"settlement_failed","settled"))</x:f>
        <x:v>settled</x:v>
      </x:c>
      <x:c r="U115" s="7" t="str">
        <x:v>源行=sd!62；自动利润预览；分组倍率可改为用户折扣</x:v>
      </x:c>
    </x:row>
    <x:row r="116" ht="26.350000381469727" customHeight="1">
      <x:c r="A116" s="19" t="str">
        <x:v>CASE-8YES-R63-4K-SEC-NOV</x:v>
      </x:c>
      <x:c r="B116" s="19" t="str">
        <x:v>SALE-SD20-STD-4K-NOV</x:v>
      </x:c>
      <x:c r="C116" s="19" t="str">
        <x:v>COST-8YES-R63-4K-SEC-NOV</x:v>
      </x:c>
      <x:c r="D116" s="28" t="n">
        <x:v>1</x:v>
      </x:c>
      <x:c r="E116" s="28" t="n">
        <x:v>0</x:v>
      </x:c>
      <x:c r="F116" s="28" t="n">
        <x:v>5</x:v>
      </x:c>
      <x:c r="G116" s="23" t="str">
        <x:f>IFERROR(INDEX('官方售价'!$C$5:$C$204,MATCH(B116,'官方售价'!$A$5:$A$204,0)),"")</x:f>
        <x:v>SKU-SD20-STD-4K</x:v>
      </x:c>
      <x:c r="H116" s="23" t="str">
        <x:f>IFERROR(INDEX('官方售价'!$D$5:$D$204,MATCH(B116,'官方售价'!$A$5:$A$204,0)),"")</x:f>
        <x:v>no_video</x:v>
      </x:c>
      <x:c r="I116" s="23" t="n">
        <x:f>IFERROR(INDEX('官方售价'!$H$5:$H$204,MATCH(B116,'官方售价'!$A$5:$A$204,0)),0)</x:f>
        <x:v>3840</x:v>
      </x:c>
      <x:c r="J116" s="23" t="n">
        <x:f>IFERROR(INDEX('官方售价'!$I$5:$I$204,MATCH(B116,'官方售价'!$A$5:$A$204,0)),0)</x:f>
        <x:v>2160</x:v>
      </x:c>
      <x:c r="K116" s="23" t="n">
        <x:f>IFERROR(INDEX('官方售价'!$J$5:$J$204,MATCH(B116,'官方售价'!$A$5:$A$204,0)),0)</x:f>
        <x:v>24</x:v>
      </x:c>
      <x:c r="L116" s="25" t="n">
        <x:f>(E116+F116)*I116*J116*K116/'参数'!$B$7</x:f>
        <x:v>972000</x:v>
      </x:c>
      <x:c r="M116" s="23" t="str">
        <x:f>IFERROR(INDEX('渠道成本'!$F$5:$F$1004,MATCH(C116,'渠道成本'!$A$5:$A$1004,0)),"")</x:f>
        <x:v>per_duration</x:v>
      </x:c>
      <x:c r="N116" s="26" t="n">
        <x:f>IFERROR(INDEX('渠道成本'!$U$5:$U$1004,MATCH(C116,'渠道成本'!$A$5:$A$1004,0)),0)</x:f>
        <x:v>0.5395890410958903</x:v>
      </x:c>
      <x:c r="O116" s="26" t="n">
        <x:f>IFERROR(L116/'参数'!$B$8*INDEX('官方售价'!$M$5:$M$204,MATCH(B116,'官方售价'!$A$5:$A$204,0)),0)</x:f>
        <x:v>3.461917808219178</x:v>
      </x:c>
      <x:c r="P116" s="26" t="n">
        <x:f>IF(M116="per_token",L116/'参数'!$B$8*N116,IF(M116="per_duration",F116*N116,IF(M116="per_request",N116,0)))</x:f>
        <x:v>2.697945205479452</x:v>
      </x:c>
      <x:c r="Q116" s="26" t="n">
        <x:f>O116*D116</x:f>
        <x:v>3.461917808219178</x:v>
      </x:c>
      <x:c r="R116" s="26" t="n">
        <x:f>Q116-P116</x:f>
        <x:v>0.763972602739726</x:v>
      </x:c>
      <x:c r="S116" s="29" t="n">
        <x:f>IF(Q116=0,"",R116/Q116)</x:f>
        <x:v>0.22067901234567902</x:v>
      </x:c>
      <x:c r="T116" s="23" t="str">
        <x:f>IF(OR(B116="",C116=""),"pending",IF(OR(O116&lt;0,P116&lt;0),"settlement_failed","settled"))</x:f>
        <x:v>settled</x:v>
      </x:c>
      <x:c r="U116" s="7" t="str">
        <x:v>源行=sd!63；自动利润预览；分组倍率可改为用户折扣</x:v>
      </x:c>
    </x:row>
    <x:row r="117" ht="26.350000381469727" customHeight="1">
      <x:c r="A117" s="19" t="str">
        <x:v>CASE-8YES-R63-4K-SEC-VID</x:v>
      </x:c>
      <x:c r="B117" s="19" t="str">
        <x:v>SALE-SD20-STD-4K-VID</x:v>
      </x:c>
      <x:c r="C117" s="19" t="str">
        <x:v>COST-8YES-R63-4K-SEC-VID</x:v>
      </x:c>
      <x:c r="D117" s="28" t="n">
        <x:v>1</x:v>
      </x:c>
      <x:c r="E117" s="28" t="n">
        <x:v>3</x:v>
      </x:c>
      <x:c r="F117" s="28" t="n">
        <x:v>5</x:v>
      </x:c>
      <x:c r="G117" s="23" t="str">
        <x:f>IFERROR(INDEX('官方售价'!$C$5:$C$204,MATCH(B117,'官方售价'!$A$5:$A$204,0)),"")</x:f>
        <x:v>SKU-SD20-STD-4K</x:v>
      </x:c>
      <x:c r="H117" s="23" t="str">
        <x:f>IFERROR(INDEX('官方售价'!$D$5:$D$204,MATCH(B117,'官方售价'!$A$5:$A$204,0)),"")</x:f>
        <x:v>with_video</x:v>
      </x:c>
      <x:c r="I117" s="23" t="n">
        <x:f>IFERROR(INDEX('官方售价'!$H$5:$H$204,MATCH(B117,'官方售价'!$A$5:$A$204,0)),0)</x:f>
        <x:v>3840</x:v>
      </x:c>
      <x:c r="J117" s="23" t="n">
        <x:f>IFERROR(INDEX('官方售价'!$I$5:$I$204,MATCH(B117,'官方售价'!$A$5:$A$204,0)),0)</x:f>
        <x:v>2160</x:v>
      </x:c>
      <x:c r="K117" s="23" t="n">
        <x:f>IFERROR(INDEX('官方售价'!$J$5:$J$204,MATCH(B117,'官方售价'!$A$5:$A$204,0)),0)</x:f>
        <x:v>24</x:v>
      </x:c>
      <x:c r="L117" s="25" t="n">
        <x:f>(E117+F117)*I117*J117*K117/'参数'!$B$7</x:f>
        <x:v>1555200</x:v>
      </x:c>
      <x:c r="M117" s="23" t="str">
        <x:f>IFERROR(INDEX('渠道成本'!$F$5:$F$1004,MATCH(C117,'渠道成本'!$A$5:$A$1004,0)),"")</x:f>
        <x:v>per_duration</x:v>
      </x:c>
      <x:c r="N117" s="26" t="n">
        <x:f>IFERROR(INDEX('渠道成本'!$U$5:$U$1004,MATCH(C117,'渠道成本'!$A$5:$A$1004,0)),0)</x:f>
        <x:v>0.5395890410958903</x:v>
      </x:c>
      <x:c r="O117" s="26" t="n">
        <x:f>IFERROR(L117/'参数'!$B$8*INDEX('官方售价'!$M$5:$M$204,MATCH(B117,'官方售价'!$A$5:$A$204,0)),0)</x:f>
        <x:v>3.408657534246575</x:v>
      </x:c>
      <x:c r="P117" s="26" t="n">
        <x:f>IF(M117="per_token",L117/'参数'!$B$8*N117,IF(M117="per_duration",F117*N117,IF(M117="per_request",N117,0)))</x:f>
        <x:v>2.697945205479452</x:v>
      </x:c>
      <x:c r="Q117" s="26" t="n">
        <x:f>O117*D117</x:f>
        <x:v>3.408657534246575</x:v>
      </x:c>
      <x:c r="R117" s="26" t="n">
        <x:f>Q117-P117</x:f>
        <x:v>0.7107123287671229</x:v>
      </x:c>
      <x:c r="S117" s="29" t="n">
        <x:f>IF(Q117=0,"",R117/Q117)</x:f>
        <x:v>0.20850212191358017</x:v>
      </x:c>
      <x:c r="T117" s="23" t="str">
        <x:f>IF(OR(B117="",C117=""),"pending",IF(OR(O117&lt;0,P117&lt;0),"settlement_failed","settled"))</x:f>
        <x:v>settled</x:v>
      </x:c>
      <x:c r="U117" s="7" t="str">
        <x:v>源行=sd!63；自动利润预览；分组倍率可改为用户折扣</x:v>
      </x:c>
    </x:row>
    <x:row r="118" ht="26.350000381469727" customHeight="1">
      <x:c r="A118" s="19" t="str">
        <x:v>CASE-8YES-R64-720-SEC-NOV</x:v>
      </x:c>
      <x:c r="B118" s="19" t="str">
        <x:v>SALE-SD20-STD-720-NOV</x:v>
      </x:c>
      <x:c r="C118" s="19" t="str">
        <x:v>COST-8YES-R64-720-SEC-NOV</x:v>
      </x:c>
      <x:c r="D118" s="28" t="n">
        <x:v>1</x:v>
      </x:c>
      <x:c r="E118" s="28" t="n">
        <x:v>0</x:v>
      </x:c>
      <x:c r="F118" s="28" t="n">
        <x:v>5</x:v>
      </x:c>
      <x:c r="G118" s="23" t="str">
        <x:f>IFERROR(INDEX('官方售价'!$C$5:$C$204,MATCH(B118,'官方售价'!$A$5:$A$204,0)),"")</x:f>
        <x:v>SKU-SD20-STD-720</x:v>
      </x:c>
      <x:c r="H118" s="23" t="str">
        <x:f>IFERROR(INDEX('官方售价'!$D$5:$D$204,MATCH(B118,'官方售价'!$A$5:$A$204,0)),"")</x:f>
        <x:v>no_video</x:v>
      </x:c>
      <x:c r="I118" s="23" t="n">
        <x:f>IFERROR(INDEX('官方售价'!$H$5:$H$204,MATCH(B118,'官方售价'!$A$5:$A$204,0)),0)</x:f>
        <x:v>1280</x:v>
      </x:c>
      <x:c r="J118" s="23" t="n">
        <x:f>IFERROR(INDEX('官方售价'!$I$5:$I$204,MATCH(B118,'官方售价'!$A$5:$A$204,0)),0)</x:f>
        <x:v>720</x:v>
      </x:c>
      <x:c r="K118" s="23" t="n">
        <x:f>IFERROR(INDEX('官方售价'!$J$5:$J$204,MATCH(B118,'官方售价'!$A$5:$A$204,0)),0)</x:f>
        <x:v>24</x:v>
      </x:c>
      <x:c r="L118" s="25" t="n">
        <x:f>(E118+F118)*I118*J118*K118/'参数'!$B$7</x:f>
        <x:v>108000</x:v>
      </x:c>
      <x:c r="M118" s="23" t="str">
        <x:f>IFERROR(INDEX('渠道成本'!$F$5:$F$1004,MATCH(C118,'渠道成本'!$A$5:$A$1004,0)),"")</x:f>
        <x:v>per_duration</x:v>
      </x:c>
      <x:c r="N118" s="26" t="n">
        <x:f>IFERROR(INDEX('渠道成本'!$U$5:$U$1004,MATCH(C118,'渠道成本'!$A$5:$A$1004,0)),0)</x:f>
        <x:v>0.11691095890410957</x:v>
      </x:c>
      <x:c r="O118" s="26" t="n">
        <x:f>IFERROR(L118/'参数'!$B$8*INDEX('官方售价'!$M$5:$M$204,MATCH(B118,'官方售价'!$A$5:$A$204,0)),0)</x:f>
        <x:v>0.6805479452054793</x:v>
      </x:c>
      <x:c r="P118" s="26" t="n">
        <x:f>IF(M118="per_token",L118/'参数'!$B$8*N118,IF(M118="per_duration",F118*N118,IF(M118="per_request",N118,0)))</x:f>
        <x:v>0.5845547945205478</x:v>
      </x:c>
      <x:c r="Q118" s="26" t="n">
        <x:f>O118*D118</x:f>
        <x:v>0.6805479452054793</x:v>
      </x:c>
      <x:c r="R118" s="26" t="n">
        <x:f>Q118-P118</x:f>
        <x:v>0.09599315068493153</x:v>
      </x:c>
      <x:c r="S118" s="29" t="n">
        <x:f>IF(Q118=0,"",R118/Q118)</x:f>
        <x:v>0.14105273752012887</x:v>
      </x:c>
      <x:c r="T118" s="23" t="str">
        <x:f>IF(OR(B118="",C118=""),"pending",IF(OR(O118&lt;0,P118&lt;0),"settlement_failed","settled"))</x:f>
        <x:v>settled</x:v>
      </x:c>
      <x:c r="U118" s="7" t="str">
        <x:v>源行=sd!64；自动利润预览；分组倍率可改为用户折扣</x:v>
      </x:c>
    </x:row>
    <x:row r="119" ht="26.350000381469727" customHeight="1">
      <x:c r="A119" s="19" t="str">
        <x:v>CASE-8YES-R64-720-SEC-VID</x:v>
      </x:c>
      <x:c r="B119" s="19" t="str">
        <x:v>SALE-SD20-STD-720-VID</x:v>
      </x:c>
      <x:c r="C119" s="19" t="str">
        <x:v>COST-8YES-R64-720-SEC-VID</x:v>
      </x:c>
      <x:c r="D119" s="28" t="n">
        <x:v>1</x:v>
      </x:c>
      <x:c r="E119" s="28" t="n">
        <x:v>3</x:v>
      </x:c>
      <x:c r="F119" s="28" t="n">
        <x:v>5</x:v>
      </x:c>
      <x:c r="G119" s="23" t="str">
        <x:f>IFERROR(INDEX('官方售价'!$C$5:$C$204,MATCH(B119,'官方售价'!$A$5:$A$204,0)),"")</x:f>
        <x:v>SKU-SD20-STD-720</x:v>
      </x:c>
      <x:c r="H119" s="23" t="str">
        <x:f>IFERROR(INDEX('官方售价'!$D$5:$D$204,MATCH(B119,'官方售价'!$A$5:$A$204,0)),"")</x:f>
        <x:v>with_video</x:v>
      </x:c>
      <x:c r="I119" s="23" t="n">
        <x:f>IFERROR(INDEX('官方售价'!$H$5:$H$204,MATCH(B119,'官方售价'!$A$5:$A$204,0)),0)</x:f>
        <x:v>1280</x:v>
      </x:c>
      <x:c r="J119" s="23" t="n">
        <x:f>IFERROR(INDEX('官方售价'!$I$5:$I$204,MATCH(B119,'官方售价'!$A$5:$A$204,0)),0)</x:f>
        <x:v>720</x:v>
      </x:c>
      <x:c r="K119" s="23" t="n">
        <x:f>IFERROR(INDEX('官方售价'!$J$5:$J$204,MATCH(B119,'官方售价'!$A$5:$A$204,0)),0)</x:f>
        <x:v>24</x:v>
      </x:c>
      <x:c r="L119" s="25" t="n">
        <x:f>(E119+F119)*I119*J119*K119/'参数'!$B$7</x:f>
        <x:v>172800</x:v>
      </x:c>
      <x:c r="M119" s="23" t="str">
        <x:f>IFERROR(INDEX('渠道成本'!$F$5:$F$1004,MATCH(C119,'渠道成本'!$A$5:$A$1004,0)),"")</x:f>
        <x:v>per_duration</x:v>
      </x:c>
      <x:c r="N119" s="26" t="n">
        <x:f>IFERROR(INDEX('渠道成本'!$U$5:$U$1004,MATCH(C119,'渠道成本'!$A$5:$A$1004,0)),0)</x:f>
        <x:v>0.11691095890410957</x:v>
      </x:c>
      <x:c r="O119" s="26" t="n">
        <x:f>IFERROR(L119/'参数'!$B$8*INDEX('官方售价'!$M$5:$M$204,MATCH(B119,'官方售价'!$A$5:$A$204,0)),0)</x:f>
        <x:v>0.6627945205479452</x:v>
      </x:c>
      <x:c r="P119" s="26" t="n">
        <x:f>IF(M119="per_token",L119/'参数'!$B$8*N119,IF(M119="per_duration",F119*N119,IF(M119="per_request",N119,0)))</x:f>
        <x:v>0.5845547945205478</x:v>
      </x:c>
      <x:c r="Q119" s="26" t="n">
        <x:f>O119*D119</x:f>
        <x:v>0.6627945205479452</x:v>
      </x:c>
      <x:c r="R119" s="26" t="n">
        <x:f>Q119-P119</x:f>
        <x:v>0.07823972602739737</x:v>
      </x:c>
      <x:c r="S119" s="29" t="n">
        <x:f>IF(Q119=0,"",R119/Q119)</x:f>
        <x:v>0.11804522156084674</x:v>
      </x:c>
      <x:c r="T119" s="23" t="str">
        <x:f>IF(OR(B119="",C119=""),"pending",IF(OR(O119&lt;0,P119&lt;0),"settlement_failed","settled"))</x:f>
        <x:v>settled</x:v>
      </x:c>
      <x:c r="U119" s="7" t="str">
        <x:v>源行=sd!64；自动利润预览；分组倍率可改为用户折扣</x:v>
      </x:c>
    </x:row>
    <x:row r="120" ht="26.350000381469727" customHeight="1">
      <x:c r="A120" s="19" t="str">
        <x:v>CASE-SECURE-R66-720-SEC-NOV</x:v>
      </x:c>
      <x:c r="B120" s="19" t="str">
        <x:v>SALE-SD20-STD-720-NOV</x:v>
      </x:c>
      <x:c r="C120" s="19" t="str">
        <x:v>COST-SECURE-R66-720-SEC-NOV</x:v>
      </x:c>
      <x:c r="D120" s="28" t="n">
        <x:v>1</x:v>
      </x:c>
      <x:c r="E120" s="28" t="n">
        <x:v>0</x:v>
      </x:c>
      <x:c r="F120" s="28" t="n">
        <x:v>5</x:v>
      </x:c>
      <x:c r="G120" s="23" t="str">
        <x:f>IFERROR(INDEX('官方售价'!$C$5:$C$204,MATCH(B120,'官方售价'!$A$5:$A$204,0)),"")</x:f>
        <x:v>SKU-SD20-STD-720</x:v>
      </x:c>
      <x:c r="H120" s="23" t="str">
        <x:f>IFERROR(INDEX('官方售价'!$D$5:$D$204,MATCH(B120,'官方售价'!$A$5:$A$204,0)),"")</x:f>
        <x:v>no_video</x:v>
      </x:c>
      <x:c r="I120" s="23" t="n">
        <x:f>IFERROR(INDEX('官方售价'!$H$5:$H$204,MATCH(B120,'官方售价'!$A$5:$A$204,0)),0)</x:f>
        <x:v>1280</x:v>
      </x:c>
      <x:c r="J120" s="23" t="n">
        <x:f>IFERROR(INDEX('官方售价'!$I$5:$I$204,MATCH(B120,'官方售价'!$A$5:$A$204,0)),0)</x:f>
        <x:v>720</x:v>
      </x:c>
      <x:c r="K120" s="23" t="n">
        <x:f>IFERROR(INDEX('官方售价'!$J$5:$J$204,MATCH(B120,'官方售价'!$A$5:$A$204,0)),0)</x:f>
        <x:v>24</x:v>
      </x:c>
      <x:c r="L120" s="25" t="n">
        <x:f>(E120+F120)*I120*J120*K120/'参数'!$B$7</x:f>
        <x:v>108000</x:v>
      </x:c>
      <x:c r="M120" s="23" t="str">
        <x:f>IFERROR(INDEX('渠道成本'!$F$5:$F$1004,MATCH(C120,'渠道成本'!$A$5:$A$1004,0)),"")</x:f>
        <x:v>per_duration</x:v>
      </x:c>
      <x:c r="N120" s="26" t="n">
        <x:f>IFERROR(INDEX('渠道成本'!$U$5:$U$1004,MATCH(C120,'渠道成本'!$A$5:$A$1004,0)),0)</x:f>
        <x:v>0.09171232876712329</x:v>
      </x:c>
      <x:c r="O120" s="26" t="n">
        <x:f>IFERROR(L120/'参数'!$B$8*INDEX('官方售价'!$M$5:$M$204,MATCH(B120,'官方售价'!$A$5:$A$204,0)),0)</x:f>
        <x:v>0.6805479452054793</x:v>
      </x:c>
      <x:c r="P120" s="26" t="n">
        <x:f>IF(M120="per_token",L120/'参数'!$B$8*N120,IF(M120="per_duration",F120*N120,IF(M120="per_request",N120,0)))</x:f>
        <x:v>0.4585616438356165</x:v>
      </x:c>
      <x:c r="Q120" s="26" t="n">
        <x:f>O120*D120</x:f>
        <x:v>0.6805479452054793</x:v>
      </x:c>
      <x:c r="R120" s="26" t="n">
        <x:f>Q120-P120</x:f>
        <x:v>0.22198630136986286</x:v>
      </x:c>
      <x:c r="S120" s="29" t="n">
        <x:f>IF(Q120=0,"",R120/Q120)</x:f>
        <x:v>0.3261876006441222</x:v>
      </x:c>
      <x:c r="T120" s="23" t="str">
        <x:f>IF(OR(B120="",C120=""),"pending",IF(OR(O120&lt;0,P120&lt;0),"settlement_failed","settled"))</x:f>
        <x:v>settled</x:v>
      </x:c>
      <x:c r="U120" s="7" t="str">
        <x:v>源行=sd!66；自动利润预览；分组倍率可改为用户折扣</x:v>
      </x:c>
    </x:row>
    <x:row r="121" ht="26.350000381469727" customHeight="1">
      <x:c r="A121" s="19" t="str">
        <x:v>CASE-SECURE-R67-720-REQ-NOV</x:v>
      </x:c>
      <x:c r="B121" s="19" t="str">
        <x:v>SALE-SD20-STD-720-NOV</x:v>
      </x:c>
      <x:c r="C121" s="19" t="str">
        <x:v>COST-SECURE-R67-720-REQ-NOV</x:v>
      </x:c>
      <x:c r="D121" s="28" t="n">
        <x:v>1</x:v>
      </x:c>
      <x:c r="E121" s="28" t="n">
        <x:v>0</x:v>
      </x:c>
      <x:c r="F121" s="28" t="n">
        <x:v>5</x:v>
      </x:c>
      <x:c r="G121" s="23" t="str">
        <x:f>IFERROR(INDEX('官方售价'!$C$5:$C$204,MATCH(B121,'官方售价'!$A$5:$A$204,0)),"")</x:f>
        <x:v>SKU-SD20-STD-720</x:v>
      </x:c>
      <x:c r="H121" s="23" t="str">
        <x:f>IFERROR(INDEX('官方售价'!$D$5:$D$204,MATCH(B121,'官方售价'!$A$5:$A$204,0)),"")</x:f>
        <x:v>no_video</x:v>
      </x:c>
      <x:c r="I121" s="23" t="n">
        <x:f>IFERROR(INDEX('官方售价'!$H$5:$H$204,MATCH(B121,'官方售价'!$A$5:$A$204,0)),0)</x:f>
        <x:v>1280</x:v>
      </x:c>
      <x:c r="J121" s="23" t="n">
        <x:f>IFERROR(INDEX('官方售价'!$I$5:$I$204,MATCH(B121,'官方售价'!$A$5:$A$204,0)),0)</x:f>
        <x:v>720</x:v>
      </x:c>
      <x:c r="K121" s="23" t="n">
        <x:f>IFERROR(INDEX('官方售价'!$J$5:$J$204,MATCH(B121,'官方售价'!$A$5:$A$204,0)),0)</x:f>
        <x:v>24</x:v>
      </x:c>
      <x:c r="L121" s="25" t="n">
        <x:f>(E121+F121)*I121*J121*K121/'参数'!$B$7</x:f>
        <x:v>108000</x:v>
      </x:c>
      <x:c r="M121" s="23" t="str">
        <x:f>IFERROR(INDEX('渠道成本'!$F$5:$F$1004,MATCH(C121,'渠道成本'!$A$5:$A$1004,0)),"")</x:f>
        <x:v>per_request</x:v>
      </x:c>
      <x:c r="N121" s="26" t="n">
        <x:f>IFERROR(INDEX('渠道成本'!$U$5:$U$1004,MATCH(C121,'渠道成本'!$A$5:$A$1004,0)),0)</x:f>
        <x:v>0.9594520547945204</x:v>
      </x:c>
      <x:c r="O121" s="26" t="n">
        <x:f>IFERROR(L121/'参数'!$B$8*INDEX('官方售价'!$M$5:$M$204,MATCH(B121,'官方售价'!$A$5:$A$204,0)),0)</x:f>
        <x:v>0.6805479452054793</x:v>
      </x:c>
      <x:c r="P121" s="26" t="n">
        <x:f>IF(M121="per_token",L121/'参数'!$B$8*N121,IF(M121="per_duration",F121*N121,IF(M121="per_request",N121,0)))</x:f>
        <x:v>0.9594520547945204</x:v>
      </x:c>
      <x:c r="Q121" s="26" t="n">
        <x:f>O121*D121</x:f>
        <x:v>0.6805479452054793</x:v>
      </x:c>
      <x:c r="R121" s="26" t="n">
        <x:f>Q121-P121</x:f>
        <x:v>-0.2789041095890411</x:v>
      </x:c>
      <x:c r="S121" s="29" t="n">
        <x:f>IF(Q121=0,"",R121/Q121)</x:f>
        <x:v>-0.4098228663446056</x:v>
      </x:c>
      <x:c r="T121" s="23" t="str">
        <x:f>IF(OR(B121="",C121=""),"pending",IF(OR(O121&lt;0,P121&lt;0),"settlement_failed","settled"))</x:f>
        <x:v>settled</x:v>
      </x:c>
      <x:c r="U121" s="7" t="str">
        <x:v>源行=sd!67；自动利润预览；分组倍率可改为用户折扣</x:v>
      </x:c>
    </x:row>
    <x:row r="122" ht="26.350000381469727" customHeight="1">
      <x:c r="A122" s="19" t="str">
        <x:v>CASE-SECURE-R68-1080-REQ-NOV</x:v>
      </x:c>
      <x:c r="B122" s="19" t="str">
        <x:v>SALE-SD20-STD-1080-NOV</x:v>
      </x:c>
      <x:c r="C122" s="19" t="str">
        <x:v>COST-SECURE-R68-1080-REQ-NOV</x:v>
      </x:c>
      <x:c r="D122" s="28" t="n">
        <x:v>1</x:v>
      </x:c>
      <x:c r="E122" s="28" t="n">
        <x:v>0</x:v>
      </x:c>
      <x:c r="F122" s="28" t="n">
        <x:v>5</x:v>
      </x:c>
      <x:c r="G122" s="23" t="str">
        <x:f>IFERROR(INDEX('官方售价'!$C$5:$C$204,MATCH(B122,'官方售价'!$A$5:$A$204,0)),"")</x:f>
        <x:v>SKU-SD20-STD-1080</x:v>
      </x:c>
      <x:c r="H122" s="23" t="str">
        <x:f>IFERROR(INDEX('官方售价'!$D$5:$D$204,MATCH(B122,'官方售价'!$A$5:$A$204,0)),"")</x:f>
        <x:v>no_video</x:v>
      </x:c>
      <x:c r="I122" s="23" t="n">
        <x:f>IFERROR(INDEX('官方售价'!$H$5:$H$204,MATCH(B122,'官方售价'!$A$5:$A$204,0)),0)</x:f>
        <x:v>1920</x:v>
      </x:c>
      <x:c r="J122" s="23" t="n">
        <x:f>IFERROR(INDEX('官方售价'!$I$5:$I$204,MATCH(B122,'官方售价'!$A$5:$A$204,0)),0)</x:f>
        <x:v>1080</x:v>
      </x:c>
      <x:c r="K122" s="23" t="n">
        <x:f>IFERROR(INDEX('官方售价'!$J$5:$J$204,MATCH(B122,'官方售价'!$A$5:$A$204,0)),0)</x:f>
        <x:v>24</x:v>
      </x:c>
      <x:c r="L122" s="25" t="n">
        <x:f>(E122+F122)*I122*J122*K122/'参数'!$B$7</x:f>
        <x:v>243000</x:v>
      </x:c>
      <x:c r="M122" s="23" t="str">
        <x:f>IFERROR(INDEX('渠道成本'!$F$5:$F$1004,MATCH(C122,'渠道成本'!$A$5:$A$1004,0)),"")</x:f>
        <x:v>per_request</x:v>
      </x:c>
      <x:c r="N122" s="26" t="n">
        <x:f>IFERROR(INDEX('渠道成本'!$U$5:$U$1004,MATCH(C122,'渠道成本'!$A$5:$A$1004,0)),0)</x:f>
        <x:v>1.918904109589041</x:v>
      </x:c>
      <x:c r="O122" s="26" t="n">
        <x:f>IFERROR(L122/'参数'!$B$8*INDEX('官方售价'!$M$5:$M$204,MATCH(B122,'官方售价'!$A$5:$A$204,0)),0)</x:f>
        <x:v>1.697671232876712</x:v>
      </x:c>
      <x:c r="P122" s="26" t="n">
        <x:f>IF(M122="per_token",L122/'参数'!$B$8*N122,IF(M122="per_duration",F122*N122,IF(M122="per_request",N122,0)))</x:f>
        <x:v>1.918904109589041</x:v>
      </x:c>
      <x:c r="Q122" s="26" t="n">
        <x:f>O122*D122</x:f>
        <x:v>1.697671232876712</x:v>
      </x:c>
      <x:c r="R122" s="26" t="n">
        <x:f>Q122-P122</x:f>
        <x:v>-0.22123287671232883</x:v>
      </x:c>
      <x:c r="S122" s="29" t="n">
        <x:f>IF(Q122=0,"",R122/Q122)</x:f>
        <x:v>-0.1303155006858711</x:v>
      </x:c>
      <x:c r="T122" s="23" t="str">
        <x:f>IF(OR(B122="",C122=""),"pending",IF(OR(O122&lt;0,P122&lt;0),"settlement_failed","settled"))</x:f>
        <x:v>settled</x:v>
      </x:c>
      <x:c r="U122" s="7" t="str">
        <x:v>源行=sd!68；自动利润预览；分组倍率可改为用户折扣</x:v>
      </x:c>
    </x:row>
    <x:row r="123" ht="26.350000381469727" customHeight="1">
      <x:c r="A123" s="19" t="str">
        <x:v>CASE-SECURE-R69-4K-REQ-NOV</x:v>
      </x:c>
      <x:c r="B123" s="19" t="str">
        <x:v>SALE-SD20-STD-4K-NOV</x:v>
      </x:c>
      <x:c r="C123" s="19" t="str">
        <x:v>COST-SECURE-R69-4K-REQ-NOV</x:v>
      </x:c>
      <x:c r="D123" s="28" t="n">
        <x:v>1</x:v>
      </x:c>
      <x:c r="E123" s="28" t="n">
        <x:v>0</x:v>
      </x:c>
      <x:c r="F123" s="28" t="n">
        <x:v>5</x:v>
      </x:c>
      <x:c r="G123" s="23" t="str">
        <x:f>IFERROR(INDEX('官方售价'!$C$5:$C$204,MATCH(B123,'官方售价'!$A$5:$A$204,0)),"")</x:f>
        <x:v>SKU-SD20-STD-4K</x:v>
      </x:c>
      <x:c r="H123" s="23" t="str">
        <x:f>IFERROR(INDEX('官方售价'!$D$5:$D$204,MATCH(B123,'官方售价'!$A$5:$A$204,0)),"")</x:f>
        <x:v>no_video</x:v>
      </x:c>
      <x:c r="I123" s="23" t="n">
        <x:f>IFERROR(INDEX('官方售价'!$H$5:$H$204,MATCH(B123,'官方售价'!$A$5:$A$204,0)),0)</x:f>
        <x:v>3840</x:v>
      </x:c>
      <x:c r="J123" s="23" t="n">
        <x:f>IFERROR(INDEX('官方售价'!$I$5:$I$204,MATCH(B123,'官方售价'!$A$5:$A$204,0)),0)</x:f>
        <x:v>2160</x:v>
      </x:c>
      <x:c r="K123" s="23" t="n">
        <x:f>IFERROR(INDEX('官方售价'!$J$5:$J$204,MATCH(B123,'官方售价'!$A$5:$A$204,0)),0)</x:f>
        <x:v>24</x:v>
      </x:c>
      <x:c r="L123" s="25" t="n">
        <x:f>(E123+F123)*I123*J123*K123/'参数'!$B$7</x:f>
        <x:v>972000</x:v>
      </x:c>
      <x:c r="M123" s="23" t="str">
        <x:f>IFERROR(INDEX('渠道成本'!$F$5:$F$1004,MATCH(C123,'渠道成本'!$A$5:$A$1004,0)),"")</x:f>
        <x:v>per_request</x:v>
      </x:c>
      <x:c r="N123" s="26" t="n">
        <x:f>IFERROR(INDEX('渠道成本'!$U$5:$U$1004,MATCH(C123,'渠道成本'!$A$5:$A$1004,0)),0)</x:f>
        <x:v>3.837808219178082</x:v>
      </x:c>
      <x:c r="O123" s="26" t="n">
        <x:f>IFERROR(L123/'参数'!$B$8*INDEX('官方售价'!$M$5:$M$204,MATCH(B123,'官方售价'!$A$5:$A$204,0)),0)</x:f>
        <x:v>3.461917808219178</x:v>
      </x:c>
      <x:c r="P123" s="26" t="n">
        <x:f>IF(M123="per_token",L123/'参数'!$B$8*N123,IF(M123="per_duration",F123*N123,IF(M123="per_request",N123,0)))</x:f>
        <x:v>3.837808219178082</x:v>
      </x:c>
      <x:c r="Q123" s="26" t="n">
        <x:f>O123*D123</x:f>
        <x:v>3.461917808219178</x:v>
      </x:c>
      <x:c r="R123" s="26" t="n">
        <x:f>Q123-P123</x:f>
        <x:v>-0.37589041095890385</x:v>
      </x:c>
      <x:c r="S123" s="29" t="n">
        <x:f>IF(Q123=0,"",R123/Q123)</x:f>
        <x:v>-0.10857866413421963</x:v>
      </x:c>
      <x:c r="T123" s="23" t="str">
        <x:f>IF(OR(B123="",C123=""),"pending",IF(OR(O123&lt;0,P123&lt;0),"settlement_failed","settled"))</x:f>
        <x:v>settled</x:v>
      </x:c>
      <x:c r="U123" s="7" t="str">
        <x:v>源行=sd!69；自动利润预览；分组倍率可改为用户折扣</x:v>
      </x:c>
    </x:row>
    <x:row r="124" ht="26.350000381469727" customHeight="1">
      <x:c r="A124" s="19" t="str">
        <x:v>CASE-SECURE-R70-720-REQ-NOV</x:v>
      </x:c>
      <x:c r="B124" s="19" t="str">
        <x:v>SALE-SD20-FAST-720-NOV</x:v>
      </x:c>
      <x:c r="C124" s="19" t="str">
        <x:v>COST-SECURE-R70-720-REQ-NOV</x:v>
      </x:c>
      <x:c r="D124" s="28" t="n">
        <x:v>1</x:v>
      </x:c>
      <x:c r="E124" s="28" t="n">
        <x:v>0</x:v>
      </x:c>
      <x:c r="F124" s="28" t="n">
        <x:v>5</x:v>
      </x:c>
      <x:c r="G124" s="23" t="str">
        <x:f>IFERROR(INDEX('官方售价'!$C$5:$C$204,MATCH(B124,'官方售价'!$A$5:$A$204,0)),"")</x:f>
        <x:v>SKU-SD20-FAST-720</x:v>
      </x:c>
      <x:c r="H124" s="23" t="str">
        <x:f>IFERROR(INDEX('官方售价'!$D$5:$D$204,MATCH(B124,'官方售价'!$A$5:$A$204,0)),"")</x:f>
        <x:v>no_video</x:v>
      </x:c>
      <x:c r="I124" s="23" t="n">
        <x:f>IFERROR(INDEX('官方售价'!$H$5:$H$204,MATCH(B124,'官方售价'!$A$5:$A$204,0)),0)</x:f>
        <x:v>1280</x:v>
      </x:c>
      <x:c r="J124" s="23" t="n">
        <x:f>IFERROR(INDEX('官方售价'!$I$5:$I$204,MATCH(B124,'官方售价'!$A$5:$A$204,0)),0)</x:f>
        <x:v>720</x:v>
      </x:c>
      <x:c r="K124" s="23" t="n">
        <x:f>IFERROR(INDEX('官方售价'!$J$5:$J$204,MATCH(B124,'官方售价'!$A$5:$A$204,0)),0)</x:f>
        <x:v>24</x:v>
      </x:c>
      <x:c r="L124" s="25" t="n">
        <x:f>(E124+F124)*I124*J124*K124/'参数'!$B$7</x:f>
        <x:v>108000</x:v>
      </x:c>
      <x:c r="M124" s="23" t="str">
        <x:f>IFERROR(INDEX('渠道成本'!$F$5:$F$1004,MATCH(C124,'渠道成本'!$A$5:$A$1004,0)),"")</x:f>
        <x:v>per_request</x:v>
      </x:c>
      <x:c r="N124" s="26" t="n">
        <x:f>IFERROR(INDEX('渠道成本'!$U$5:$U$1004,MATCH(C124,'渠道成本'!$A$5:$A$1004,0)),0)</x:f>
        <x:v>0.8183561643835616</x:v>
      </x:c>
      <x:c r="O124" s="26" t="n">
        <x:f>IFERROR(L124/'参数'!$B$8*INDEX('官方售价'!$M$5:$M$204,MATCH(B124,'官方售价'!$A$5:$A$204,0)),0)</x:f>
        <x:v>0.5473972602739726</x:v>
      </x:c>
      <x:c r="P124" s="26" t="n">
        <x:f>IF(M124="per_token",L124/'参数'!$B$8*N124,IF(M124="per_duration",F124*N124,IF(M124="per_request",N124,0)))</x:f>
        <x:v>0.8183561643835616</x:v>
      </x:c>
      <x:c r="Q124" s="26" t="n">
        <x:f>O124*D124</x:f>
        <x:v>0.5473972602739726</x:v>
      </x:c>
      <x:c r="R124" s="26" t="n">
        <x:f>Q124-P124</x:f>
        <x:v>-0.270958904109589</x:v>
      </x:c>
      <x:c r="S124" s="29" t="n">
        <x:f>IF(Q124=0,"",R124/Q124)</x:f>
        <x:v>-0.49499499499499494</x:v>
      </x:c>
      <x:c r="T124" s="23" t="str">
        <x:f>IF(OR(B124="",C124=""),"pending",IF(OR(O124&lt;0,P124&lt;0),"settlement_failed","settled"))</x:f>
        <x:v>settled</x:v>
      </x:c>
      <x:c r="U124" s="7" t="str">
        <x:v>源行=sd!70；自动利润预览；分组倍率可改为用户折扣</x:v>
      </x:c>
    </x:row>
    <x:row r="125" ht="26.350000381469727" customHeight="1">
      <x:c r="A125" s="19" t="str">
        <x:v>CASE-SECURE-R70-480-REQ-NOV</x:v>
      </x:c>
      <x:c r="B125" s="19" t="str">
        <x:v>SALE-SD20-FAST-480-NOV</x:v>
      </x:c>
      <x:c r="C125" s="19" t="str">
        <x:v>COST-SECURE-R70-480-REQ-NOV</x:v>
      </x:c>
      <x:c r="D125" s="28" t="n">
        <x:v>1</x:v>
      </x:c>
      <x:c r="E125" s="28" t="n">
        <x:v>0</x:v>
      </x:c>
      <x:c r="F125" s="28" t="n">
        <x:v>5</x:v>
      </x:c>
      <x:c r="G125" s="23" t="str">
        <x:f>IFERROR(INDEX('官方售价'!$C$5:$C$204,MATCH(B125,'官方售价'!$A$5:$A$204,0)),"")</x:f>
        <x:v>SKU-SD20-FAST-480</x:v>
      </x:c>
      <x:c r="H125" s="23" t="str">
        <x:f>IFERROR(INDEX('官方售价'!$D$5:$D$204,MATCH(B125,'官方售价'!$A$5:$A$204,0)),"")</x:f>
        <x:v>no_video</x:v>
      </x:c>
      <x:c r="I125" s="23" t="n">
        <x:f>IFERROR(INDEX('官方售价'!$H$5:$H$204,MATCH(B125,'官方售价'!$A$5:$A$204,0)),0)</x:f>
        <x:v>864</x:v>
      </x:c>
      <x:c r="J125" s="23" t="n">
        <x:f>IFERROR(INDEX('官方售价'!$I$5:$I$204,MATCH(B125,'官方售价'!$A$5:$A$204,0)),0)</x:f>
        <x:v>496</x:v>
      </x:c>
      <x:c r="K125" s="23" t="n">
        <x:f>IFERROR(INDEX('官方售价'!$J$5:$J$204,MATCH(B125,'官方售价'!$A$5:$A$204,0)),0)</x:f>
        <x:v>24</x:v>
      </x:c>
      <x:c r="L125" s="25" t="n">
        <x:f>(E125+F125)*I125*J125*K125/'参数'!$B$7</x:f>
        <x:v>50220</x:v>
      </x:c>
      <x:c r="M125" s="23" t="str">
        <x:f>IFERROR(INDEX('渠道成本'!$F$5:$F$1004,MATCH(C125,'渠道成本'!$A$5:$A$1004,0)),"")</x:f>
        <x:v>per_request</x:v>
      </x:c>
      <x:c r="N125" s="26" t="n">
        <x:f>IFERROR(INDEX('渠道成本'!$U$5:$U$1004,MATCH(C125,'渠道成本'!$A$5:$A$1004,0)),0)</x:f>
        <x:v>0.8183561643835616</x:v>
      </x:c>
      <x:c r="O125" s="26" t="n">
        <x:f>IFERROR(L125/'参数'!$B$8*INDEX('官方售价'!$M$5:$M$204,MATCH(B125,'官方售价'!$A$5:$A$204,0)),0)</x:f>
        <x:v>0.2545397260273973</x:v>
      </x:c>
      <x:c r="P125" s="26" t="n">
        <x:f>IF(M125="per_token",L125/'参数'!$B$8*N125,IF(M125="per_duration",F125*N125,IF(M125="per_request",N125,0)))</x:f>
        <x:v>0.8183561643835616</x:v>
      </x:c>
      <x:c r="Q125" s="26" t="n">
        <x:f>O125*D125</x:f>
        <x:v>0.2545397260273973</x:v>
      </x:c>
      <x:c r="R125" s="26" t="n">
        <x:f>Q125-P125</x:f>
        <x:v>-0.5638164383561644</x:v>
      </x:c>
      <x:c r="S125" s="29" t="n">
        <x:f>IF(Q125=0,"",R125/Q125)</x:f>
        <x:v>-2.2150429999892363</x:v>
      </x:c>
      <x:c r="T125" s="23" t="str">
        <x:f>IF(OR(B125="",C125=""),"pending",IF(OR(O125&lt;0,P125&lt;0),"settlement_failed","settled"))</x:f>
        <x:v>settled</x:v>
      </x:c>
      <x:c r="U125" s="7" t="str">
        <x:v>源行=sd!70；自动利润预览；分组倍率可改为用户折扣</x:v>
      </x:c>
    </x:row>
    <x:row r="126" ht="26.350000381469727" customHeight="1">
      <x:c r="A126" s="19" t="str">
        <x:v>CASE-SECURE-R71-720-REQ-NOV</x:v>
      </x:c>
      <x:c r="B126" s="19" t="str">
        <x:v>SALE-SD20-MINI-720-NOV</x:v>
      </x:c>
      <x:c r="C126" s="19" t="str">
        <x:v>COST-SECURE-R71-720-REQ-NOV</x:v>
      </x:c>
      <x:c r="D126" s="28" t="n">
        <x:v>1</x:v>
      </x:c>
      <x:c r="E126" s="28" t="n">
        <x:v>0</x:v>
      </x:c>
      <x:c r="F126" s="28" t="n">
        <x:v>5</x:v>
      </x:c>
      <x:c r="G126" s="23" t="str">
        <x:f>IFERROR(INDEX('官方售价'!$C$5:$C$204,MATCH(B126,'官方售价'!$A$5:$A$204,0)),"")</x:f>
        <x:v>SKU-SD20-MINI-720</x:v>
      </x:c>
      <x:c r="H126" s="23" t="str">
        <x:f>IFERROR(INDEX('官方售价'!$D$5:$D$204,MATCH(B126,'官方售价'!$A$5:$A$204,0)),"")</x:f>
        <x:v>no_video</x:v>
      </x:c>
      <x:c r="I126" s="23" t="n">
        <x:f>IFERROR(INDEX('官方售价'!$H$5:$H$204,MATCH(B126,'官方售价'!$A$5:$A$204,0)),0)</x:f>
        <x:v>1280</x:v>
      </x:c>
      <x:c r="J126" s="23" t="n">
        <x:f>IFERROR(INDEX('官方售价'!$I$5:$I$204,MATCH(B126,'官方售价'!$A$5:$A$204,0)),0)</x:f>
        <x:v>720</x:v>
      </x:c>
      <x:c r="K126" s="23" t="n">
        <x:f>IFERROR(INDEX('官方售价'!$J$5:$J$204,MATCH(B126,'官方售价'!$A$5:$A$204,0)),0)</x:f>
        <x:v>24</x:v>
      </x:c>
      <x:c r="L126" s="25" t="n">
        <x:f>(E126+F126)*I126*J126*K126/'参数'!$B$7</x:f>
        <x:v>108000</x:v>
      </x:c>
      <x:c r="M126" s="23" t="str">
        <x:f>IFERROR(INDEX('渠道成本'!$F$5:$F$1004,MATCH(C126,'渠道成本'!$A$5:$A$1004,0)),"")</x:f>
        <x:v>per_request</x:v>
      </x:c>
      <x:c r="N126" s="26" t="n">
        <x:f>IFERROR(INDEX('渠道成本'!$U$5:$U$1004,MATCH(C126,'渠道成本'!$A$5:$A$1004,0)),0)</x:f>
        <x:v>0.6913698630136986</x:v>
      </x:c>
      <x:c r="O126" s="26" t="n">
        <x:f>IFERROR(L126/'参数'!$B$8*INDEX('官方售价'!$M$5:$M$204,MATCH(B126,'官方售价'!$A$5:$A$204,0)),0)</x:f>
        <x:v>0.34027397260273967</x:v>
      </x:c>
      <x:c r="P126" s="26" t="n">
        <x:f>IF(M126="per_token",L126/'参数'!$B$8*N126,IF(M126="per_duration",F126*N126,IF(M126="per_request",N126,0)))</x:f>
        <x:v>0.6913698630136986</x:v>
      </x:c>
      <x:c r="Q126" s="26" t="n">
        <x:f>O126*D126</x:f>
        <x:v>0.34027397260273967</x:v>
      </x:c>
      <x:c r="R126" s="26" t="n">
        <x:f>Q126-P126</x:f>
        <x:v>-0.35109589041095896</x:v>
      </x:c>
      <x:c r="S126" s="29" t="n">
        <x:f>IF(Q126=0,"",R126/Q126)</x:f>
        <x:v>-1.0318035426731083</x:v>
      </x:c>
      <x:c r="T126" s="23" t="str">
        <x:f>IF(OR(B126="",C126=""),"pending",IF(OR(O126&lt;0,P126&lt;0),"settlement_failed","settled"))</x:f>
        <x:v>settled</x:v>
      </x:c>
      <x:c r="U126" s="7" t="str">
        <x:v>源行=sd!71；自动利润预览；分组倍率可改为用户折扣</x:v>
      </x:c>
    </x:row>
    <x:row r="127" ht="26.350000381469727" customHeight="1">
      <x:c r="A127" s="19" t="str">
        <x:v>CASE-SECURE-R71-480-REQ-NOV</x:v>
      </x:c>
      <x:c r="B127" s="19" t="str">
        <x:v>SALE-SD20-MINI-480-NOV</x:v>
      </x:c>
      <x:c r="C127" s="19" t="str">
        <x:v>COST-SECURE-R71-480-REQ-NOV</x:v>
      </x:c>
      <x:c r="D127" s="28" t="n">
        <x:v>1</x:v>
      </x:c>
      <x:c r="E127" s="28" t="n">
        <x:v>0</x:v>
      </x:c>
      <x:c r="F127" s="28" t="n">
        <x:v>5</x:v>
      </x:c>
      <x:c r="G127" s="23" t="str">
        <x:f>IFERROR(INDEX('官方售价'!$C$5:$C$204,MATCH(B127,'官方售价'!$A$5:$A$204,0)),"")</x:f>
        <x:v>SKU-SD20-MINI-480</x:v>
      </x:c>
      <x:c r="H127" s="23" t="str">
        <x:f>IFERROR(INDEX('官方售价'!$D$5:$D$204,MATCH(B127,'官方售价'!$A$5:$A$204,0)),"")</x:f>
        <x:v>no_video</x:v>
      </x:c>
      <x:c r="I127" s="23" t="n">
        <x:f>IFERROR(INDEX('官方售价'!$H$5:$H$204,MATCH(B127,'官方售价'!$A$5:$A$204,0)),0)</x:f>
        <x:v>864</x:v>
      </x:c>
      <x:c r="J127" s="23" t="n">
        <x:f>IFERROR(INDEX('官方售价'!$I$5:$I$204,MATCH(B127,'官方售价'!$A$5:$A$204,0)),0)</x:f>
        <x:v>496</x:v>
      </x:c>
      <x:c r="K127" s="23" t="n">
        <x:f>IFERROR(INDEX('官方售价'!$J$5:$J$204,MATCH(B127,'官方售价'!$A$5:$A$204,0)),0)</x:f>
        <x:v>24</x:v>
      </x:c>
      <x:c r="L127" s="25" t="n">
        <x:f>(E127+F127)*I127*J127*K127/'参数'!$B$7</x:f>
        <x:v>50220</x:v>
      </x:c>
      <x:c r="M127" s="23" t="str">
        <x:f>IFERROR(INDEX('渠道成本'!$F$5:$F$1004,MATCH(C127,'渠道成本'!$A$5:$A$1004,0)),"")</x:f>
        <x:v>per_request</x:v>
      </x:c>
      <x:c r="N127" s="26" t="n">
        <x:f>IFERROR(INDEX('渠道成本'!$U$5:$U$1004,MATCH(C127,'渠道成本'!$A$5:$A$1004,0)),0)</x:f>
        <x:v>0.6913698630136986</x:v>
      </x:c>
      <x:c r="O127" s="26" t="n">
        <x:f>IFERROR(L127/'参数'!$B$8*INDEX('官方售价'!$M$5:$M$204,MATCH(B127,'官方售价'!$A$5:$A$204,0)),0)</x:f>
        <x:v>0.15822739726027396</x:v>
      </x:c>
      <x:c r="P127" s="26" t="n">
        <x:f>IF(M127="per_token",L127/'参数'!$B$8*N127,IF(M127="per_duration",F127*N127,IF(M127="per_request",N127,0)))</x:f>
        <x:v>0.6913698630136986</x:v>
      </x:c>
      <x:c r="Q127" s="26" t="n">
        <x:f>O127*D127</x:f>
        <x:v>0.15822739726027396</x:v>
      </x:c>
      <x:c r="R127" s="26" t="n">
        <x:f>Q127-P127</x:f>
        <x:v>-0.5331424657534247</x:v>
      </x:c>
      <x:c r="S127" s="29" t="n">
        <x:f>IF(Q127=0,"",R127/Q127)</x:f>
        <x:v>-3.3694699842432434</x:v>
      </x:c>
      <x:c r="T127" s="23" t="str">
        <x:f>IF(OR(B127="",C127=""),"pending",IF(OR(O127&lt;0,P127&lt;0),"settlement_failed","settled"))</x:f>
        <x:v>settled</x:v>
      </x:c>
      <x:c r="U127" s="7" t="str">
        <x:v>源行=sd!71；自动利润预览；分组倍率可改为用户折扣</x:v>
      </x:c>
    </x:row>
    <x:row r="128" ht="26.350000381469727" customHeight="1">
      <x:c r="A128" s="19" t="str">
        <x:v>CASE-SECURE-R72-720-SEC-NOV</x:v>
      </x:c>
      <x:c r="B128" s="19" t="str">
        <x:v>SALE-SD20-STD-720-NOV</x:v>
      </x:c>
      <x:c r="C128" s="19" t="str">
        <x:v>COST-SECURE-R72-720-SEC-NOV</x:v>
      </x:c>
      <x:c r="D128" s="28" t="n">
        <x:v>1</x:v>
      </x:c>
      <x:c r="E128" s="28" t="n">
        <x:v>0</x:v>
      </x:c>
      <x:c r="F128" s="28" t="n">
        <x:v>5</x:v>
      </x:c>
      <x:c r="G128" s="23" t="str">
        <x:f>IFERROR(INDEX('官方售价'!$C$5:$C$204,MATCH(B128,'官方售价'!$A$5:$A$204,0)),"")</x:f>
        <x:v>SKU-SD20-STD-720</x:v>
      </x:c>
      <x:c r="H128" s="23" t="str">
        <x:f>IFERROR(INDEX('官方售价'!$D$5:$D$204,MATCH(B128,'官方售价'!$A$5:$A$204,0)),"")</x:f>
        <x:v>no_video</x:v>
      </x:c>
      <x:c r="I128" s="23" t="n">
        <x:f>IFERROR(INDEX('官方售价'!$H$5:$H$204,MATCH(B128,'官方售价'!$A$5:$A$204,0)),0)</x:f>
        <x:v>1280</x:v>
      </x:c>
      <x:c r="J128" s="23" t="n">
        <x:f>IFERROR(INDEX('官方售价'!$I$5:$I$204,MATCH(B128,'官方售价'!$A$5:$A$204,0)),0)</x:f>
        <x:v>720</x:v>
      </x:c>
      <x:c r="K128" s="23" t="n">
        <x:f>IFERROR(INDEX('官方售价'!$J$5:$J$204,MATCH(B128,'官方售价'!$A$5:$A$204,0)),0)</x:f>
        <x:v>24</x:v>
      </x:c>
      <x:c r="L128" s="25" t="n">
        <x:f>(E128+F128)*I128*J128*K128/'参数'!$B$7</x:f>
        <x:v>108000</x:v>
      </x:c>
      <x:c r="M128" s="23" t="str">
        <x:f>IFERROR(INDEX('渠道成本'!$F$5:$F$1004,MATCH(C128,'渠道成本'!$A$5:$A$1004,0)),"")</x:f>
        <x:v>per_duration</x:v>
      </x:c>
      <x:c r="N128" s="26" t="n">
        <x:f>IFERROR(INDEX('渠道成本'!$U$5:$U$1004,MATCH(C128,'渠道成本'!$A$5:$A$1004,0)),0)</x:f>
        <x:v>0.09876712328767122</x:v>
      </x:c>
      <x:c r="O128" s="26" t="n">
        <x:f>IFERROR(L128/'参数'!$B$8*INDEX('官方售价'!$M$5:$M$204,MATCH(B128,'官方售价'!$A$5:$A$204,0)),0)</x:f>
        <x:v>0.6805479452054793</x:v>
      </x:c>
      <x:c r="P128" s="26" t="n">
        <x:f>IF(M128="per_token",L128/'参数'!$B$8*N128,IF(M128="per_duration",F128*N128,IF(M128="per_request",N128,0)))</x:f>
        <x:v>0.4938356164383561</x:v>
      </x:c>
      <x:c r="Q128" s="26" t="n">
        <x:f>O128*D128</x:f>
        <x:v>0.6805479452054793</x:v>
      </x:c>
      <x:c r="R128" s="26" t="n">
        <x:f>Q128-P128</x:f>
        <x:v>0.18671232876712324</x:v>
      </x:c>
      <x:c r="S128" s="29" t="n">
        <x:f>IF(Q128=0,"",R128/Q128)</x:f>
        <x:v>0.2743558776167471</x:v>
      </x:c>
      <x:c r="T128" s="23" t="str">
        <x:f>IF(OR(B128="",C128=""),"pending",IF(OR(O128&lt;0,P128&lt;0),"settlement_failed","settled"))</x:f>
        <x:v>settled</x:v>
      </x:c>
      <x:c r="U128" s="7" t="str">
        <x:v>源行=sd!72；自动利润预览；分组倍率可改为用户折扣</x:v>
      </x:c>
    </x:row>
    <x:row r="129" ht="26.350000381469727" customHeight="1">
      <x:c r="A129" s="19" t="str">
        <x:v>CASE-SECURE-R73-1080-SEC-NOV</x:v>
      </x:c>
      <x:c r="B129" s="19" t="str">
        <x:v>SALE-SD20-STD-1080-NOV</x:v>
      </x:c>
      <x:c r="C129" s="19" t="str">
        <x:v>COST-SECURE-R73-1080-SEC-NOV</x:v>
      </x:c>
      <x:c r="D129" s="28" t="n">
        <x:v>1</x:v>
      </x:c>
      <x:c r="E129" s="28" t="n">
        <x:v>0</x:v>
      </x:c>
      <x:c r="F129" s="28" t="n">
        <x:v>5</x:v>
      </x:c>
      <x:c r="G129" s="23" t="str">
        <x:f>IFERROR(INDEX('官方售价'!$C$5:$C$204,MATCH(B129,'官方售价'!$A$5:$A$204,0)),"")</x:f>
        <x:v>SKU-SD20-STD-1080</x:v>
      </x:c>
      <x:c r="H129" s="23" t="str">
        <x:f>IFERROR(INDEX('官方售价'!$D$5:$D$204,MATCH(B129,'官方售价'!$A$5:$A$204,0)),"")</x:f>
        <x:v>no_video</x:v>
      </x:c>
      <x:c r="I129" s="23" t="n">
        <x:f>IFERROR(INDEX('官方售价'!$H$5:$H$204,MATCH(B129,'官方售价'!$A$5:$A$204,0)),0)</x:f>
        <x:v>1920</x:v>
      </x:c>
      <x:c r="J129" s="23" t="n">
        <x:f>IFERROR(INDEX('官方售价'!$I$5:$I$204,MATCH(B129,'官方售价'!$A$5:$A$204,0)),0)</x:f>
        <x:v>1080</x:v>
      </x:c>
      <x:c r="K129" s="23" t="n">
        <x:f>IFERROR(INDEX('官方售价'!$J$5:$J$204,MATCH(B129,'官方售价'!$A$5:$A$204,0)),0)</x:f>
        <x:v>24</x:v>
      </x:c>
      <x:c r="L129" s="25" t="n">
        <x:f>(E129+F129)*I129*J129*K129/'参数'!$B$7</x:f>
        <x:v>243000</x:v>
      </x:c>
      <x:c r="M129" s="23" t="str">
        <x:f>IFERROR(INDEX('渠道成本'!$F$5:$F$1004,MATCH(C129,'渠道成本'!$A$5:$A$1004,0)),"")</x:f>
        <x:v>per_duration</x:v>
      </x:c>
      <x:c r="N129" s="26" t="n">
        <x:f>IFERROR(INDEX('渠道成本'!$U$5:$U$1004,MATCH(C129,'渠道成本'!$A$5:$A$1004,0)),0)</x:f>
        <x:v>0.24691780821917808</x:v>
      </x:c>
      <x:c r="O129" s="26" t="n">
        <x:f>IFERROR(L129/'参数'!$B$8*INDEX('官方售价'!$M$5:$M$204,MATCH(B129,'官方售价'!$A$5:$A$204,0)),0)</x:f>
        <x:v>1.697671232876712</x:v>
      </x:c>
      <x:c r="P129" s="26" t="n">
        <x:f>IF(M129="per_token",L129/'参数'!$B$8*N129,IF(M129="per_duration",F129*N129,IF(M129="per_request",N129,0)))</x:f>
        <x:v>1.2345890410958904</x:v>
      </x:c>
      <x:c r="Q129" s="26" t="n">
        <x:f>O129*D129</x:f>
        <x:v>1.697671232876712</x:v>
      </x:c>
      <x:c r="R129" s="26" t="n">
        <x:f>Q129-P129</x:f>
        <x:v>0.46308219178082166</x:v>
      </x:c>
      <x:c r="S129" s="29" t="n">
        <x:f>IF(Q129=0,"",R129/Q129)</x:f>
        <x:v>0.2727749536028402</x:v>
      </x:c>
      <x:c r="T129" s="23" t="str">
        <x:f>IF(OR(B129="",C129=""),"pending",IF(OR(O129&lt;0,P129&lt;0),"settlement_failed","settled"))</x:f>
        <x:v>settled</x:v>
      </x:c>
      <x:c r="U129" s="7" t="str">
        <x:v>源行=sd!73；自动利润预览；分组倍率可改为用户折扣</x:v>
      </x:c>
    </x:row>
    <x:row r="130" ht="26.350000381469727" customHeight="1">
      <x:c r="A130" s="19" t="str">
        <x:v>CASE-SECURE-R74-720-SEC-NOV</x:v>
      </x:c>
      <x:c r="B130" s="19" t="str">
        <x:v>SALE-SD20-FAST-720-NOV</x:v>
      </x:c>
      <x:c r="C130" s="19" t="str">
        <x:v>COST-SECURE-R74-720-SEC-NOV</x:v>
      </x:c>
      <x:c r="D130" s="28" t="n">
        <x:v>1</x:v>
      </x:c>
      <x:c r="E130" s="28" t="n">
        <x:v>0</x:v>
      </x:c>
      <x:c r="F130" s="28" t="n">
        <x:v>5</x:v>
      </x:c>
      <x:c r="G130" s="23" t="str">
        <x:f>IFERROR(INDEX('官方售价'!$C$5:$C$204,MATCH(B130,'官方售价'!$A$5:$A$204,0)),"")</x:f>
        <x:v>SKU-SD20-FAST-720</x:v>
      </x:c>
      <x:c r="H130" s="23" t="str">
        <x:f>IFERROR(INDEX('官方售价'!$D$5:$D$204,MATCH(B130,'官方售价'!$A$5:$A$204,0)),"")</x:f>
        <x:v>no_video</x:v>
      </x:c>
      <x:c r="I130" s="23" t="n">
        <x:f>IFERROR(INDEX('官方售价'!$H$5:$H$204,MATCH(B130,'官方售价'!$A$5:$A$204,0)),0)</x:f>
        <x:v>1280</x:v>
      </x:c>
      <x:c r="J130" s="23" t="n">
        <x:f>IFERROR(INDEX('官方售价'!$I$5:$I$204,MATCH(B130,'官方售价'!$A$5:$A$204,0)),0)</x:f>
        <x:v>720</x:v>
      </x:c>
      <x:c r="K130" s="23" t="n">
        <x:f>IFERROR(INDEX('官方售价'!$J$5:$J$204,MATCH(B130,'官方售价'!$A$5:$A$204,0)),0)</x:f>
        <x:v>24</x:v>
      </x:c>
      <x:c r="L130" s="25" t="n">
        <x:f>(E130+F130)*I130*J130*K130/'参数'!$B$7</x:f>
        <x:v>108000</x:v>
      </x:c>
      <x:c r="M130" s="23" t="str">
        <x:f>IFERROR(INDEX('渠道成本'!$F$5:$F$1004,MATCH(C130,'渠道成本'!$A$5:$A$1004,0)),"")</x:f>
        <x:v>per_duration</x:v>
      </x:c>
      <x:c r="N130" s="26" t="n">
        <x:f>IFERROR(INDEX('渠道成本'!$U$5:$U$1004,MATCH(C130,'渠道成本'!$A$5:$A$1004,0)),0)</x:f>
        <x:v>0.07901369863013699</x:v>
      </x:c>
      <x:c r="O130" s="26" t="n">
        <x:f>IFERROR(L130/'参数'!$B$8*INDEX('官方售价'!$M$5:$M$204,MATCH(B130,'官方售价'!$A$5:$A$204,0)),0)</x:f>
        <x:v>0.5473972602739726</x:v>
      </x:c>
      <x:c r="P130" s="26" t="n">
        <x:f>IF(M130="per_token",L130/'参数'!$B$8*N130,IF(M130="per_duration",F130*N130,IF(M130="per_request",N130,0)))</x:f>
        <x:v>0.39506849315068493</x:v>
      </x:c>
      <x:c r="Q130" s="26" t="n">
        <x:f>O130*D130</x:f>
        <x:v>0.5473972602739726</x:v>
      </x:c>
      <x:c r="R130" s="26" t="n">
        <x:f>Q130-P130</x:f>
        <x:v>0.1523287671232877</x:v>
      </x:c>
      <x:c r="S130" s="29" t="n">
        <x:f>IF(Q130=0,"",R130/Q130)</x:f>
        <x:v>0.2782782782782783</x:v>
      </x:c>
      <x:c r="T130" s="23" t="str">
        <x:f>IF(OR(B130="",C130=""),"pending",IF(OR(O130&lt;0,P130&lt;0),"settlement_failed","settled"))</x:f>
        <x:v>settled</x:v>
      </x:c>
      <x:c r="U130" s="7" t="str">
        <x:v>源行=sd!74；自动利润预览；分组倍率可改为用户折扣</x:v>
      </x:c>
    </x:row>
    <x:row r="131" ht="26.350000381469727" customHeight="1">
      <x:c r="A131" s="19" t="str">
        <x:v>CASE-SECURE-R74-480-SEC-NOV</x:v>
      </x:c>
      <x:c r="B131" s="19" t="str">
        <x:v>SALE-SD20-FAST-480-NOV</x:v>
      </x:c>
      <x:c r="C131" s="19" t="str">
        <x:v>COST-SECURE-R74-480-SEC-NOV</x:v>
      </x:c>
      <x:c r="D131" s="28" t="n">
        <x:v>1</x:v>
      </x:c>
      <x:c r="E131" s="28" t="n">
        <x:v>0</x:v>
      </x:c>
      <x:c r="F131" s="28" t="n">
        <x:v>5</x:v>
      </x:c>
      <x:c r="G131" s="23" t="str">
        <x:f>IFERROR(INDEX('官方售价'!$C$5:$C$204,MATCH(B131,'官方售价'!$A$5:$A$204,0)),"")</x:f>
        <x:v>SKU-SD20-FAST-480</x:v>
      </x:c>
      <x:c r="H131" s="23" t="str">
        <x:f>IFERROR(INDEX('官方售价'!$D$5:$D$204,MATCH(B131,'官方售价'!$A$5:$A$204,0)),"")</x:f>
        <x:v>no_video</x:v>
      </x:c>
      <x:c r="I131" s="23" t="n">
        <x:f>IFERROR(INDEX('官方售价'!$H$5:$H$204,MATCH(B131,'官方售价'!$A$5:$A$204,0)),0)</x:f>
        <x:v>864</x:v>
      </x:c>
      <x:c r="J131" s="23" t="n">
        <x:f>IFERROR(INDEX('官方售价'!$I$5:$I$204,MATCH(B131,'官方售价'!$A$5:$A$204,0)),0)</x:f>
        <x:v>496</x:v>
      </x:c>
      <x:c r="K131" s="23" t="n">
        <x:f>IFERROR(INDEX('官方售价'!$J$5:$J$204,MATCH(B131,'官方售价'!$A$5:$A$204,0)),0)</x:f>
        <x:v>24</x:v>
      </x:c>
      <x:c r="L131" s="25" t="n">
        <x:f>(E131+F131)*I131*J131*K131/'参数'!$B$7</x:f>
        <x:v>50220</x:v>
      </x:c>
      <x:c r="M131" s="23" t="str">
        <x:f>IFERROR(INDEX('渠道成本'!$F$5:$F$1004,MATCH(C131,'渠道成本'!$A$5:$A$1004,0)),"")</x:f>
        <x:v>per_duration</x:v>
      </x:c>
      <x:c r="N131" s="26" t="n">
        <x:f>IFERROR(INDEX('渠道成本'!$U$5:$U$1004,MATCH(C131,'渠道成本'!$A$5:$A$1004,0)),0)</x:f>
        <x:v>0.07901369863013699</x:v>
      </x:c>
      <x:c r="O131" s="26" t="n">
        <x:f>IFERROR(L131/'参数'!$B$8*INDEX('官方售价'!$M$5:$M$204,MATCH(B131,'官方售价'!$A$5:$A$204,0)),0)</x:f>
        <x:v>0.2545397260273973</x:v>
      </x:c>
      <x:c r="P131" s="26" t="n">
        <x:f>IF(M131="per_token",L131/'参数'!$B$8*N131,IF(M131="per_duration",F131*N131,IF(M131="per_request",N131,0)))</x:f>
        <x:v>0.39506849315068493</x:v>
      </x:c>
      <x:c r="Q131" s="26" t="n">
        <x:f>O131*D131</x:f>
        <x:v>0.2545397260273973</x:v>
      </x:c>
      <x:c r="R131" s="26" t="n">
        <x:f>Q131-P131</x:f>
        <x:v>-0.14052876712328766</x:v>
      </x:c>
      <x:c r="S131" s="29" t="n">
        <x:f>IF(Q131=0,"",R131/Q131)</x:f>
        <x:v>-0.5520897241327348</x:v>
      </x:c>
      <x:c r="T131" s="23" t="str">
        <x:f>IF(OR(B131="",C131=""),"pending",IF(OR(O131&lt;0,P131&lt;0),"settlement_failed","settled"))</x:f>
        <x:v>settled</x:v>
      </x:c>
      <x:c r="U131" s="7" t="str">
        <x:v>源行=sd!74；自动利润预览；分组倍率可改为用户折扣</x:v>
      </x:c>
    </x:row>
    <x:row r="132" ht="26.350000381469727" customHeight="1">
      <x:c r="A132" s="19" t="str">
        <x:v>CASE-SECURE-R75-720-SEC-NOV</x:v>
      </x:c>
      <x:c r="B132" s="19" t="str">
        <x:v>SALE-SD20-MINI-720-NOV</x:v>
      </x:c>
      <x:c r="C132" s="19" t="str">
        <x:v>COST-SECURE-R75-720-SEC-NOV</x:v>
      </x:c>
      <x:c r="D132" s="28" t="n">
        <x:v>1</x:v>
      </x:c>
      <x:c r="E132" s="28" t="n">
        <x:v>0</x:v>
      </x:c>
      <x:c r="F132" s="28" t="n">
        <x:v>5</x:v>
      </x:c>
      <x:c r="G132" s="23" t="str">
        <x:f>IFERROR(INDEX('官方售价'!$C$5:$C$204,MATCH(B132,'官方售价'!$A$5:$A$204,0)),"")</x:f>
        <x:v>SKU-SD20-MINI-720</x:v>
      </x:c>
      <x:c r="H132" s="23" t="str">
        <x:f>IFERROR(INDEX('官方售价'!$D$5:$D$204,MATCH(B132,'官方售价'!$A$5:$A$204,0)),"")</x:f>
        <x:v>no_video</x:v>
      </x:c>
      <x:c r="I132" s="23" t="n">
        <x:f>IFERROR(INDEX('官方售价'!$H$5:$H$204,MATCH(B132,'官方售价'!$A$5:$A$204,0)),0)</x:f>
        <x:v>1280</x:v>
      </x:c>
      <x:c r="J132" s="23" t="n">
        <x:f>IFERROR(INDEX('官方售价'!$I$5:$I$204,MATCH(B132,'官方售价'!$A$5:$A$204,0)),0)</x:f>
        <x:v>720</x:v>
      </x:c>
      <x:c r="K132" s="23" t="n">
        <x:f>IFERROR(INDEX('官方售价'!$J$5:$J$204,MATCH(B132,'官方售价'!$A$5:$A$204,0)),0)</x:f>
        <x:v>24</x:v>
      </x:c>
      <x:c r="L132" s="25" t="n">
        <x:f>(E132+F132)*I132*J132*K132/'参数'!$B$7</x:f>
        <x:v>108000</x:v>
      </x:c>
      <x:c r="M132" s="23" t="str">
        <x:f>IFERROR(INDEX('渠道成本'!$F$5:$F$1004,MATCH(C132,'渠道成本'!$A$5:$A$1004,0)),"")</x:f>
        <x:v>per_duration</x:v>
      </x:c>
      <x:c r="N132" s="26" t="n">
        <x:f>IFERROR(INDEX('渠道成本'!$U$5:$U$1004,MATCH(C132,'渠道成本'!$A$5:$A$1004,0)),0)</x:f>
        <x:v>0.06772602739726027</x:v>
      </x:c>
      <x:c r="O132" s="26" t="n">
        <x:f>IFERROR(L132/'参数'!$B$8*INDEX('官方售价'!$M$5:$M$204,MATCH(B132,'官方售价'!$A$5:$A$204,0)),0)</x:f>
        <x:v>0.34027397260273967</x:v>
      </x:c>
      <x:c r="P132" s="26" t="n">
        <x:f>IF(M132="per_token",L132/'参数'!$B$8*N132,IF(M132="per_duration",F132*N132,IF(M132="per_request",N132,0)))</x:f>
        <x:v>0.3386301369863014</x:v>
      </x:c>
      <x:c r="Q132" s="26" t="n">
        <x:f>O132*D132</x:f>
        <x:v>0.34027397260273967</x:v>
      </x:c>
      <x:c r="R132" s="26" t="n">
        <x:f>Q132-P132</x:f>
        <x:v>0.0016438356164382717</x:v>
      </x:c>
      <x:c r="S132" s="29" t="n">
        <x:f>IF(Q132=0,"",R132/Q132)</x:f>
        <x:v>0.004830917874395888</x:v>
      </x:c>
      <x:c r="T132" s="23" t="str">
        <x:f>IF(OR(B132="",C132=""),"pending",IF(OR(O132&lt;0,P132&lt;0),"settlement_failed","settled"))</x:f>
        <x:v>settled</x:v>
      </x:c>
      <x:c r="U132" s="7" t="str">
        <x:v>源行=sd!75；自动利润预览；分组倍率可改为用户折扣</x:v>
      </x:c>
    </x:row>
    <x:row r="133" ht="26.350000381469727" customHeight="1">
      <x:c r="A133" s="19" t="str">
        <x:v>CASE-SECURE-R75-480-SEC-NOV</x:v>
      </x:c>
      <x:c r="B133" s="19" t="str">
        <x:v>SALE-SD20-MINI-480-NOV</x:v>
      </x:c>
      <x:c r="C133" s="19" t="str">
        <x:v>COST-SECURE-R75-480-SEC-NOV</x:v>
      </x:c>
      <x:c r="D133" s="28" t="n">
        <x:v>1</x:v>
      </x:c>
      <x:c r="E133" s="28" t="n">
        <x:v>0</x:v>
      </x:c>
      <x:c r="F133" s="28" t="n">
        <x:v>5</x:v>
      </x:c>
      <x:c r="G133" s="23" t="str">
        <x:f>IFERROR(INDEX('官方售价'!$C$5:$C$204,MATCH(B133,'官方售价'!$A$5:$A$204,0)),"")</x:f>
        <x:v>SKU-SD20-MINI-480</x:v>
      </x:c>
      <x:c r="H133" s="23" t="str">
        <x:f>IFERROR(INDEX('官方售价'!$D$5:$D$204,MATCH(B133,'官方售价'!$A$5:$A$204,0)),"")</x:f>
        <x:v>no_video</x:v>
      </x:c>
      <x:c r="I133" s="23" t="n">
        <x:f>IFERROR(INDEX('官方售价'!$H$5:$H$204,MATCH(B133,'官方售价'!$A$5:$A$204,0)),0)</x:f>
        <x:v>864</x:v>
      </x:c>
      <x:c r="J133" s="23" t="n">
        <x:f>IFERROR(INDEX('官方售价'!$I$5:$I$204,MATCH(B133,'官方售价'!$A$5:$A$204,0)),0)</x:f>
        <x:v>496</x:v>
      </x:c>
      <x:c r="K133" s="23" t="n">
        <x:f>IFERROR(INDEX('官方售价'!$J$5:$J$204,MATCH(B133,'官方售价'!$A$5:$A$204,0)),0)</x:f>
        <x:v>24</x:v>
      </x:c>
      <x:c r="L133" s="25" t="n">
        <x:f>(E133+F133)*I133*J133*K133/'参数'!$B$7</x:f>
        <x:v>50220</x:v>
      </x:c>
      <x:c r="M133" s="23" t="str">
        <x:f>IFERROR(INDEX('渠道成本'!$F$5:$F$1004,MATCH(C133,'渠道成本'!$A$5:$A$1004,0)),"")</x:f>
        <x:v>per_duration</x:v>
      </x:c>
      <x:c r="N133" s="26" t="n">
        <x:f>IFERROR(INDEX('渠道成本'!$U$5:$U$1004,MATCH(C133,'渠道成本'!$A$5:$A$1004,0)),0)</x:f>
        <x:v>0.06772602739726027</x:v>
      </x:c>
      <x:c r="O133" s="26" t="n">
        <x:f>IFERROR(L133/'参数'!$B$8*INDEX('官方售价'!$M$5:$M$204,MATCH(B133,'官方售价'!$A$5:$A$204,0)),0)</x:f>
        <x:v>0.15822739726027396</x:v>
      </x:c>
      <x:c r="P133" s="26" t="n">
        <x:f>IF(M133="per_token",L133/'参数'!$B$8*N133,IF(M133="per_duration",F133*N133,IF(M133="per_request",N133,0)))</x:f>
        <x:v>0.3386301369863014</x:v>
      </x:c>
      <x:c r="Q133" s="26" t="n">
        <x:f>O133*D133</x:f>
        <x:v>0.15822739726027396</x:v>
      </x:c>
      <x:c r="R133" s="26" t="n">
        <x:f>Q133-P133</x:f>
        <x:v>-0.18040273972602744</x:v>
      </x:c>
      <x:c r="S133" s="29" t="n">
        <x:f>IF(Q133=0,"",R133/Q133)</x:f>
        <x:v>-1.1401485637109765</x:v>
      </x:c>
      <x:c r="T133" s="23" t="str">
        <x:f>IF(OR(B133="",C133=""),"pending",IF(OR(O133&lt;0,P133&lt;0),"settlement_failed","settled"))</x:f>
        <x:v>settled</x:v>
      </x:c>
      <x:c r="U133" s="7" t="str">
        <x:v>源行=sd!75；自动利润预览；分组倍率可改为用户折扣</x:v>
      </x:c>
    </x:row>
    <x:row r="134" ht="26.350000381469727" customHeight="1">
      <x:c r="A134" s="19" t="str">
        <x:v>CASE-CANGYUANSUANLI-R77-480-REQ-NOV</x:v>
      </x:c>
      <x:c r="B134" s="19" t="str">
        <x:v>SALE-SD20-STD-480-NOV</x:v>
      </x:c>
      <x:c r="C134" s="19" t="str">
        <x:v>COST-CANGYUANSUANLI-R77-480-REQ-NOV</x:v>
      </x:c>
      <x:c r="D134" s="28" t="n">
        <x:v>1</x:v>
      </x:c>
      <x:c r="E134" s="28" t="n">
        <x:v>0</x:v>
      </x:c>
      <x:c r="F134" s="28" t="n">
        <x:v>5</x:v>
      </x:c>
      <x:c r="G134" s="23" t="str">
        <x:f>IFERROR(INDEX('官方售价'!$C$5:$C$204,MATCH(B134,'官方售价'!$A$5:$A$204,0)),"")</x:f>
        <x:v>SKU-SD20-STD-480</x:v>
      </x:c>
      <x:c r="H134" s="23" t="str">
        <x:f>IFERROR(INDEX('官方售价'!$D$5:$D$204,MATCH(B134,'官方售价'!$A$5:$A$204,0)),"")</x:f>
        <x:v>no_video</x:v>
      </x:c>
      <x:c r="I134" s="23" t="n">
        <x:f>IFERROR(INDEX('官方售价'!$H$5:$H$204,MATCH(B134,'官方售价'!$A$5:$A$204,0)),0)</x:f>
        <x:v>864</x:v>
      </x:c>
      <x:c r="J134" s="23" t="n">
        <x:f>IFERROR(INDEX('官方售价'!$I$5:$I$204,MATCH(B134,'官方售价'!$A$5:$A$204,0)),0)</x:f>
        <x:v>496</x:v>
      </x:c>
      <x:c r="K134" s="23" t="n">
        <x:f>IFERROR(INDEX('官方售价'!$J$5:$J$204,MATCH(B134,'官方售价'!$A$5:$A$204,0)),0)</x:f>
        <x:v>24</x:v>
      </x:c>
      <x:c r="L134" s="25" t="n">
        <x:f>(E134+F134)*I134*J134*K134/'参数'!$B$7</x:f>
        <x:v>50220</x:v>
      </x:c>
      <x:c r="M134" s="23" t="str">
        <x:f>IFERROR(INDEX('渠道成本'!$F$5:$F$1004,MATCH(C134,'渠道成本'!$A$5:$A$1004,0)),"")</x:f>
        <x:v>per_request</x:v>
      </x:c>
      <x:c r="N134" s="26" t="n">
        <x:f>IFERROR(INDEX('渠道成本'!$U$5:$U$1004,MATCH(C134,'渠道成本'!$A$5:$A$1004,0)),0)</x:f>
        <x:v>0.5273972602739726</x:v>
      </x:c>
      <x:c r="O134" s="26" t="n">
        <x:f>IFERROR(L134/'参数'!$B$8*INDEX('官方售价'!$M$5:$M$204,MATCH(B134,'官方售价'!$A$5:$A$204,0)),0)</x:f>
        <x:v>0.3164547945205479</x:v>
      </x:c>
      <x:c r="P134" s="26" t="n">
        <x:f>IF(M134="per_token",L134/'参数'!$B$8*N134,IF(M134="per_duration",F134*N134,IF(M134="per_request",N134,0)))</x:f>
        <x:v>0.5273972602739726</x:v>
      </x:c>
      <x:c r="Q134" s="26" t="n">
        <x:f>O134*D134</x:f>
        <x:v>0.3164547945205479</x:v>
      </x:c>
      <x:c r="R134" s="26" t="n">
        <x:f>Q134-P134</x:f>
        <x:v>-0.21094246575342468</x:v>
      </x:c>
      <x:c r="S134" s="29" t="n">
        <x:f>IF(Q134=0,"",R134/Q134)</x:f>
        <x:v>-0.6665800910775199</x:v>
      </x:c>
      <x:c r="T134" s="23" t="str">
        <x:f>IF(OR(B134="",C134=""),"pending",IF(OR(O134&lt;0,P134&lt;0),"settlement_failed","settled"))</x:f>
        <x:v>settled</x:v>
      </x:c>
      <x:c r="U134" s="7" t="str">
        <x:v>源行=sd!77；自动利润预览；分组倍率可改为用户折扣</x:v>
      </x:c>
    </x:row>
    <x:row r="135" ht="26.350000381469727" customHeight="1">
      <x:c r="A135" s="19" t="str">
        <x:v>CASE-CANGYUANSUANLI-R77-480-REQ-VID</x:v>
      </x:c>
      <x:c r="B135" s="19" t="str">
        <x:v>SALE-SD20-STD-480-VID</x:v>
      </x:c>
      <x:c r="C135" s="19" t="str">
        <x:v>COST-CANGYUANSUANLI-R77-480-REQ-VID</x:v>
      </x:c>
      <x:c r="D135" s="28" t="n">
        <x:v>1</x:v>
      </x:c>
      <x:c r="E135" s="28" t="n">
        <x:v>3</x:v>
      </x:c>
      <x:c r="F135" s="28" t="n">
        <x:v>5</x:v>
      </x:c>
      <x:c r="G135" s="23" t="str">
        <x:f>IFERROR(INDEX('官方售价'!$C$5:$C$204,MATCH(B135,'官方售价'!$A$5:$A$204,0)),"")</x:f>
        <x:v>SKU-SD20-STD-480</x:v>
      </x:c>
      <x:c r="H135" s="23" t="str">
        <x:f>IFERROR(INDEX('官方售价'!$D$5:$D$204,MATCH(B135,'官方售价'!$A$5:$A$204,0)),"")</x:f>
        <x:v>with_video</x:v>
      </x:c>
      <x:c r="I135" s="23" t="n">
        <x:f>IFERROR(INDEX('官方售价'!$H$5:$H$204,MATCH(B135,'官方售价'!$A$5:$A$204,0)),0)</x:f>
        <x:v>864</x:v>
      </x:c>
      <x:c r="J135" s="23" t="n">
        <x:f>IFERROR(INDEX('官方售价'!$I$5:$I$204,MATCH(B135,'官方售价'!$A$5:$A$204,0)),0)</x:f>
        <x:v>496</x:v>
      </x:c>
      <x:c r="K135" s="23" t="n">
        <x:f>IFERROR(INDEX('官方售价'!$J$5:$J$204,MATCH(B135,'官方售价'!$A$5:$A$204,0)),0)</x:f>
        <x:v>24</x:v>
      </x:c>
      <x:c r="L135" s="25" t="n">
        <x:f>(E135+F135)*I135*J135*K135/'参数'!$B$7</x:f>
        <x:v>80352</x:v>
      </x:c>
      <x:c r="M135" s="23" t="str">
        <x:f>IFERROR(INDEX('渠道成本'!$F$5:$F$1004,MATCH(C135,'渠道成本'!$A$5:$A$1004,0)),"")</x:f>
        <x:v>per_request</x:v>
      </x:c>
      <x:c r="N135" s="26" t="n">
        <x:f>IFERROR(INDEX('渠道成本'!$U$5:$U$1004,MATCH(C135,'渠道成本'!$A$5:$A$1004,0)),0)</x:f>
        <x:v>0.5273972602739726</x:v>
      </x:c>
      <x:c r="O135" s="26" t="n">
        <x:f>IFERROR(L135/'参数'!$B$8*INDEX('官方售价'!$M$5:$M$204,MATCH(B135,'官方售价'!$A$5:$A$204,0)),0)</x:f>
        <x:v>0.30819945205479454</x:v>
      </x:c>
      <x:c r="P135" s="26" t="n">
        <x:f>IF(M135="per_token",L135/'参数'!$B$8*N135,IF(M135="per_duration",F135*N135,IF(M135="per_request",N135,0)))</x:f>
        <x:v>0.5273972602739726</x:v>
      </x:c>
      <x:c r="Q135" s="26" t="n">
        <x:f>O135*D135</x:f>
        <x:v>0.30819945205479454</x:v>
      </x:c>
      <x:c r="R135" s="26" t="n">
        <x:f>Q135-P135</x:f>
        <x:v>-0.21919780821917806</x:v>
      </x:c>
      <x:c r="S135" s="29" t="n">
        <x:f>IF(Q135=0,"",R135/Q135)</x:f>
        <x:v>-0.7112206292313817</x:v>
      </x:c>
      <x:c r="T135" s="23" t="str">
        <x:f>IF(OR(B135="",C135=""),"pending",IF(OR(O135&lt;0,P135&lt;0),"settlement_failed","settled"))</x:f>
        <x:v>settled</x:v>
      </x:c>
      <x:c r="U135" s="7" t="str">
        <x:v>源行=sd!77；自动利润预览；分组倍率可改为用户折扣</x:v>
      </x:c>
    </x:row>
    <x:row r="136" ht="26.350000381469727" customHeight="1">
      <x:c r="A136" s="19" t="str">
        <x:v>CASE-CANGYUANSUANLI-R77-720-REQ-NOV</x:v>
      </x:c>
      <x:c r="B136" s="19" t="str">
        <x:v>SALE-SD20-STD-720-NOV</x:v>
      </x:c>
      <x:c r="C136" s="19" t="str">
        <x:v>COST-CANGYUANSUANLI-R77-720-REQ-NOV</x:v>
      </x:c>
      <x:c r="D136" s="28" t="n">
        <x:v>1</x:v>
      </x:c>
      <x:c r="E136" s="28" t="n">
        <x:v>0</x:v>
      </x:c>
      <x:c r="F136" s="28" t="n">
        <x:v>5</x:v>
      </x:c>
      <x:c r="G136" s="23" t="str">
        <x:f>IFERROR(INDEX('官方售价'!$C$5:$C$204,MATCH(B136,'官方售价'!$A$5:$A$204,0)),"")</x:f>
        <x:v>SKU-SD20-STD-720</x:v>
      </x:c>
      <x:c r="H136" s="23" t="str">
        <x:f>IFERROR(INDEX('官方售价'!$D$5:$D$204,MATCH(B136,'官方售价'!$A$5:$A$204,0)),"")</x:f>
        <x:v>no_video</x:v>
      </x:c>
      <x:c r="I136" s="23" t="n">
        <x:f>IFERROR(INDEX('官方售价'!$H$5:$H$204,MATCH(B136,'官方售价'!$A$5:$A$204,0)),0)</x:f>
        <x:v>1280</x:v>
      </x:c>
      <x:c r="J136" s="23" t="n">
        <x:f>IFERROR(INDEX('官方售价'!$I$5:$I$204,MATCH(B136,'官方售价'!$A$5:$A$204,0)),0)</x:f>
        <x:v>720</x:v>
      </x:c>
      <x:c r="K136" s="23" t="n">
        <x:f>IFERROR(INDEX('官方售价'!$J$5:$J$204,MATCH(B136,'官方售价'!$A$5:$A$204,0)),0)</x:f>
        <x:v>24</x:v>
      </x:c>
      <x:c r="L136" s="25" t="n">
        <x:f>(E136+F136)*I136*J136*K136/'参数'!$B$7</x:f>
        <x:v>108000</x:v>
      </x:c>
      <x:c r="M136" s="23" t="str">
        <x:f>IFERROR(INDEX('渠道成本'!$F$5:$F$1004,MATCH(C136,'渠道成本'!$A$5:$A$1004,0)),"")</x:f>
        <x:v>per_request</x:v>
      </x:c>
      <x:c r="N136" s="26" t="n">
        <x:f>IFERROR(INDEX('渠道成本'!$U$5:$U$1004,MATCH(C136,'渠道成本'!$A$5:$A$1004,0)),0)</x:f>
        <x:v>0.5273972602739726</x:v>
      </x:c>
      <x:c r="O136" s="26" t="n">
        <x:f>IFERROR(L136/'参数'!$B$8*INDEX('官方售价'!$M$5:$M$204,MATCH(B136,'官方售价'!$A$5:$A$204,0)),0)</x:f>
        <x:v>0.6805479452054793</x:v>
      </x:c>
      <x:c r="P136" s="26" t="n">
        <x:f>IF(M136="per_token",L136/'参数'!$B$8*N136,IF(M136="per_duration",F136*N136,IF(M136="per_request",N136,0)))</x:f>
        <x:v>0.5273972602739726</x:v>
      </x:c>
      <x:c r="Q136" s="26" t="n">
        <x:f>O136*D136</x:f>
        <x:v>0.6805479452054793</x:v>
      </x:c>
      <x:c r="R136" s="26" t="n">
        <x:f>Q136-P136</x:f>
        <x:v>0.15315068493150674</x:v>
      </x:c>
      <x:c r="S136" s="29" t="n">
        <x:f>IF(Q136=0,"",R136/Q136)</x:f>
        <x:v>0.2250402576489532</x:v>
      </x:c>
      <x:c r="T136" s="23" t="str">
        <x:f>IF(OR(B136="",C136=""),"pending",IF(OR(O136&lt;0,P136&lt;0),"settlement_failed","settled"))</x:f>
        <x:v>settled</x:v>
      </x:c>
      <x:c r="U136" s="7" t="str">
        <x:v>源行=sd!77；自动利润预览；分组倍率可改为用户折扣</x:v>
      </x:c>
    </x:row>
    <x:row r="137" ht="26.350000381469727" customHeight="1">
      <x:c r="A137" s="19" t="str">
        <x:v>CASE-CANGYUANSUANLI-R77-720-REQ-VID</x:v>
      </x:c>
      <x:c r="B137" s="19" t="str">
        <x:v>SALE-SD20-STD-720-VID</x:v>
      </x:c>
      <x:c r="C137" s="19" t="str">
        <x:v>COST-CANGYUANSUANLI-R77-720-REQ-VID</x:v>
      </x:c>
      <x:c r="D137" s="28" t="n">
        <x:v>1</x:v>
      </x:c>
      <x:c r="E137" s="28" t="n">
        <x:v>3</x:v>
      </x:c>
      <x:c r="F137" s="28" t="n">
        <x:v>5</x:v>
      </x:c>
      <x:c r="G137" s="23" t="str">
        <x:f>IFERROR(INDEX('官方售价'!$C$5:$C$204,MATCH(B137,'官方售价'!$A$5:$A$204,0)),"")</x:f>
        <x:v>SKU-SD20-STD-720</x:v>
      </x:c>
      <x:c r="H137" s="23" t="str">
        <x:f>IFERROR(INDEX('官方售价'!$D$5:$D$204,MATCH(B137,'官方售价'!$A$5:$A$204,0)),"")</x:f>
        <x:v>with_video</x:v>
      </x:c>
      <x:c r="I137" s="23" t="n">
        <x:f>IFERROR(INDEX('官方售价'!$H$5:$H$204,MATCH(B137,'官方售价'!$A$5:$A$204,0)),0)</x:f>
        <x:v>1280</x:v>
      </x:c>
      <x:c r="J137" s="23" t="n">
        <x:f>IFERROR(INDEX('官方售价'!$I$5:$I$204,MATCH(B137,'官方售价'!$A$5:$A$204,0)),0)</x:f>
        <x:v>720</x:v>
      </x:c>
      <x:c r="K137" s="23" t="n">
        <x:f>IFERROR(INDEX('官方售价'!$J$5:$J$204,MATCH(B137,'官方售价'!$A$5:$A$204,0)),0)</x:f>
        <x:v>24</x:v>
      </x:c>
      <x:c r="L137" s="25" t="n">
        <x:f>(E137+F137)*I137*J137*K137/'参数'!$B$7</x:f>
        <x:v>172800</x:v>
      </x:c>
      <x:c r="M137" s="23" t="str">
        <x:f>IFERROR(INDEX('渠道成本'!$F$5:$F$1004,MATCH(C137,'渠道成本'!$A$5:$A$1004,0)),"")</x:f>
        <x:v>per_request</x:v>
      </x:c>
      <x:c r="N137" s="26" t="n">
        <x:f>IFERROR(INDEX('渠道成本'!$U$5:$U$1004,MATCH(C137,'渠道成本'!$A$5:$A$1004,0)),0)</x:f>
        <x:v>0.5273972602739726</x:v>
      </x:c>
      <x:c r="O137" s="26" t="n">
        <x:f>IFERROR(L137/'参数'!$B$8*INDEX('官方售价'!$M$5:$M$204,MATCH(B137,'官方售价'!$A$5:$A$204,0)),0)</x:f>
        <x:v>0.6627945205479452</x:v>
      </x:c>
      <x:c r="P137" s="26" t="n">
        <x:f>IF(M137="per_token",L137/'参数'!$B$8*N137,IF(M137="per_duration",F137*N137,IF(M137="per_request",N137,0)))</x:f>
        <x:v>0.5273972602739726</x:v>
      </x:c>
      <x:c r="Q137" s="26" t="n">
        <x:f>O137*D137</x:f>
        <x:v>0.6627945205479452</x:v>
      </x:c>
      <x:c r="R137" s="26" t="n">
        <x:f>Q137-P137</x:f>
        <x:v>0.13539726027397259</x:v>
      </x:c>
      <x:c r="S137" s="29" t="n">
        <x:f>IF(Q137=0,"",R137/Q137)</x:f>
        <x:v>0.20428240740740738</x:v>
      </x:c>
      <x:c r="T137" s="23" t="str">
        <x:f>IF(OR(B137="",C137=""),"pending",IF(OR(O137&lt;0,P137&lt;0),"settlement_failed","settled"))</x:f>
        <x:v>settled</x:v>
      </x:c>
      <x:c r="U137" s="7" t="str">
        <x:v>源行=sd!77；自动利润预览；分组倍率可改为用户折扣</x:v>
      </x:c>
    </x:row>
    <x:row r="138" ht="26.350000381469727" customHeight="1">
      <x:c r="A138" s="19" t="str">
        <x:v>CASE-CANGYUANSUANLI-R78-480-REQ-NOV</x:v>
      </x:c>
      <x:c r="B138" s="19" t="str">
        <x:v>SALE-SD20-FAST-480-NOV</x:v>
      </x:c>
      <x:c r="C138" s="19" t="str">
        <x:v>COST-CANGYUANSUANLI-R78-480-REQ-NOV</x:v>
      </x:c>
      <x:c r="D138" s="28" t="n">
        <x:v>1</x:v>
      </x:c>
      <x:c r="E138" s="28" t="n">
        <x:v>0</x:v>
      </x:c>
      <x:c r="F138" s="28" t="n">
        <x:v>5</x:v>
      </x:c>
      <x:c r="G138" s="23" t="str">
        <x:f>IFERROR(INDEX('官方售价'!$C$5:$C$204,MATCH(B138,'官方售价'!$A$5:$A$204,0)),"")</x:f>
        <x:v>SKU-SD20-FAST-480</x:v>
      </x:c>
      <x:c r="H138" s="23" t="str">
        <x:f>IFERROR(INDEX('官方售价'!$D$5:$D$204,MATCH(B138,'官方售价'!$A$5:$A$204,0)),"")</x:f>
        <x:v>no_video</x:v>
      </x:c>
      <x:c r="I138" s="23" t="n">
        <x:f>IFERROR(INDEX('官方售价'!$H$5:$H$204,MATCH(B138,'官方售价'!$A$5:$A$204,0)),0)</x:f>
        <x:v>864</x:v>
      </x:c>
      <x:c r="J138" s="23" t="n">
        <x:f>IFERROR(INDEX('官方售价'!$I$5:$I$204,MATCH(B138,'官方售价'!$A$5:$A$204,0)),0)</x:f>
        <x:v>496</x:v>
      </x:c>
      <x:c r="K138" s="23" t="n">
        <x:f>IFERROR(INDEX('官方售价'!$J$5:$J$204,MATCH(B138,'官方售价'!$A$5:$A$204,0)),0)</x:f>
        <x:v>24</x:v>
      </x:c>
      <x:c r="L138" s="25" t="n">
        <x:f>(E138+F138)*I138*J138*K138/'参数'!$B$7</x:f>
        <x:v>50220</x:v>
      </x:c>
      <x:c r="M138" s="23" t="str">
        <x:f>IFERROR(INDEX('渠道成本'!$F$5:$F$1004,MATCH(C138,'渠道成本'!$A$5:$A$1004,0)),"")</x:f>
        <x:v>per_request</x:v>
      </x:c>
      <x:c r="N138" s="26" t="n">
        <x:f>IFERROR(INDEX('渠道成本'!$U$5:$U$1004,MATCH(C138,'渠道成本'!$A$5:$A$1004,0)),0)</x:f>
        <x:v>0.3561643835616438</x:v>
      </x:c>
      <x:c r="O138" s="26" t="n">
        <x:f>IFERROR(L138/'参数'!$B$8*INDEX('官方售价'!$M$5:$M$204,MATCH(B138,'官方售价'!$A$5:$A$204,0)),0)</x:f>
        <x:v>0.2545397260273973</x:v>
      </x:c>
      <x:c r="P138" s="26" t="n">
        <x:f>IF(M138="per_token",L138/'参数'!$B$8*N138,IF(M138="per_duration",F138*N138,IF(M138="per_request",N138,0)))</x:f>
        <x:v>0.3561643835616438</x:v>
      </x:c>
      <x:c r="Q138" s="26" t="n">
        <x:f>O138*D138</x:f>
        <x:v>0.2545397260273973</x:v>
      </x:c>
      <x:c r="R138" s="26" t="n">
        <x:f>Q138-P138</x:f>
        <x:v>-0.10162465753424654</x:v>
      </x:c>
      <x:c r="S138" s="29" t="n">
        <x:f>IF(Q138=0,"",R138/Q138)</x:f>
        <x:v>-0.39924871107666793</x:v>
      </x:c>
      <x:c r="T138" s="23" t="str">
        <x:f>IF(OR(B138="",C138=""),"pending",IF(OR(O138&lt;0,P138&lt;0),"settlement_failed","settled"))</x:f>
        <x:v>settled</x:v>
      </x:c>
      <x:c r="U138" s="7" t="str">
        <x:v>源行=sd!78；自动利润预览；分组倍率可改为用户折扣</x:v>
      </x:c>
    </x:row>
    <x:row r="139" ht="26.350000381469727" customHeight="1">
      <x:c r="A139" s="19" t="str">
        <x:v>CASE-CANGYUANSUANLI-R78-480-REQ-VID</x:v>
      </x:c>
      <x:c r="B139" s="19" t="str">
        <x:v>SALE-SD20-FAST-480-VID</x:v>
      </x:c>
      <x:c r="C139" s="19" t="str">
        <x:v>COST-CANGYUANSUANLI-R78-480-REQ-VID</x:v>
      </x:c>
      <x:c r="D139" s="28" t="n">
        <x:v>1</x:v>
      </x:c>
      <x:c r="E139" s="28" t="n">
        <x:v>3</x:v>
      </x:c>
      <x:c r="F139" s="28" t="n">
        <x:v>5</x:v>
      </x:c>
      <x:c r="G139" s="23" t="str">
        <x:f>IFERROR(INDEX('官方售价'!$C$5:$C$204,MATCH(B139,'官方售价'!$A$5:$A$204,0)),"")</x:f>
        <x:v>SKU-SD20-FAST-480</x:v>
      </x:c>
      <x:c r="H139" s="23" t="str">
        <x:f>IFERROR(INDEX('官方售价'!$D$5:$D$204,MATCH(B139,'官方售价'!$A$5:$A$204,0)),"")</x:f>
        <x:v>with_video</x:v>
      </x:c>
      <x:c r="I139" s="23" t="n">
        <x:f>IFERROR(INDEX('官方售价'!$H$5:$H$204,MATCH(B139,'官方售价'!$A$5:$A$204,0)),0)</x:f>
        <x:v>864</x:v>
      </x:c>
      <x:c r="J139" s="23" t="n">
        <x:f>IFERROR(INDEX('官方售价'!$I$5:$I$204,MATCH(B139,'官方售价'!$A$5:$A$204,0)),0)</x:f>
        <x:v>496</x:v>
      </x:c>
      <x:c r="K139" s="23" t="n">
        <x:f>IFERROR(INDEX('官方售价'!$J$5:$J$204,MATCH(B139,'官方售价'!$A$5:$A$204,0)),0)</x:f>
        <x:v>24</x:v>
      </x:c>
      <x:c r="L139" s="25" t="n">
        <x:f>(E139+F139)*I139*J139*K139/'参数'!$B$7</x:f>
        <x:v>80352</x:v>
      </x:c>
      <x:c r="M139" s="23" t="str">
        <x:f>IFERROR(INDEX('渠道成本'!$F$5:$F$1004,MATCH(C139,'渠道成本'!$A$5:$A$1004,0)),"")</x:f>
        <x:v>per_request</x:v>
      </x:c>
      <x:c r="N139" s="26" t="n">
        <x:f>IFERROR(INDEX('渠道成本'!$U$5:$U$1004,MATCH(C139,'渠道成本'!$A$5:$A$1004,0)),0)</x:f>
        <x:v>0.3561643835616438</x:v>
      </x:c>
      <x:c r="O139" s="26" t="n">
        <x:f>IFERROR(L139/'参数'!$B$8*INDEX('官方售价'!$M$5:$M$204,MATCH(B139,'官方售价'!$A$5:$A$204,0)),0)</x:f>
        <x:v>0.24215671232876712</x:v>
      </x:c>
      <x:c r="P139" s="26" t="n">
        <x:f>IF(M139="per_token",L139/'参数'!$B$8*N139,IF(M139="per_duration",F139*N139,IF(M139="per_request",N139,0)))</x:f>
        <x:v>0.3561643835616438</x:v>
      </x:c>
      <x:c r="Q139" s="26" t="n">
        <x:f>O139*D139</x:f>
        <x:v>0.24215671232876712</x:v>
      </x:c>
      <x:c r="R139" s="26" t="n">
        <x:f>Q139-P139</x:f>
        <x:v>-0.1140076712328767</x:v>
      </x:c>
      <x:c r="S139" s="29" t="n">
        <x:f>IF(Q139=0,"",R139/Q139)</x:f>
        <x:v>-0.4708012019839976</x:v>
      </x:c>
      <x:c r="T139" s="23" t="str">
        <x:f>IF(OR(B139="",C139=""),"pending",IF(OR(O139&lt;0,P139&lt;0),"settlement_failed","settled"))</x:f>
        <x:v>settled</x:v>
      </x:c>
      <x:c r="U139" s="7" t="str">
        <x:v>源行=sd!78；自动利润预览；分组倍率可改为用户折扣</x:v>
      </x:c>
    </x:row>
    <x:row r="140" ht="26.350000381469727" customHeight="1">
      <x:c r="A140" s="19" t="str">
        <x:v>CASE-CANGYUANSUANLI-R78-720-REQ-NOV</x:v>
      </x:c>
      <x:c r="B140" s="19" t="str">
        <x:v>SALE-SD20-FAST-720-NOV</x:v>
      </x:c>
      <x:c r="C140" s="19" t="str">
        <x:v>COST-CANGYUANSUANLI-R78-720-REQ-NOV</x:v>
      </x:c>
      <x:c r="D140" s="28" t="n">
        <x:v>1</x:v>
      </x:c>
      <x:c r="E140" s="28" t="n">
        <x:v>0</x:v>
      </x:c>
      <x:c r="F140" s="28" t="n">
        <x:v>5</x:v>
      </x:c>
      <x:c r="G140" s="23" t="str">
        <x:f>IFERROR(INDEX('官方售价'!$C$5:$C$204,MATCH(B140,'官方售价'!$A$5:$A$204,0)),"")</x:f>
        <x:v>SKU-SD20-FAST-720</x:v>
      </x:c>
      <x:c r="H140" s="23" t="str">
        <x:f>IFERROR(INDEX('官方售价'!$D$5:$D$204,MATCH(B140,'官方售价'!$A$5:$A$204,0)),"")</x:f>
        <x:v>no_video</x:v>
      </x:c>
      <x:c r="I140" s="23" t="n">
        <x:f>IFERROR(INDEX('官方售价'!$H$5:$H$204,MATCH(B140,'官方售价'!$A$5:$A$204,0)),0)</x:f>
        <x:v>1280</x:v>
      </x:c>
      <x:c r="J140" s="23" t="n">
        <x:f>IFERROR(INDEX('官方售价'!$I$5:$I$204,MATCH(B140,'官方售价'!$A$5:$A$204,0)),0)</x:f>
        <x:v>720</x:v>
      </x:c>
      <x:c r="K140" s="23" t="n">
        <x:f>IFERROR(INDEX('官方售价'!$J$5:$J$204,MATCH(B140,'官方售价'!$A$5:$A$204,0)),0)</x:f>
        <x:v>24</x:v>
      </x:c>
      <x:c r="L140" s="25" t="n">
        <x:f>(E140+F140)*I140*J140*K140/'参数'!$B$7</x:f>
        <x:v>108000</x:v>
      </x:c>
      <x:c r="M140" s="23" t="str">
        <x:f>IFERROR(INDEX('渠道成本'!$F$5:$F$1004,MATCH(C140,'渠道成本'!$A$5:$A$1004,0)),"")</x:f>
        <x:v>per_request</x:v>
      </x:c>
      <x:c r="N140" s="26" t="n">
        <x:f>IFERROR(INDEX('渠道成本'!$U$5:$U$1004,MATCH(C140,'渠道成本'!$A$5:$A$1004,0)),0)</x:f>
        <x:v>0.3561643835616438</x:v>
      </x:c>
      <x:c r="O140" s="26" t="n">
        <x:f>IFERROR(L140/'参数'!$B$8*INDEX('官方售价'!$M$5:$M$204,MATCH(B140,'官方售价'!$A$5:$A$204,0)),0)</x:f>
        <x:v>0.5473972602739726</x:v>
      </x:c>
      <x:c r="P140" s="26" t="n">
        <x:f>IF(M140="per_token",L140/'参数'!$B$8*N140,IF(M140="per_duration",F140*N140,IF(M140="per_request",N140,0)))</x:f>
        <x:v>0.3561643835616438</x:v>
      </x:c>
      <x:c r="Q140" s="26" t="n">
        <x:f>O140*D140</x:f>
        <x:v>0.5473972602739726</x:v>
      </x:c>
      <x:c r="R140" s="26" t="n">
        <x:f>Q140-P140</x:f>
        <x:v>0.1912328767123288</x:v>
      </x:c>
      <x:c r="S140" s="29" t="n">
        <x:f>IF(Q140=0,"",R140/Q140)</x:f>
        <x:v>0.3493493493493494</x:v>
      </x:c>
      <x:c r="T140" s="23" t="str">
        <x:f>IF(OR(B140="",C140=""),"pending",IF(OR(O140&lt;0,P140&lt;0),"settlement_failed","settled"))</x:f>
        <x:v>settled</x:v>
      </x:c>
      <x:c r="U140" s="7" t="str">
        <x:v>源行=sd!78；自动利润预览；分组倍率可改为用户折扣</x:v>
      </x:c>
    </x:row>
    <x:row r="141" ht="26.350000381469727" customHeight="1">
      <x:c r="A141" s="19" t="str">
        <x:v>CASE-CANGYUANSUANLI-R78-720-REQ-VID</x:v>
      </x:c>
      <x:c r="B141" s="19" t="str">
        <x:v>SALE-SD20-FAST-720-VID</x:v>
      </x:c>
      <x:c r="C141" s="19" t="str">
        <x:v>COST-CANGYUANSUANLI-R78-720-REQ-VID</x:v>
      </x:c>
      <x:c r="D141" s="28" t="n">
        <x:v>1</x:v>
      </x:c>
      <x:c r="E141" s="28" t="n">
        <x:v>3</x:v>
      </x:c>
      <x:c r="F141" s="28" t="n">
        <x:v>5</x:v>
      </x:c>
      <x:c r="G141" s="23" t="str">
        <x:f>IFERROR(INDEX('官方售价'!$C$5:$C$204,MATCH(B141,'官方售价'!$A$5:$A$204,0)),"")</x:f>
        <x:v>SKU-SD20-FAST-720</x:v>
      </x:c>
      <x:c r="H141" s="23" t="str">
        <x:f>IFERROR(INDEX('官方售价'!$D$5:$D$204,MATCH(B141,'官方售价'!$A$5:$A$204,0)),"")</x:f>
        <x:v>with_video</x:v>
      </x:c>
      <x:c r="I141" s="23" t="n">
        <x:f>IFERROR(INDEX('官方售价'!$H$5:$H$204,MATCH(B141,'官方售价'!$A$5:$A$204,0)),0)</x:f>
        <x:v>1280</x:v>
      </x:c>
      <x:c r="J141" s="23" t="n">
        <x:f>IFERROR(INDEX('官方售价'!$I$5:$I$204,MATCH(B141,'官方售价'!$A$5:$A$204,0)),0)</x:f>
        <x:v>720</x:v>
      </x:c>
      <x:c r="K141" s="23" t="n">
        <x:f>IFERROR(INDEX('官方售价'!$J$5:$J$204,MATCH(B141,'官方售价'!$A$5:$A$204,0)),0)</x:f>
        <x:v>24</x:v>
      </x:c>
      <x:c r="L141" s="25" t="n">
        <x:f>(E141+F141)*I141*J141*K141/'参数'!$B$7</x:f>
        <x:v>172800</x:v>
      </x:c>
      <x:c r="M141" s="23" t="str">
        <x:f>IFERROR(INDEX('渠道成本'!$F$5:$F$1004,MATCH(C141,'渠道成本'!$A$5:$A$1004,0)),"")</x:f>
        <x:v>per_request</x:v>
      </x:c>
      <x:c r="N141" s="26" t="n">
        <x:f>IFERROR(INDEX('渠道成本'!$U$5:$U$1004,MATCH(C141,'渠道成本'!$A$5:$A$1004,0)),0)</x:f>
        <x:v>0.3561643835616438</x:v>
      </x:c>
      <x:c r="O141" s="26" t="n">
        <x:f>IFERROR(L141/'参数'!$B$8*INDEX('官方售价'!$M$5:$M$204,MATCH(B141,'官方售价'!$A$5:$A$204,0)),0)</x:f>
        <x:v>0.5207671232876712</x:v>
      </x:c>
      <x:c r="P141" s="26" t="n">
        <x:f>IF(M141="per_token",L141/'参数'!$B$8*N141,IF(M141="per_duration",F141*N141,IF(M141="per_request",N141,0)))</x:f>
        <x:v>0.3561643835616438</x:v>
      </x:c>
      <x:c r="Q141" s="26" t="n">
        <x:f>O141*D141</x:f>
        <x:v>0.5207671232876712</x:v>
      </x:c>
      <x:c r="R141" s="26" t="n">
        <x:f>Q141-P141</x:f>
        <x:v>0.16460273972602735</x:v>
      </x:c>
      <x:c r="S141" s="29" t="n">
        <x:f>IF(Q141=0,"",R141/Q141)</x:f>
        <x:v>0.316077441077441</x:v>
      </x:c>
      <x:c r="T141" s="23" t="str">
        <x:f>IF(OR(B141="",C141=""),"pending",IF(OR(O141&lt;0,P141&lt;0),"settlement_failed","settled"))</x:f>
        <x:v>settled</x:v>
      </x:c>
      <x:c r="U141" s="7" t="str">
        <x:v>源行=sd!78；自动利润预览；分组倍率可改为用户折扣</x:v>
      </x:c>
    </x:row>
    <x:row r="142" ht="26.350000381469727" customHeight="1">
      <x:c r="A142" s="19" t="str">
        <x:v>CASE-CANGYUANSUANLI-R79-480-REQ-NOV</x:v>
      </x:c>
      <x:c r="B142" s="19" t="str">
        <x:v>SALE-SD20-STD-480-NOV</x:v>
      </x:c>
      <x:c r="C142" s="19" t="str">
        <x:v>COST-CANGYUANSUANLI-R79-480-REQ-NOV</x:v>
      </x:c>
      <x:c r="D142" s="28" t="n">
        <x:v>1</x:v>
      </x:c>
      <x:c r="E142" s="28" t="n">
        <x:v>0</x:v>
      </x:c>
      <x:c r="F142" s="28" t="n">
        <x:v>5</x:v>
      </x:c>
      <x:c r="G142" s="23" t="str">
        <x:f>IFERROR(INDEX('官方售价'!$C$5:$C$204,MATCH(B142,'官方售价'!$A$5:$A$204,0)),"")</x:f>
        <x:v>SKU-SD20-STD-480</x:v>
      </x:c>
      <x:c r="H142" s="23" t="str">
        <x:f>IFERROR(INDEX('官方售价'!$D$5:$D$204,MATCH(B142,'官方售价'!$A$5:$A$204,0)),"")</x:f>
        <x:v>no_video</x:v>
      </x:c>
      <x:c r="I142" s="23" t="n">
        <x:f>IFERROR(INDEX('官方售价'!$H$5:$H$204,MATCH(B142,'官方售价'!$A$5:$A$204,0)),0)</x:f>
        <x:v>864</x:v>
      </x:c>
      <x:c r="J142" s="23" t="n">
        <x:f>IFERROR(INDEX('官方售价'!$I$5:$I$204,MATCH(B142,'官方售价'!$A$5:$A$204,0)),0)</x:f>
        <x:v>496</x:v>
      </x:c>
      <x:c r="K142" s="23" t="n">
        <x:f>IFERROR(INDEX('官方售价'!$J$5:$J$204,MATCH(B142,'官方售价'!$A$5:$A$204,0)),0)</x:f>
        <x:v>24</x:v>
      </x:c>
      <x:c r="L142" s="25" t="n">
        <x:f>(E142+F142)*I142*J142*K142/'参数'!$B$7</x:f>
        <x:v>50220</x:v>
      </x:c>
      <x:c r="M142" s="23" t="str">
        <x:f>IFERROR(INDEX('渠道成本'!$F$5:$F$1004,MATCH(C142,'渠道成本'!$A$5:$A$1004,0)),"")</x:f>
        <x:v>per_request</x:v>
      </x:c>
      <x:c r="N142" s="26" t="n">
        <x:f>IFERROR(INDEX('渠道成本'!$U$5:$U$1004,MATCH(C142,'渠道成本'!$A$5:$A$1004,0)),0)</x:f>
        <x:v>0.6643835616438355</x:v>
      </x:c>
      <x:c r="O142" s="26" t="n">
        <x:f>IFERROR(L142/'参数'!$B$8*INDEX('官方售价'!$M$5:$M$204,MATCH(B142,'官方售价'!$A$5:$A$204,0)),0)</x:f>
        <x:v>0.3164547945205479</x:v>
      </x:c>
      <x:c r="P142" s="26" t="n">
        <x:f>IF(M142="per_token",L142/'参数'!$B$8*N142,IF(M142="per_duration",F142*N142,IF(M142="per_request",N142,0)))</x:f>
        <x:v>0.6643835616438355</x:v>
      </x:c>
      <x:c r="Q142" s="26" t="n">
        <x:f>O142*D142</x:f>
        <x:v>0.3164547945205479</x:v>
      </x:c>
      <x:c r="R142" s="26" t="n">
        <x:f>Q142-P142</x:f>
        <x:v>-0.3479287671232876</x:v>
      </x:c>
      <x:c r="S142" s="29" t="n">
        <x:f>IF(Q142=0,"",R142/Q142)</x:f>
        <x:v>-1.0994580368119402</x:v>
      </x:c>
      <x:c r="T142" s="23" t="str">
        <x:f>IF(OR(B142="",C142=""),"pending",IF(OR(O142&lt;0,P142&lt;0),"settlement_failed","settled"))</x:f>
        <x:v>settled</x:v>
      </x:c>
      <x:c r="U142" s="7" t="str">
        <x:v>源行=sd!79；自动利润预览；分组倍率可改为用户折扣</x:v>
      </x:c>
    </x:row>
    <x:row r="143" ht="26.350000381469727" customHeight="1">
      <x:c r="A143" s="19" t="str">
        <x:v>CASE-CANGYUANSUANLI-R79-480-REQ-VID</x:v>
      </x:c>
      <x:c r="B143" s="19" t="str">
        <x:v>SALE-SD20-STD-480-VID</x:v>
      </x:c>
      <x:c r="C143" s="19" t="str">
        <x:v>COST-CANGYUANSUANLI-R79-480-REQ-VID</x:v>
      </x:c>
      <x:c r="D143" s="28" t="n">
        <x:v>1</x:v>
      </x:c>
      <x:c r="E143" s="28" t="n">
        <x:v>3</x:v>
      </x:c>
      <x:c r="F143" s="28" t="n">
        <x:v>5</x:v>
      </x:c>
      <x:c r="G143" s="23" t="str">
        <x:f>IFERROR(INDEX('官方售价'!$C$5:$C$204,MATCH(B143,'官方售价'!$A$5:$A$204,0)),"")</x:f>
        <x:v>SKU-SD20-STD-480</x:v>
      </x:c>
      <x:c r="H143" s="23" t="str">
        <x:f>IFERROR(INDEX('官方售价'!$D$5:$D$204,MATCH(B143,'官方售价'!$A$5:$A$204,0)),"")</x:f>
        <x:v>with_video</x:v>
      </x:c>
      <x:c r="I143" s="23" t="n">
        <x:f>IFERROR(INDEX('官方售价'!$H$5:$H$204,MATCH(B143,'官方售价'!$A$5:$A$204,0)),0)</x:f>
        <x:v>864</x:v>
      </x:c>
      <x:c r="J143" s="23" t="n">
        <x:f>IFERROR(INDEX('官方售价'!$I$5:$I$204,MATCH(B143,'官方售价'!$A$5:$A$204,0)),0)</x:f>
        <x:v>496</x:v>
      </x:c>
      <x:c r="K143" s="23" t="n">
        <x:f>IFERROR(INDEX('官方售价'!$J$5:$J$204,MATCH(B143,'官方售价'!$A$5:$A$204,0)),0)</x:f>
        <x:v>24</x:v>
      </x:c>
      <x:c r="L143" s="25" t="n">
        <x:f>(E143+F143)*I143*J143*K143/'参数'!$B$7</x:f>
        <x:v>80352</x:v>
      </x:c>
      <x:c r="M143" s="23" t="str">
        <x:f>IFERROR(INDEX('渠道成本'!$F$5:$F$1004,MATCH(C143,'渠道成本'!$A$5:$A$1004,0)),"")</x:f>
        <x:v>per_request</x:v>
      </x:c>
      <x:c r="N143" s="26" t="n">
        <x:f>IFERROR(INDEX('渠道成本'!$U$5:$U$1004,MATCH(C143,'渠道成本'!$A$5:$A$1004,0)),0)</x:f>
        <x:v>0.6643835616438355</x:v>
      </x:c>
      <x:c r="O143" s="26" t="n">
        <x:f>IFERROR(L143/'参数'!$B$8*INDEX('官方售价'!$M$5:$M$204,MATCH(B143,'官方售价'!$A$5:$A$204,0)),0)</x:f>
        <x:v>0.30819945205479454</x:v>
      </x:c>
      <x:c r="P143" s="26" t="n">
        <x:f>IF(M143="per_token",L143/'参数'!$B$8*N143,IF(M143="per_duration",F143*N143,IF(M143="per_request",N143,0)))</x:f>
        <x:v>0.6643835616438355</x:v>
      </x:c>
      <x:c r="Q143" s="26" t="n">
        <x:f>O143*D143</x:f>
        <x:v>0.30819945205479454</x:v>
      </x:c>
      <x:c r="R143" s="26" t="n">
        <x:f>Q143-P143</x:f>
        <x:v>-0.35618410958904095</x:v>
      </x:c>
      <x:c r="S143" s="29" t="n">
        <x:f>IF(Q143=0,"",R143/Q143)</x:f>
        <x:v>-1.1556935199408311</x:v>
      </x:c>
      <x:c r="T143" s="23" t="str">
        <x:f>IF(OR(B143="",C143=""),"pending",IF(OR(O143&lt;0,P143&lt;0),"settlement_failed","settled"))</x:f>
        <x:v>settled</x:v>
      </x:c>
      <x:c r="U143" s="7" t="str">
        <x:v>源行=sd!79；自动利润预览；分组倍率可改为用户折扣</x:v>
      </x:c>
    </x:row>
    <x:row r="144" ht="26.350000381469727" customHeight="1">
      <x:c r="A144" s="19" t="str">
        <x:v>CASE-CANGYUANSUANLI-R79-720-REQ-NOV</x:v>
      </x:c>
      <x:c r="B144" s="19" t="str">
        <x:v>SALE-SD20-STD-720-NOV</x:v>
      </x:c>
      <x:c r="C144" s="19" t="str">
        <x:v>COST-CANGYUANSUANLI-R79-720-REQ-NOV</x:v>
      </x:c>
      <x:c r="D144" s="28" t="n">
        <x:v>1</x:v>
      </x:c>
      <x:c r="E144" s="28" t="n">
        <x:v>0</x:v>
      </x:c>
      <x:c r="F144" s="28" t="n">
        <x:v>5</x:v>
      </x:c>
      <x:c r="G144" s="23" t="str">
        <x:f>IFERROR(INDEX('官方售价'!$C$5:$C$204,MATCH(B144,'官方售价'!$A$5:$A$204,0)),"")</x:f>
        <x:v>SKU-SD20-STD-720</x:v>
      </x:c>
      <x:c r="H144" s="23" t="str">
        <x:f>IFERROR(INDEX('官方售价'!$D$5:$D$204,MATCH(B144,'官方售价'!$A$5:$A$204,0)),"")</x:f>
        <x:v>no_video</x:v>
      </x:c>
      <x:c r="I144" s="23" t="n">
        <x:f>IFERROR(INDEX('官方售价'!$H$5:$H$204,MATCH(B144,'官方售价'!$A$5:$A$204,0)),0)</x:f>
        <x:v>1280</x:v>
      </x:c>
      <x:c r="J144" s="23" t="n">
        <x:f>IFERROR(INDEX('官方售价'!$I$5:$I$204,MATCH(B144,'官方售价'!$A$5:$A$204,0)),0)</x:f>
        <x:v>720</x:v>
      </x:c>
      <x:c r="K144" s="23" t="n">
        <x:f>IFERROR(INDEX('官方售价'!$J$5:$J$204,MATCH(B144,'官方售价'!$A$5:$A$204,0)),0)</x:f>
        <x:v>24</x:v>
      </x:c>
      <x:c r="L144" s="25" t="n">
        <x:f>(E144+F144)*I144*J144*K144/'参数'!$B$7</x:f>
        <x:v>108000</x:v>
      </x:c>
      <x:c r="M144" s="23" t="str">
        <x:f>IFERROR(INDEX('渠道成本'!$F$5:$F$1004,MATCH(C144,'渠道成本'!$A$5:$A$1004,0)),"")</x:f>
        <x:v>per_request</x:v>
      </x:c>
      <x:c r="N144" s="26" t="n">
        <x:f>IFERROR(INDEX('渠道成本'!$U$5:$U$1004,MATCH(C144,'渠道成本'!$A$5:$A$1004,0)),0)</x:f>
        <x:v>0.6643835616438355</x:v>
      </x:c>
      <x:c r="O144" s="26" t="n">
        <x:f>IFERROR(L144/'参数'!$B$8*INDEX('官方售价'!$M$5:$M$204,MATCH(B144,'官方售价'!$A$5:$A$204,0)),0)</x:f>
        <x:v>0.6805479452054793</x:v>
      </x:c>
      <x:c r="P144" s="26" t="n">
        <x:f>IF(M144="per_token",L144/'参数'!$B$8*N144,IF(M144="per_duration",F144*N144,IF(M144="per_request",N144,0)))</x:f>
        <x:v>0.6643835616438355</x:v>
      </x:c>
      <x:c r="Q144" s="26" t="n">
        <x:f>O144*D144</x:f>
        <x:v>0.6805479452054793</x:v>
      </x:c>
      <x:c r="R144" s="26" t="n">
        <x:f>Q144-P144</x:f>
        <x:v>0.016164383561643847</x:v>
      </x:c>
      <x:c r="S144" s="29" t="n">
        <x:f>IF(Q144=0,"",R144/Q144)</x:f>
        <x:v>0.023752012882447684</x:v>
      </x:c>
      <x:c r="T144" s="23" t="str">
        <x:f>IF(OR(B144="",C144=""),"pending",IF(OR(O144&lt;0,P144&lt;0),"settlement_failed","settled"))</x:f>
        <x:v>settled</x:v>
      </x:c>
      <x:c r="U144" s="7" t="str">
        <x:v>源行=sd!79；自动利润预览；分组倍率可改为用户折扣</x:v>
      </x:c>
    </x:row>
    <x:row r="145" ht="26.350000381469727" customHeight="1">
      <x:c r="A145" s="19" t="str">
        <x:v>CASE-CANGYUANSUANLI-R79-720-REQ-VID</x:v>
      </x:c>
      <x:c r="B145" s="19" t="str">
        <x:v>SALE-SD20-STD-720-VID</x:v>
      </x:c>
      <x:c r="C145" s="19" t="str">
        <x:v>COST-CANGYUANSUANLI-R79-720-REQ-VID</x:v>
      </x:c>
      <x:c r="D145" s="28" t="n">
        <x:v>1</x:v>
      </x:c>
      <x:c r="E145" s="28" t="n">
        <x:v>3</x:v>
      </x:c>
      <x:c r="F145" s="28" t="n">
        <x:v>5</x:v>
      </x:c>
      <x:c r="G145" s="23" t="str">
        <x:f>IFERROR(INDEX('官方售价'!$C$5:$C$204,MATCH(B145,'官方售价'!$A$5:$A$204,0)),"")</x:f>
        <x:v>SKU-SD20-STD-720</x:v>
      </x:c>
      <x:c r="H145" s="23" t="str">
        <x:f>IFERROR(INDEX('官方售价'!$D$5:$D$204,MATCH(B145,'官方售价'!$A$5:$A$204,0)),"")</x:f>
        <x:v>with_video</x:v>
      </x:c>
      <x:c r="I145" s="23" t="n">
        <x:f>IFERROR(INDEX('官方售价'!$H$5:$H$204,MATCH(B145,'官方售价'!$A$5:$A$204,0)),0)</x:f>
        <x:v>1280</x:v>
      </x:c>
      <x:c r="J145" s="23" t="n">
        <x:f>IFERROR(INDEX('官方售价'!$I$5:$I$204,MATCH(B145,'官方售价'!$A$5:$A$204,0)),0)</x:f>
        <x:v>720</x:v>
      </x:c>
      <x:c r="K145" s="23" t="n">
        <x:f>IFERROR(INDEX('官方售价'!$J$5:$J$204,MATCH(B145,'官方售价'!$A$5:$A$204,0)),0)</x:f>
        <x:v>24</x:v>
      </x:c>
      <x:c r="L145" s="25" t="n">
        <x:f>(E145+F145)*I145*J145*K145/'参数'!$B$7</x:f>
        <x:v>172800</x:v>
      </x:c>
      <x:c r="M145" s="23" t="str">
        <x:f>IFERROR(INDEX('渠道成本'!$F$5:$F$1004,MATCH(C145,'渠道成本'!$A$5:$A$1004,0)),"")</x:f>
        <x:v>per_request</x:v>
      </x:c>
      <x:c r="N145" s="26" t="n">
        <x:f>IFERROR(INDEX('渠道成本'!$U$5:$U$1004,MATCH(C145,'渠道成本'!$A$5:$A$1004,0)),0)</x:f>
        <x:v>0.6643835616438355</x:v>
      </x:c>
      <x:c r="O145" s="26" t="n">
        <x:f>IFERROR(L145/'参数'!$B$8*INDEX('官方售价'!$M$5:$M$204,MATCH(B145,'官方售价'!$A$5:$A$204,0)),0)</x:f>
        <x:v>0.6627945205479452</x:v>
      </x:c>
      <x:c r="P145" s="26" t="n">
        <x:f>IF(M145="per_token",L145/'参数'!$B$8*N145,IF(M145="per_duration",F145*N145,IF(M145="per_request",N145,0)))</x:f>
        <x:v>0.6643835616438355</x:v>
      </x:c>
      <x:c r="Q145" s="26" t="n">
        <x:f>O145*D145</x:f>
        <x:v>0.6627945205479452</x:v>
      </x:c>
      <x:c r="R145" s="26" t="n">
        <x:f>Q145-P145</x:f>
        <x:v>-0.001589041095890309</x:v>
      </x:c>
      <x:c r="S145" s="29" t="n">
        <x:f>IF(Q145=0,"",R145/Q145)</x:f>
        <x:v>-0.002397486772486619</x:v>
      </x:c>
      <x:c r="T145" s="23" t="str">
        <x:f>IF(OR(B145="",C145=""),"pending",IF(OR(O145&lt;0,P145&lt;0),"settlement_failed","settled"))</x:f>
        <x:v>settled</x:v>
      </x:c>
      <x:c r="U145" s="7" t="str">
        <x:v>源行=sd!79；自动利润预览；分组倍率可改为用户折扣</x:v>
      </x:c>
    </x:row>
    <x:row r="146" ht="26.350000381469727" customHeight="1">
      <x:c r="A146" s="19" t="str">
        <x:v>CASE-CANGYUANSUANLI-R80-480-REQ-NOV</x:v>
      </x:c>
      <x:c r="B146" s="19" t="str">
        <x:v>SALE-SD20-FAST-480-NOV</x:v>
      </x:c>
      <x:c r="C146" s="19" t="str">
        <x:v>COST-CANGYUANSUANLI-R80-480-REQ-NOV</x:v>
      </x:c>
      <x:c r="D146" s="28" t="n">
        <x:v>1</x:v>
      </x:c>
      <x:c r="E146" s="28" t="n">
        <x:v>0</x:v>
      </x:c>
      <x:c r="F146" s="28" t="n">
        <x:v>5</x:v>
      </x:c>
      <x:c r="G146" s="23" t="str">
        <x:f>IFERROR(INDEX('官方售价'!$C$5:$C$204,MATCH(B146,'官方售价'!$A$5:$A$204,0)),"")</x:f>
        <x:v>SKU-SD20-FAST-480</x:v>
      </x:c>
      <x:c r="H146" s="23" t="str">
        <x:f>IFERROR(INDEX('官方售价'!$D$5:$D$204,MATCH(B146,'官方售价'!$A$5:$A$204,0)),"")</x:f>
        <x:v>no_video</x:v>
      </x:c>
      <x:c r="I146" s="23" t="n">
        <x:f>IFERROR(INDEX('官方售价'!$H$5:$H$204,MATCH(B146,'官方售价'!$A$5:$A$204,0)),0)</x:f>
        <x:v>864</x:v>
      </x:c>
      <x:c r="J146" s="23" t="n">
        <x:f>IFERROR(INDEX('官方售价'!$I$5:$I$204,MATCH(B146,'官方售价'!$A$5:$A$204,0)),0)</x:f>
        <x:v>496</x:v>
      </x:c>
      <x:c r="K146" s="23" t="n">
        <x:f>IFERROR(INDEX('官方售价'!$J$5:$J$204,MATCH(B146,'官方售价'!$A$5:$A$204,0)),0)</x:f>
        <x:v>24</x:v>
      </x:c>
      <x:c r="L146" s="25" t="n">
        <x:f>(E146+F146)*I146*J146*K146/'参数'!$B$7</x:f>
        <x:v>50220</x:v>
      </x:c>
      <x:c r="M146" s="23" t="str">
        <x:f>IFERROR(INDEX('渠道成本'!$F$5:$F$1004,MATCH(C146,'渠道成本'!$A$5:$A$1004,0)),"")</x:f>
        <x:v>per_request</x:v>
      </x:c>
      <x:c r="N146" s="26" t="n">
        <x:f>IFERROR(INDEX('渠道成本'!$U$5:$U$1004,MATCH(C146,'渠道成本'!$A$5:$A$1004,0)),0)</x:f>
        <x:v>0.4931506849315068</x:v>
      </x:c>
      <x:c r="O146" s="26" t="n">
        <x:f>IFERROR(L146/'参数'!$B$8*INDEX('官方售价'!$M$5:$M$204,MATCH(B146,'官方售价'!$A$5:$A$204,0)),0)</x:f>
        <x:v>0.2545397260273973</x:v>
      </x:c>
      <x:c r="P146" s="26" t="n">
        <x:f>IF(M146="per_token",L146/'参数'!$B$8*N146,IF(M146="per_duration",F146*N146,IF(M146="per_request",N146,0)))</x:f>
        <x:v>0.4931506849315068</x:v>
      </x:c>
      <x:c r="Q146" s="26" t="n">
        <x:f>O146*D146</x:f>
        <x:v>0.2545397260273973</x:v>
      </x:c>
      <x:c r="R146" s="26" t="n">
        <x:f>Q146-P146</x:f>
        <x:v>-0.23861095890410955</x:v>
      </x:c>
      <x:c r="S146" s="29" t="n">
        <x:f>IF(Q146=0,"",R146/Q146)</x:f>
        <x:v>-0.9374212922600017</x:v>
      </x:c>
      <x:c r="T146" s="23" t="str">
        <x:f>IF(OR(B146="",C146=""),"pending",IF(OR(O146&lt;0,P146&lt;0),"settlement_failed","settled"))</x:f>
        <x:v>settled</x:v>
      </x:c>
      <x:c r="U146" s="7" t="str">
        <x:v>源行=sd!80；自动利润预览；分组倍率可改为用户折扣</x:v>
      </x:c>
    </x:row>
    <x:row r="147" ht="26.350000381469727" customHeight="1">
      <x:c r="A147" s="19" t="str">
        <x:v>CASE-CANGYUANSUANLI-R80-480-REQ-VID</x:v>
      </x:c>
      <x:c r="B147" s="19" t="str">
        <x:v>SALE-SD20-FAST-480-VID</x:v>
      </x:c>
      <x:c r="C147" s="19" t="str">
        <x:v>COST-CANGYUANSUANLI-R80-480-REQ-VID</x:v>
      </x:c>
      <x:c r="D147" s="28" t="n">
        <x:v>1</x:v>
      </x:c>
      <x:c r="E147" s="28" t="n">
        <x:v>3</x:v>
      </x:c>
      <x:c r="F147" s="28" t="n">
        <x:v>5</x:v>
      </x:c>
      <x:c r="G147" s="23" t="str">
        <x:f>IFERROR(INDEX('官方售价'!$C$5:$C$204,MATCH(B147,'官方售价'!$A$5:$A$204,0)),"")</x:f>
        <x:v>SKU-SD20-FAST-480</x:v>
      </x:c>
      <x:c r="H147" s="23" t="str">
        <x:f>IFERROR(INDEX('官方售价'!$D$5:$D$204,MATCH(B147,'官方售价'!$A$5:$A$204,0)),"")</x:f>
        <x:v>with_video</x:v>
      </x:c>
      <x:c r="I147" s="23" t="n">
        <x:f>IFERROR(INDEX('官方售价'!$H$5:$H$204,MATCH(B147,'官方售价'!$A$5:$A$204,0)),0)</x:f>
        <x:v>864</x:v>
      </x:c>
      <x:c r="J147" s="23" t="n">
        <x:f>IFERROR(INDEX('官方售价'!$I$5:$I$204,MATCH(B147,'官方售价'!$A$5:$A$204,0)),0)</x:f>
        <x:v>496</x:v>
      </x:c>
      <x:c r="K147" s="23" t="n">
        <x:f>IFERROR(INDEX('官方售价'!$J$5:$J$204,MATCH(B147,'官方售价'!$A$5:$A$204,0)),0)</x:f>
        <x:v>24</x:v>
      </x:c>
      <x:c r="L147" s="25" t="n">
        <x:f>(E147+F147)*I147*J147*K147/'参数'!$B$7</x:f>
        <x:v>80352</x:v>
      </x:c>
      <x:c r="M147" s="23" t="str">
        <x:f>IFERROR(INDEX('渠道成本'!$F$5:$F$1004,MATCH(C147,'渠道成本'!$A$5:$A$1004,0)),"")</x:f>
        <x:v>per_request</x:v>
      </x:c>
      <x:c r="N147" s="26" t="n">
        <x:f>IFERROR(INDEX('渠道成本'!$U$5:$U$1004,MATCH(C147,'渠道成本'!$A$5:$A$1004,0)),0)</x:f>
        <x:v>0.4931506849315068</x:v>
      </x:c>
      <x:c r="O147" s="26" t="n">
        <x:f>IFERROR(L147/'参数'!$B$8*INDEX('官方售价'!$M$5:$M$204,MATCH(B147,'官方售价'!$A$5:$A$204,0)),0)</x:f>
        <x:v>0.24215671232876712</x:v>
      </x:c>
      <x:c r="P147" s="26" t="n">
        <x:f>IF(M147="per_token",L147/'参数'!$B$8*N147,IF(M147="per_duration",F147*N147,IF(M147="per_request",N147,0)))</x:f>
        <x:v>0.4931506849315068</x:v>
      </x:c>
      <x:c r="Q147" s="26" t="n">
        <x:f>O147*D147</x:f>
        <x:v>0.24215671232876712</x:v>
      </x:c>
      <x:c r="R147" s="26" t="n">
        <x:f>Q147-P147</x:f>
        <x:v>-0.2509939726027397</x:v>
      </x:c>
      <x:c r="S147" s="29" t="n">
        <x:f>IF(Q147=0,"",R147/Q147)</x:f>
        <x:v>-1.0364939719778428</x:v>
      </x:c>
      <x:c r="T147" s="23" t="str">
        <x:f>IF(OR(B147="",C147=""),"pending",IF(OR(O147&lt;0,P147&lt;0),"settlement_failed","settled"))</x:f>
        <x:v>settled</x:v>
      </x:c>
      <x:c r="U147" s="7" t="str">
        <x:v>源行=sd!80；自动利润预览；分组倍率可改为用户折扣</x:v>
      </x:c>
    </x:row>
    <x:row r="148" ht="26.350000381469727" customHeight="1">
      <x:c r="A148" s="19" t="str">
        <x:v>CASE-CANGYUANSUANLI-R80-720-REQ-NOV</x:v>
      </x:c>
      <x:c r="B148" s="19" t="str">
        <x:v>SALE-SD20-FAST-720-NOV</x:v>
      </x:c>
      <x:c r="C148" s="19" t="str">
        <x:v>COST-CANGYUANSUANLI-R80-720-REQ-NOV</x:v>
      </x:c>
      <x:c r="D148" s="28" t="n">
        <x:v>1</x:v>
      </x:c>
      <x:c r="E148" s="28" t="n">
        <x:v>0</x:v>
      </x:c>
      <x:c r="F148" s="28" t="n">
        <x:v>5</x:v>
      </x:c>
      <x:c r="G148" s="23" t="str">
        <x:f>IFERROR(INDEX('官方售价'!$C$5:$C$204,MATCH(B148,'官方售价'!$A$5:$A$204,0)),"")</x:f>
        <x:v>SKU-SD20-FAST-720</x:v>
      </x:c>
      <x:c r="H148" s="23" t="str">
        <x:f>IFERROR(INDEX('官方售价'!$D$5:$D$204,MATCH(B148,'官方售价'!$A$5:$A$204,0)),"")</x:f>
        <x:v>no_video</x:v>
      </x:c>
      <x:c r="I148" s="23" t="n">
        <x:f>IFERROR(INDEX('官方售价'!$H$5:$H$204,MATCH(B148,'官方售价'!$A$5:$A$204,0)),0)</x:f>
        <x:v>1280</x:v>
      </x:c>
      <x:c r="J148" s="23" t="n">
        <x:f>IFERROR(INDEX('官方售价'!$I$5:$I$204,MATCH(B148,'官方售价'!$A$5:$A$204,0)),0)</x:f>
        <x:v>720</x:v>
      </x:c>
      <x:c r="K148" s="23" t="n">
        <x:f>IFERROR(INDEX('官方售价'!$J$5:$J$204,MATCH(B148,'官方售价'!$A$5:$A$204,0)),0)</x:f>
        <x:v>24</x:v>
      </x:c>
      <x:c r="L148" s="25" t="n">
        <x:f>(E148+F148)*I148*J148*K148/'参数'!$B$7</x:f>
        <x:v>108000</x:v>
      </x:c>
      <x:c r="M148" s="23" t="str">
        <x:f>IFERROR(INDEX('渠道成本'!$F$5:$F$1004,MATCH(C148,'渠道成本'!$A$5:$A$1004,0)),"")</x:f>
        <x:v>per_request</x:v>
      </x:c>
      <x:c r="N148" s="26" t="n">
        <x:f>IFERROR(INDEX('渠道成本'!$U$5:$U$1004,MATCH(C148,'渠道成本'!$A$5:$A$1004,0)),0)</x:f>
        <x:v>0.4931506849315068</x:v>
      </x:c>
      <x:c r="O148" s="26" t="n">
        <x:f>IFERROR(L148/'参数'!$B$8*INDEX('官方售价'!$M$5:$M$204,MATCH(B148,'官方售价'!$A$5:$A$204,0)),0)</x:f>
        <x:v>0.5473972602739726</x:v>
      </x:c>
      <x:c r="P148" s="26" t="n">
        <x:f>IF(M148="per_token",L148/'参数'!$B$8*N148,IF(M148="per_duration",F148*N148,IF(M148="per_request",N148,0)))</x:f>
        <x:v>0.4931506849315068</x:v>
      </x:c>
      <x:c r="Q148" s="26" t="n">
        <x:f>O148*D148</x:f>
        <x:v>0.5473972602739726</x:v>
      </x:c>
      <x:c r="R148" s="26" t="n">
        <x:f>Q148-P148</x:f>
        <x:v>0.0542465753424658</x:v>
      </x:c>
      <x:c r="S148" s="29" t="n">
        <x:f>IF(Q148=0,"",R148/Q148)</x:f>
        <x:v>0.09909909909909917</x:v>
      </x:c>
      <x:c r="T148" s="23" t="str">
        <x:f>IF(OR(B148="",C148=""),"pending",IF(OR(O148&lt;0,P148&lt;0),"settlement_failed","settled"))</x:f>
        <x:v>settled</x:v>
      </x:c>
      <x:c r="U148" s="7" t="str">
        <x:v>源行=sd!80；自动利润预览；分组倍率可改为用户折扣</x:v>
      </x:c>
    </x:row>
    <x:row r="149" ht="26.350000381469727" customHeight="1">
      <x:c r="A149" s="19" t="str">
        <x:v>CASE-CANGYUANSUANLI-R80-720-REQ-VID</x:v>
      </x:c>
      <x:c r="B149" s="19" t="str">
        <x:v>SALE-SD20-FAST-720-VID</x:v>
      </x:c>
      <x:c r="C149" s="19" t="str">
        <x:v>COST-CANGYUANSUANLI-R80-720-REQ-VID</x:v>
      </x:c>
      <x:c r="D149" s="28" t="n">
        <x:v>1</x:v>
      </x:c>
      <x:c r="E149" s="28" t="n">
        <x:v>3</x:v>
      </x:c>
      <x:c r="F149" s="28" t="n">
        <x:v>5</x:v>
      </x:c>
      <x:c r="G149" s="23" t="str">
        <x:f>IFERROR(INDEX('官方售价'!$C$5:$C$204,MATCH(B149,'官方售价'!$A$5:$A$204,0)),"")</x:f>
        <x:v>SKU-SD20-FAST-720</x:v>
      </x:c>
      <x:c r="H149" s="23" t="str">
        <x:f>IFERROR(INDEX('官方售价'!$D$5:$D$204,MATCH(B149,'官方售价'!$A$5:$A$204,0)),"")</x:f>
        <x:v>with_video</x:v>
      </x:c>
      <x:c r="I149" s="23" t="n">
        <x:f>IFERROR(INDEX('官方售价'!$H$5:$H$204,MATCH(B149,'官方售价'!$A$5:$A$204,0)),0)</x:f>
        <x:v>1280</x:v>
      </x:c>
      <x:c r="J149" s="23" t="n">
        <x:f>IFERROR(INDEX('官方售价'!$I$5:$I$204,MATCH(B149,'官方售价'!$A$5:$A$204,0)),0)</x:f>
        <x:v>720</x:v>
      </x:c>
      <x:c r="K149" s="23" t="n">
        <x:f>IFERROR(INDEX('官方售价'!$J$5:$J$204,MATCH(B149,'官方售价'!$A$5:$A$204,0)),0)</x:f>
        <x:v>24</x:v>
      </x:c>
      <x:c r="L149" s="25" t="n">
        <x:f>(E149+F149)*I149*J149*K149/'参数'!$B$7</x:f>
        <x:v>172800</x:v>
      </x:c>
      <x:c r="M149" s="23" t="str">
        <x:f>IFERROR(INDEX('渠道成本'!$F$5:$F$1004,MATCH(C149,'渠道成本'!$A$5:$A$1004,0)),"")</x:f>
        <x:v>per_request</x:v>
      </x:c>
      <x:c r="N149" s="26" t="n">
        <x:f>IFERROR(INDEX('渠道成本'!$U$5:$U$1004,MATCH(C149,'渠道成本'!$A$5:$A$1004,0)),0)</x:f>
        <x:v>0.4931506849315068</x:v>
      </x:c>
      <x:c r="O149" s="26" t="n">
        <x:f>IFERROR(L149/'参数'!$B$8*INDEX('官方售价'!$M$5:$M$204,MATCH(B149,'官方售价'!$A$5:$A$204,0)),0)</x:f>
        <x:v>0.5207671232876712</x:v>
      </x:c>
      <x:c r="P149" s="26" t="n">
        <x:f>IF(M149="per_token",L149/'参数'!$B$8*N149,IF(M149="per_duration",F149*N149,IF(M149="per_request",N149,0)))</x:f>
        <x:v>0.4931506849315068</x:v>
      </x:c>
      <x:c r="Q149" s="26" t="n">
        <x:f>O149*D149</x:f>
        <x:v>0.5207671232876712</x:v>
      </x:c>
      <x:c r="R149" s="26" t="n">
        <x:f>Q149-P149</x:f>
        <x:v>0.02761643835616434</x:v>
      </x:c>
      <x:c r="S149" s="29" t="n">
        <x:f>IF(Q149=0,"",R149/Q149)</x:f>
        <x:v>0.053030303030302955</x:v>
      </x:c>
      <x:c r="T149" s="23" t="str">
        <x:f>IF(OR(B149="",C149=""),"pending",IF(OR(O149&lt;0,P149&lt;0),"settlement_failed","settled"))</x:f>
        <x:v>settled</x:v>
      </x:c>
      <x:c r="U149" s="7" t="str">
        <x:v>源行=sd!80；自动利润预览；分组倍率可改为用户折扣</x:v>
      </x:c>
    </x:row>
    <x:row r="150" ht="26.350000381469727" customHeight="1">
      <x:c r="A150" s="19" t="str">
        <x:v>CASE-CANGYUANSUANLI-R81-480-REQ-NOV</x:v>
      </x:c>
      <x:c r="B150" s="19" t="str">
        <x:v>SALE-SD20-MINI-480-NOV</x:v>
      </x:c>
      <x:c r="C150" s="19" t="str">
        <x:v>COST-CANGYUANSUANLI-R81-480-REQ-NOV</x:v>
      </x:c>
      <x:c r="D150" s="28" t="n">
        <x:v>1</x:v>
      </x:c>
      <x:c r="E150" s="28" t="n">
        <x:v>0</x:v>
      </x:c>
      <x:c r="F150" s="28" t="n">
        <x:v>5</x:v>
      </x:c>
      <x:c r="G150" s="23" t="str">
        <x:f>IFERROR(INDEX('官方售价'!$C$5:$C$204,MATCH(B150,'官方售价'!$A$5:$A$204,0)),"")</x:f>
        <x:v>SKU-SD20-MINI-480</x:v>
      </x:c>
      <x:c r="H150" s="23" t="str">
        <x:f>IFERROR(INDEX('官方售价'!$D$5:$D$204,MATCH(B150,'官方售价'!$A$5:$A$204,0)),"")</x:f>
        <x:v>no_video</x:v>
      </x:c>
      <x:c r="I150" s="23" t="n">
        <x:f>IFERROR(INDEX('官方售价'!$H$5:$H$204,MATCH(B150,'官方售价'!$A$5:$A$204,0)),0)</x:f>
        <x:v>864</x:v>
      </x:c>
      <x:c r="J150" s="23" t="n">
        <x:f>IFERROR(INDEX('官方售价'!$I$5:$I$204,MATCH(B150,'官方售价'!$A$5:$A$204,0)),0)</x:f>
        <x:v>496</x:v>
      </x:c>
      <x:c r="K150" s="23" t="n">
        <x:f>IFERROR(INDEX('官方售价'!$J$5:$J$204,MATCH(B150,'官方售价'!$A$5:$A$204,0)),0)</x:f>
        <x:v>24</x:v>
      </x:c>
      <x:c r="L150" s="25" t="n">
        <x:f>(E150+F150)*I150*J150*K150/'参数'!$B$7</x:f>
        <x:v>50220</x:v>
      </x:c>
      <x:c r="M150" s="23" t="str">
        <x:f>IFERROR(INDEX('渠道成本'!$F$5:$F$1004,MATCH(C150,'渠道成本'!$A$5:$A$1004,0)),"")</x:f>
        <x:v>per_request</x:v>
      </x:c>
      <x:c r="N150" s="26" t="n">
        <x:f>IFERROR(INDEX('渠道成本'!$U$5:$U$1004,MATCH(C150,'渠道成本'!$A$5:$A$1004,0)),0)</x:f>
        <x:v>0.3972602739726027</x:v>
      </x:c>
      <x:c r="O150" s="26" t="n">
        <x:f>IFERROR(L150/'参数'!$B$8*INDEX('官方售价'!$M$5:$M$204,MATCH(B150,'官方售价'!$A$5:$A$204,0)),0)</x:f>
        <x:v>0.15822739726027396</x:v>
      </x:c>
      <x:c r="P150" s="26" t="n">
        <x:f>IF(M150="per_token",L150/'参数'!$B$8*N150,IF(M150="per_duration",F150*N150,IF(M150="per_request",N150,0)))</x:f>
        <x:v>0.3972602739726027</x:v>
      </x:c>
      <x:c r="Q150" s="26" t="n">
        <x:f>O150*D150</x:f>
        <x:v>0.15822739726027396</x:v>
      </x:c>
      <x:c r="R150" s="26" t="n">
        <x:f>Q150-P150</x:f>
        <x:v>-0.23903287671232876</x:v>
      </x:c>
      <x:c r="S150" s="29" t="n">
        <x:f>IF(Q150=0,"",R150/Q150)</x:f>
        <x:v>-1.5106920852596402</x:v>
      </x:c>
      <x:c r="T150" s="23" t="str">
        <x:f>IF(OR(B150="",C150=""),"pending",IF(OR(O150&lt;0,P150&lt;0),"settlement_failed","settled"))</x:f>
        <x:v>settled</x:v>
      </x:c>
      <x:c r="U150" s="7" t="str">
        <x:v>源行=sd!81；自动利润预览；分组倍率可改为用户折扣</x:v>
      </x:c>
    </x:row>
    <x:row r="151" ht="26.350000381469727" customHeight="1">
      <x:c r="A151" s="19" t="str">
        <x:v>CASE-CANGYUANSUANLI-R81-480-REQ-VID</x:v>
      </x:c>
      <x:c r="B151" s="19" t="str">
        <x:v>SALE-SD20-MINI-480-VID</x:v>
      </x:c>
      <x:c r="C151" s="19" t="str">
        <x:v>COST-CANGYUANSUANLI-R81-480-REQ-VID</x:v>
      </x:c>
      <x:c r="D151" s="28" t="n">
        <x:v>1</x:v>
      </x:c>
      <x:c r="E151" s="28" t="n">
        <x:v>3</x:v>
      </x:c>
      <x:c r="F151" s="28" t="n">
        <x:v>5</x:v>
      </x:c>
      <x:c r="G151" s="23" t="str">
        <x:f>IFERROR(INDEX('官方售价'!$C$5:$C$204,MATCH(B151,'官方售价'!$A$5:$A$204,0)),"")</x:f>
        <x:v>SKU-SD20-MINI-480</x:v>
      </x:c>
      <x:c r="H151" s="23" t="str">
        <x:f>IFERROR(INDEX('官方售价'!$D$5:$D$204,MATCH(B151,'官方售价'!$A$5:$A$204,0)),"")</x:f>
        <x:v>with_video</x:v>
      </x:c>
      <x:c r="I151" s="23" t="n">
        <x:f>IFERROR(INDEX('官方售价'!$H$5:$H$204,MATCH(B151,'官方售价'!$A$5:$A$204,0)),0)</x:f>
        <x:v>864</x:v>
      </x:c>
      <x:c r="J151" s="23" t="n">
        <x:f>IFERROR(INDEX('官方售价'!$I$5:$I$204,MATCH(B151,'官方售价'!$A$5:$A$204,0)),0)</x:f>
        <x:v>496</x:v>
      </x:c>
      <x:c r="K151" s="23" t="n">
        <x:f>IFERROR(INDEX('官方售价'!$J$5:$J$204,MATCH(B151,'官方售价'!$A$5:$A$204,0)),0)</x:f>
        <x:v>24</x:v>
      </x:c>
      <x:c r="L151" s="25" t="n">
        <x:f>(E151+F151)*I151*J151*K151/'参数'!$B$7</x:f>
        <x:v>80352</x:v>
      </x:c>
      <x:c r="M151" s="23" t="str">
        <x:f>IFERROR(INDEX('渠道成本'!$F$5:$F$1004,MATCH(C151,'渠道成本'!$A$5:$A$1004,0)),"")</x:f>
        <x:v>per_request</x:v>
      </x:c>
      <x:c r="N151" s="26" t="n">
        <x:f>IFERROR(INDEX('渠道成本'!$U$5:$U$1004,MATCH(C151,'渠道成本'!$A$5:$A$1004,0)),0)</x:f>
        <x:v>0.3972602739726027</x:v>
      </x:c>
      <x:c r="O151" s="26" t="n">
        <x:f>IFERROR(L151/'参数'!$B$8*INDEX('官方售价'!$M$5:$M$204,MATCH(B151,'官方售价'!$A$5:$A$204,0)),0)</x:f>
        <x:v>0.15409972602739727</x:v>
      </x:c>
      <x:c r="P151" s="26" t="n">
        <x:f>IF(M151="per_token",L151/'参数'!$B$8*N151,IF(M151="per_duration",F151*N151,IF(M151="per_request",N151,0)))</x:f>
        <x:v>0.3972602739726027</x:v>
      </x:c>
      <x:c r="Q151" s="26" t="n">
        <x:f>O151*D151</x:f>
        <x:v>0.15409972602739727</x:v>
      </x:c>
      <x:c r="R151" s="26" t="n">
        <x:f>Q151-P151</x:f>
        <x:v>-0.24316054794520545</x:v>
      </x:c>
      <x:c r="S151" s="29" t="n">
        <x:f>IF(Q151=0,"",R151/Q151)</x:f>
        <x:v>-1.5779427661148089</x:v>
      </x:c>
      <x:c r="T151" s="23" t="str">
        <x:f>IF(OR(B151="",C151=""),"pending",IF(OR(O151&lt;0,P151&lt;0),"settlement_failed","settled"))</x:f>
        <x:v>settled</x:v>
      </x:c>
      <x:c r="U151" s="7" t="str">
        <x:v>源行=sd!81；自动利润预览；分组倍率可改为用户折扣</x:v>
      </x:c>
    </x:row>
    <x:row r="152" ht="26.350000381469727" customHeight="1">
      <x:c r="A152" s="19" t="str">
        <x:v>CASE-CANGYUANSUANLI-R81-720-REQ-NOV</x:v>
      </x:c>
      <x:c r="B152" s="19" t="str">
        <x:v>SALE-SD20-MINI-720-NOV</x:v>
      </x:c>
      <x:c r="C152" s="19" t="str">
        <x:v>COST-CANGYUANSUANLI-R81-720-REQ-NOV</x:v>
      </x:c>
      <x:c r="D152" s="28" t="n">
        <x:v>1</x:v>
      </x:c>
      <x:c r="E152" s="28" t="n">
        <x:v>0</x:v>
      </x:c>
      <x:c r="F152" s="28" t="n">
        <x:v>5</x:v>
      </x:c>
      <x:c r="G152" s="23" t="str">
        <x:f>IFERROR(INDEX('官方售价'!$C$5:$C$204,MATCH(B152,'官方售价'!$A$5:$A$204,0)),"")</x:f>
        <x:v>SKU-SD20-MINI-720</x:v>
      </x:c>
      <x:c r="H152" s="23" t="str">
        <x:f>IFERROR(INDEX('官方售价'!$D$5:$D$204,MATCH(B152,'官方售价'!$A$5:$A$204,0)),"")</x:f>
        <x:v>no_video</x:v>
      </x:c>
      <x:c r="I152" s="23" t="n">
        <x:f>IFERROR(INDEX('官方售价'!$H$5:$H$204,MATCH(B152,'官方售价'!$A$5:$A$204,0)),0)</x:f>
        <x:v>1280</x:v>
      </x:c>
      <x:c r="J152" s="23" t="n">
        <x:f>IFERROR(INDEX('官方售价'!$I$5:$I$204,MATCH(B152,'官方售价'!$A$5:$A$204,0)),0)</x:f>
        <x:v>720</x:v>
      </x:c>
      <x:c r="K152" s="23" t="n">
        <x:f>IFERROR(INDEX('官方售价'!$J$5:$J$204,MATCH(B152,'官方售价'!$A$5:$A$204,0)),0)</x:f>
        <x:v>24</x:v>
      </x:c>
      <x:c r="L152" s="25" t="n">
        <x:f>(E152+F152)*I152*J152*K152/'参数'!$B$7</x:f>
        <x:v>108000</x:v>
      </x:c>
      <x:c r="M152" s="23" t="str">
        <x:f>IFERROR(INDEX('渠道成本'!$F$5:$F$1004,MATCH(C152,'渠道成本'!$A$5:$A$1004,0)),"")</x:f>
        <x:v>per_request</x:v>
      </x:c>
      <x:c r="N152" s="26" t="n">
        <x:f>IFERROR(INDEX('渠道成本'!$U$5:$U$1004,MATCH(C152,'渠道成本'!$A$5:$A$1004,0)),0)</x:f>
        <x:v>0.3972602739726027</x:v>
      </x:c>
      <x:c r="O152" s="26" t="n">
        <x:f>IFERROR(L152/'参数'!$B$8*INDEX('官方售价'!$M$5:$M$204,MATCH(B152,'官方售价'!$A$5:$A$204,0)),0)</x:f>
        <x:v>0.34027397260273967</x:v>
      </x:c>
      <x:c r="P152" s="26" t="n">
        <x:f>IF(M152="per_token",L152/'参数'!$B$8*N152,IF(M152="per_duration",F152*N152,IF(M152="per_request",N152,0)))</x:f>
        <x:v>0.3972602739726027</x:v>
      </x:c>
      <x:c r="Q152" s="26" t="n">
        <x:f>O152*D152</x:f>
        <x:v>0.34027397260273967</x:v>
      </x:c>
      <x:c r="R152" s="26" t="n">
        <x:f>Q152-P152</x:f>
        <x:v>-0.056986301369863046</x:v>
      </x:c>
      <x:c r="S152" s="29" t="n">
        <x:f>IF(Q152=0,"",R152/Q152)</x:f>
        <x:v>-0.16747181964573282</x:v>
      </x:c>
      <x:c r="T152" s="23" t="str">
        <x:f>IF(OR(B152="",C152=""),"pending",IF(OR(O152&lt;0,P152&lt;0),"settlement_failed","settled"))</x:f>
        <x:v>settled</x:v>
      </x:c>
      <x:c r="U152" s="7" t="str">
        <x:v>源行=sd!81；自动利润预览；分组倍率可改为用户折扣</x:v>
      </x:c>
    </x:row>
    <x:row r="153" ht="26.350000381469727" customHeight="1">
      <x:c r="A153" s="19" t="str">
        <x:v>CASE-CANGYUANSUANLI-R81-720-REQ-VID</x:v>
      </x:c>
      <x:c r="B153" s="19" t="str">
        <x:v>SALE-SD20-MINI-720-VID</x:v>
      </x:c>
      <x:c r="C153" s="19" t="str">
        <x:v>COST-CANGYUANSUANLI-R81-720-REQ-VID</x:v>
      </x:c>
      <x:c r="D153" s="28" t="n">
        <x:v>1</x:v>
      </x:c>
      <x:c r="E153" s="28" t="n">
        <x:v>3</x:v>
      </x:c>
      <x:c r="F153" s="28" t="n">
        <x:v>5</x:v>
      </x:c>
      <x:c r="G153" s="23" t="str">
        <x:f>IFERROR(INDEX('官方售价'!$C$5:$C$204,MATCH(B153,'官方售价'!$A$5:$A$204,0)),"")</x:f>
        <x:v>SKU-SD20-MINI-720</x:v>
      </x:c>
      <x:c r="H153" s="23" t="str">
        <x:f>IFERROR(INDEX('官方售价'!$D$5:$D$204,MATCH(B153,'官方售价'!$A$5:$A$204,0)),"")</x:f>
        <x:v>with_video</x:v>
      </x:c>
      <x:c r="I153" s="23" t="n">
        <x:f>IFERROR(INDEX('官方售价'!$H$5:$H$204,MATCH(B153,'官方售价'!$A$5:$A$204,0)),0)</x:f>
        <x:v>1280</x:v>
      </x:c>
      <x:c r="J153" s="23" t="n">
        <x:f>IFERROR(INDEX('官方售价'!$I$5:$I$204,MATCH(B153,'官方售价'!$A$5:$A$204,0)),0)</x:f>
        <x:v>720</x:v>
      </x:c>
      <x:c r="K153" s="23" t="n">
        <x:f>IFERROR(INDEX('官方售价'!$J$5:$J$204,MATCH(B153,'官方售价'!$A$5:$A$204,0)),0)</x:f>
        <x:v>24</x:v>
      </x:c>
      <x:c r="L153" s="25" t="n">
        <x:f>(E153+F153)*I153*J153*K153/'参数'!$B$7</x:f>
        <x:v>172800</x:v>
      </x:c>
      <x:c r="M153" s="23" t="str">
        <x:f>IFERROR(INDEX('渠道成本'!$F$5:$F$1004,MATCH(C153,'渠道成本'!$A$5:$A$1004,0)),"")</x:f>
        <x:v>per_request</x:v>
      </x:c>
      <x:c r="N153" s="26" t="n">
        <x:f>IFERROR(INDEX('渠道成本'!$U$5:$U$1004,MATCH(C153,'渠道成本'!$A$5:$A$1004,0)),0)</x:f>
        <x:v>0.3972602739726027</x:v>
      </x:c>
      <x:c r="O153" s="26" t="n">
        <x:f>IFERROR(L153/'参数'!$B$8*INDEX('官方售价'!$M$5:$M$204,MATCH(B153,'官方售价'!$A$5:$A$204,0)),0)</x:f>
        <x:v>0.3313972602739726</x:v>
      </x:c>
      <x:c r="P153" s="26" t="n">
        <x:f>IF(M153="per_token",L153/'参数'!$B$8*N153,IF(M153="per_duration",F153*N153,IF(M153="per_request",N153,0)))</x:f>
        <x:v>0.3972602739726027</x:v>
      </x:c>
      <x:c r="Q153" s="26" t="n">
        <x:f>O153*D153</x:f>
        <x:v>0.3313972602739726</x:v>
      </x:c>
      <x:c r="R153" s="26" t="n">
        <x:f>Q153-P153</x:f>
        <x:v>-0.06586301369863012</x:v>
      </x:c>
      <x:c r="S153" s="29" t="n">
        <x:f>IF(Q153=0,"",R153/Q153)</x:f>
        <x:v>-0.19874338624338622</x:v>
      </x:c>
      <x:c r="T153" s="23" t="str">
        <x:f>IF(OR(B153="",C153=""),"pending",IF(OR(O153&lt;0,P153&lt;0),"settlement_failed","settled"))</x:f>
        <x:v>settled</x:v>
      </x:c>
      <x:c r="U153" s="7" t="str">
        <x:v>源行=sd!81；自动利润预览；分组倍率可改为用户折扣</x:v>
      </x:c>
    </x:row>
    <x:row r="154" ht="26.350000381469727" customHeight="1">
      <x:c r="A154" s="19" t="str">
        <x:v>CASE-DIMENSIO-R83-720-SEC-NOV</x:v>
      </x:c>
      <x:c r="B154" s="19" t="str">
        <x:v>SALE-SD20-MINI-720-NOV</x:v>
      </x:c>
      <x:c r="C154" s="19" t="str">
        <x:v>COST-DIMENSIO-R83-720-SEC-NOV</x:v>
      </x:c>
      <x:c r="D154" s="28" t="n">
        <x:v>1</x:v>
      </x:c>
      <x:c r="E154" s="28" t="n">
        <x:v>0</x:v>
      </x:c>
      <x:c r="F154" s="28" t="n">
        <x:v>5</x:v>
      </x:c>
      <x:c r="G154" s="23" t="str">
        <x:f>IFERROR(INDEX('官方售价'!$C$5:$C$204,MATCH(B154,'官方售价'!$A$5:$A$204,0)),"")</x:f>
        <x:v>SKU-SD20-MINI-720</x:v>
      </x:c>
      <x:c r="H154" s="23" t="str">
        <x:f>IFERROR(INDEX('官方售价'!$D$5:$D$204,MATCH(B154,'官方售价'!$A$5:$A$204,0)),"")</x:f>
        <x:v>no_video</x:v>
      </x:c>
      <x:c r="I154" s="23" t="n">
        <x:f>IFERROR(INDEX('官方售价'!$H$5:$H$204,MATCH(B154,'官方售价'!$A$5:$A$204,0)),0)</x:f>
        <x:v>1280</x:v>
      </x:c>
      <x:c r="J154" s="23" t="n">
        <x:f>IFERROR(INDEX('官方售价'!$I$5:$I$204,MATCH(B154,'官方售价'!$A$5:$A$204,0)),0)</x:f>
        <x:v>720</x:v>
      </x:c>
      <x:c r="K154" s="23" t="n">
        <x:f>IFERROR(INDEX('官方售价'!$J$5:$J$204,MATCH(B154,'官方售价'!$A$5:$A$204,0)),0)</x:f>
        <x:v>24</x:v>
      </x:c>
      <x:c r="L154" s="25" t="n">
        <x:f>(E154+F154)*I154*J154*K154/'参数'!$B$7</x:f>
        <x:v>108000</x:v>
      </x:c>
      <x:c r="M154" s="23" t="str">
        <x:f>IFERROR(INDEX('渠道成本'!$F$5:$F$1004,MATCH(C154,'渠道成本'!$A$5:$A$1004,0)),"")</x:f>
        <x:v>per_duration</x:v>
      </x:c>
      <x:c r="N154" s="26" t="n">
        <x:f>IFERROR(INDEX('渠道成本'!$U$5:$U$1004,MATCH(C154,'渠道成本'!$A$5:$A$1004,0)),0)</x:f>
        <x:v>0.05342465753424657</x:v>
      </x:c>
      <x:c r="O154" s="26" t="n">
        <x:f>IFERROR(L154/'参数'!$B$8*INDEX('官方售价'!$M$5:$M$204,MATCH(B154,'官方售价'!$A$5:$A$204,0)),0)</x:f>
        <x:v>0.34027397260273967</x:v>
      </x:c>
      <x:c r="P154" s="26" t="n">
        <x:f>IF(M154="per_token",L154/'参数'!$B$8*N154,IF(M154="per_duration",F154*N154,IF(M154="per_request",N154,0)))</x:f>
        <x:v>0.26712328767123283</x:v>
      </x:c>
      <x:c r="Q154" s="26" t="n">
        <x:f>O154*D154</x:f>
        <x:v>0.34027397260273967</x:v>
      </x:c>
      <x:c r="R154" s="26" t="n">
        <x:f>Q154-P154</x:f>
        <x:v>0.07315068493150684</x:v>
      </x:c>
      <x:c r="S154" s="29" t="n">
        <x:f>IF(Q154=0,"",R154/Q154)</x:f>
        <x:v>0.21497584541062803</x:v>
      </x:c>
      <x:c r="T154" s="23" t="str">
        <x:f>IF(OR(B154="",C154=""),"pending",IF(OR(O154&lt;0,P154&lt;0),"settlement_failed","settled"))</x:f>
        <x:v>settled</x:v>
      </x:c>
      <x:c r="U154" s="7" t="str">
        <x:v>源行=sd!83；自动利润预览；分组倍率可改为用户折扣</x:v>
      </x:c>
    </x:row>
    <x:row r="155" ht="26.350000381469727" customHeight="1">
      <x:c r="A155" s="19" t="str">
        <x:v>CASE-DIMENSIO-R83-720-SEC-VID</x:v>
      </x:c>
      <x:c r="B155" s="19" t="str">
        <x:v>SALE-SD20-MINI-720-VID</x:v>
      </x:c>
      <x:c r="C155" s="19" t="str">
        <x:v>COST-DIMENSIO-R83-720-SEC-VID</x:v>
      </x:c>
      <x:c r="D155" s="28" t="n">
        <x:v>1</x:v>
      </x:c>
      <x:c r="E155" s="28" t="n">
        <x:v>3</x:v>
      </x:c>
      <x:c r="F155" s="28" t="n">
        <x:v>5</x:v>
      </x:c>
      <x:c r="G155" s="23" t="str">
        <x:f>IFERROR(INDEX('官方售价'!$C$5:$C$204,MATCH(B155,'官方售价'!$A$5:$A$204,0)),"")</x:f>
        <x:v>SKU-SD20-MINI-720</x:v>
      </x:c>
      <x:c r="H155" s="23" t="str">
        <x:f>IFERROR(INDEX('官方售价'!$D$5:$D$204,MATCH(B155,'官方售价'!$A$5:$A$204,0)),"")</x:f>
        <x:v>with_video</x:v>
      </x:c>
      <x:c r="I155" s="23" t="n">
        <x:f>IFERROR(INDEX('官方售价'!$H$5:$H$204,MATCH(B155,'官方售价'!$A$5:$A$204,0)),0)</x:f>
        <x:v>1280</x:v>
      </x:c>
      <x:c r="J155" s="23" t="n">
        <x:f>IFERROR(INDEX('官方售价'!$I$5:$I$204,MATCH(B155,'官方售价'!$A$5:$A$204,0)),0)</x:f>
        <x:v>720</x:v>
      </x:c>
      <x:c r="K155" s="23" t="n">
        <x:f>IFERROR(INDEX('官方售价'!$J$5:$J$204,MATCH(B155,'官方售价'!$A$5:$A$204,0)),0)</x:f>
        <x:v>24</x:v>
      </x:c>
      <x:c r="L155" s="25" t="n">
        <x:f>(E155+F155)*I155*J155*K155/'参数'!$B$7</x:f>
        <x:v>172800</x:v>
      </x:c>
      <x:c r="M155" s="23" t="str">
        <x:f>IFERROR(INDEX('渠道成本'!$F$5:$F$1004,MATCH(C155,'渠道成本'!$A$5:$A$1004,0)),"")</x:f>
        <x:v>per_duration</x:v>
      </x:c>
      <x:c r="N155" s="26" t="n">
        <x:f>IFERROR(INDEX('渠道成本'!$U$5:$U$1004,MATCH(C155,'渠道成本'!$A$5:$A$1004,0)),0)</x:f>
        <x:v>0.05342465753424657</x:v>
      </x:c>
      <x:c r="O155" s="26" t="n">
        <x:f>IFERROR(L155/'参数'!$B$8*INDEX('官方售价'!$M$5:$M$204,MATCH(B155,'官方售价'!$A$5:$A$204,0)),0)</x:f>
        <x:v>0.3313972602739726</x:v>
      </x:c>
      <x:c r="P155" s="26" t="n">
        <x:f>IF(M155="per_token",L155/'参数'!$B$8*N155,IF(M155="per_duration",F155*N155,IF(M155="per_request",N155,0)))</x:f>
        <x:v>0.26712328767123283</x:v>
      </x:c>
      <x:c r="Q155" s="26" t="n">
        <x:f>O155*D155</x:f>
        <x:v>0.3313972602739726</x:v>
      </x:c>
      <x:c r="R155" s="26" t="n">
        <x:f>Q155-P155</x:f>
        <x:v>0.06427397260273976</x:v>
      </x:c>
      <x:c r="S155" s="29" t="n">
        <x:f>IF(Q155=0,"",R155/Q155)</x:f>
        <x:v>0.19394841269841281</x:v>
      </x:c>
      <x:c r="T155" s="23" t="str">
        <x:f>IF(OR(B155="",C155=""),"pending",IF(OR(O155&lt;0,P155&lt;0),"settlement_failed","settled"))</x:f>
        <x:v>settled</x:v>
      </x:c>
      <x:c r="U155" s="7" t="str">
        <x:v>源行=sd!83；自动利润预览；分组倍率可改为用户折扣</x:v>
      </x:c>
    </x:row>
    <x:row r="156" ht="26.350000381469727" customHeight="1">
      <x:c r="A156" s="19" t="str">
        <x:v>CASE-DIMENSIO-R84-720-SEC-NOV</x:v>
      </x:c>
      <x:c r="B156" s="19" t="str">
        <x:v>SALE-SD20-FAST-720-NOV</x:v>
      </x:c>
      <x:c r="C156" s="19" t="str">
        <x:v>COST-DIMENSIO-R84-720-SEC-NOV</x:v>
      </x:c>
      <x:c r="D156" s="28" t="n">
        <x:v>1</x:v>
      </x:c>
      <x:c r="E156" s="28" t="n">
        <x:v>0</x:v>
      </x:c>
      <x:c r="F156" s="28" t="n">
        <x:v>5</x:v>
      </x:c>
      <x:c r="G156" s="23" t="str">
        <x:f>IFERROR(INDEX('官方售价'!$C$5:$C$204,MATCH(B156,'官方售价'!$A$5:$A$204,0)),"")</x:f>
        <x:v>SKU-SD20-FAST-720</x:v>
      </x:c>
      <x:c r="H156" s="23" t="str">
        <x:f>IFERROR(INDEX('官方售价'!$D$5:$D$204,MATCH(B156,'官方售价'!$A$5:$A$204,0)),"")</x:f>
        <x:v>no_video</x:v>
      </x:c>
      <x:c r="I156" s="23" t="n">
        <x:f>IFERROR(INDEX('官方售价'!$H$5:$H$204,MATCH(B156,'官方售价'!$A$5:$A$204,0)),0)</x:f>
        <x:v>1280</x:v>
      </x:c>
      <x:c r="J156" s="23" t="n">
        <x:f>IFERROR(INDEX('官方售价'!$I$5:$I$204,MATCH(B156,'官方售价'!$A$5:$A$204,0)),0)</x:f>
        <x:v>720</x:v>
      </x:c>
      <x:c r="K156" s="23" t="n">
        <x:f>IFERROR(INDEX('官方售价'!$J$5:$J$204,MATCH(B156,'官方售价'!$A$5:$A$204,0)),0)</x:f>
        <x:v>24</x:v>
      </x:c>
      <x:c r="L156" s="25" t="n">
        <x:f>(E156+F156)*I156*J156*K156/'参数'!$B$7</x:f>
        <x:v>108000</x:v>
      </x:c>
      <x:c r="M156" s="23" t="str">
        <x:f>IFERROR(INDEX('渠道成本'!$F$5:$F$1004,MATCH(C156,'渠道成本'!$A$5:$A$1004,0)),"")</x:f>
        <x:v>per_duration</x:v>
      </x:c>
      <x:c r="N156" s="26" t="n">
        <x:f>IFERROR(INDEX('渠道成本'!$U$5:$U$1004,MATCH(C156,'渠道成本'!$A$5:$A$1004,0)),0)</x:f>
        <x:v>0.06575342465753424</x:v>
      </x:c>
      <x:c r="O156" s="26" t="n">
        <x:f>IFERROR(L156/'参数'!$B$8*INDEX('官方售价'!$M$5:$M$204,MATCH(B156,'官方售价'!$A$5:$A$204,0)),0)</x:f>
        <x:v>0.5473972602739726</x:v>
      </x:c>
      <x:c r="P156" s="26" t="n">
        <x:f>IF(M156="per_token",L156/'参数'!$B$8*N156,IF(M156="per_duration",F156*N156,IF(M156="per_request",N156,0)))</x:f>
        <x:v>0.3287671232876712</x:v>
      </x:c>
      <x:c r="Q156" s="26" t="n">
        <x:f>O156*D156</x:f>
        <x:v>0.5473972602739726</x:v>
      </x:c>
      <x:c r="R156" s="26" t="n">
        <x:f>Q156-P156</x:f>
        <x:v>0.2186301369863014</x:v>
      </x:c>
      <x:c r="S156" s="29" t="n">
        <x:f>IF(Q156=0,"",R156/Q156)</x:f>
        <x:v>0.39939939939939945</x:v>
      </x:c>
      <x:c r="T156" s="23" t="str">
        <x:f>IF(OR(B156="",C156=""),"pending",IF(OR(O156&lt;0,P156&lt;0),"settlement_failed","settled"))</x:f>
        <x:v>settled</x:v>
      </x:c>
      <x:c r="U156" s="7" t="str">
        <x:v>源行=sd!84；自动利润预览；分组倍率可改为用户折扣</x:v>
      </x:c>
    </x:row>
    <x:row r="157" ht="26.350000381469727" customHeight="1">
      <x:c r="A157" s="19" t="str">
        <x:v>CASE-DIMENSIO-R84-720-SEC-VID</x:v>
      </x:c>
      <x:c r="B157" s="19" t="str">
        <x:v>SALE-SD20-FAST-720-VID</x:v>
      </x:c>
      <x:c r="C157" s="19" t="str">
        <x:v>COST-DIMENSIO-R84-720-SEC-VID</x:v>
      </x:c>
      <x:c r="D157" s="28" t="n">
        <x:v>1</x:v>
      </x:c>
      <x:c r="E157" s="28" t="n">
        <x:v>3</x:v>
      </x:c>
      <x:c r="F157" s="28" t="n">
        <x:v>5</x:v>
      </x:c>
      <x:c r="G157" s="23" t="str">
        <x:f>IFERROR(INDEX('官方售价'!$C$5:$C$204,MATCH(B157,'官方售价'!$A$5:$A$204,0)),"")</x:f>
        <x:v>SKU-SD20-FAST-720</x:v>
      </x:c>
      <x:c r="H157" s="23" t="str">
        <x:f>IFERROR(INDEX('官方售价'!$D$5:$D$204,MATCH(B157,'官方售价'!$A$5:$A$204,0)),"")</x:f>
        <x:v>with_video</x:v>
      </x:c>
      <x:c r="I157" s="23" t="n">
        <x:f>IFERROR(INDEX('官方售价'!$H$5:$H$204,MATCH(B157,'官方售价'!$A$5:$A$204,0)),0)</x:f>
        <x:v>1280</x:v>
      </x:c>
      <x:c r="J157" s="23" t="n">
        <x:f>IFERROR(INDEX('官方售价'!$I$5:$I$204,MATCH(B157,'官方售价'!$A$5:$A$204,0)),0)</x:f>
        <x:v>720</x:v>
      </x:c>
      <x:c r="K157" s="23" t="n">
        <x:f>IFERROR(INDEX('官方售价'!$J$5:$J$204,MATCH(B157,'官方售价'!$A$5:$A$204,0)),0)</x:f>
        <x:v>24</x:v>
      </x:c>
      <x:c r="L157" s="25" t="n">
        <x:f>(E157+F157)*I157*J157*K157/'参数'!$B$7</x:f>
        <x:v>172800</x:v>
      </x:c>
      <x:c r="M157" s="23" t="str">
        <x:f>IFERROR(INDEX('渠道成本'!$F$5:$F$1004,MATCH(C157,'渠道成本'!$A$5:$A$1004,0)),"")</x:f>
        <x:v>per_duration</x:v>
      </x:c>
      <x:c r="N157" s="26" t="n">
        <x:f>IFERROR(INDEX('渠道成本'!$U$5:$U$1004,MATCH(C157,'渠道成本'!$A$5:$A$1004,0)),0)</x:f>
        <x:v>0.06575342465753424</x:v>
      </x:c>
      <x:c r="O157" s="26" t="n">
        <x:f>IFERROR(L157/'参数'!$B$8*INDEX('官方售价'!$M$5:$M$204,MATCH(B157,'官方售价'!$A$5:$A$204,0)),0)</x:f>
        <x:v>0.5207671232876712</x:v>
      </x:c>
      <x:c r="P157" s="26" t="n">
        <x:f>IF(M157="per_token",L157/'参数'!$B$8*N157,IF(M157="per_duration",F157*N157,IF(M157="per_request",N157,0)))</x:f>
        <x:v>0.3287671232876712</x:v>
      </x:c>
      <x:c r="Q157" s="26" t="n">
        <x:f>O157*D157</x:f>
        <x:v>0.5207671232876712</x:v>
      </x:c>
      <x:c r="R157" s="26" t="n">
        <x:f>Q157-P157</x:f>
        <x:v>0.19199999999999995</x:v>
      </x:c>
      <x:c r="S157" s="29" t="n">
        <x:f>IF(Q157=0,"",R157/Q157)</x:f>
        <x:v>0.3686868686868686</x:v>
      </x:c>
      <x:c r="T157" s="23" t="str">
        <x:f>IF(OR(B157="",C157=""),"pending",IF(OR(O157&lt;0,P157&lt;0),"settlement_failed","settled"))</x:f>
        <x:v>settled</x:v>
      </x:c>
      <x:c r="U157" s="7" t="str">
        <x:v>源行=sd!84；自动利润预览；分组倍率可改为用户折扣</x:v>
      </x:c>
    </x:row>
    <x:row r="158" ht="26.350000381469727" customHeight="1">
      <x:c r="A158" s="19" t="str">
        <x:v>CASE-DIMENSIO-R85-720-SEC-NOV</x:v>
      </x:c>
      <x:c r="B158" s="19" t="str">
        <x:v>SALE-SD20-STD-720-NOV</x:v>
      </x:c>
      <x:c r="C158" s="19" t="str">
        <x:v>COST-DIMENSIO-R85-720-SEC-NOV</x:v>
      </x:c>
      <x:c r="D158" s="28" t="n">
        <x:v>1</x:v>
      </x:c>
      <x:c r="E158" s="28" t="n">
        <x:v>0</x:v>
      </x:c>
      <x:c r="F158" s="28" t="n">
        <x:v>5</x:v>
      </x:c>
      <x:c r="G158" s="23" t="str">
        <x:f>IFERROR(INDEX('官方售价'!$C$5:$C$204,MATCH(B158,'官方售价'!$A$5:$A$204,0)),"")</x:f>
        <x:v>SKU-SD20-STD-720</x:v>
      </x:c>
      <x:c r="H158" s="23" t="str">
        <x:f>IFERROR(INDEX('官方售价'!$D$5:$D$204,MATCH(B158,'官方售价'!$A$5:$A$204,0)),"")</x:f>
        <x:v>no_video</x:v>
      </x:c>
      <x:c r="I158" s="23" t="n">
        <x:f>IFERROR(INDEX('官方售价'!$H$5:$H$204,MATCH(B158,'官方售价'!$A$5:$A$204,0)),0)</x:f>
        <x:v>1280</x:v>
      </x:c>
      <x:c r="J158" s="23" t="n">
        <x:f>IFERROR(INDEX('官方售价'!$I$5:$I$204,MATCH(B158,'官方售价'!$A$5:$A$204,0)),0)</x:f>
        <x:v>720</x:v>
      </x:c>
      <x:c r="K158" s="23" t="n">
        <x:f>IFERROR(INDEX('官方售价'!$J$5:$J$204,MATCH(B158,'官方售价'!$A$5:$A$204,0)),0)</x:f>
        <x:v>24</x:v>
      </x:c>
      <x:c r="L158" s="25" t="n">
        <x:f>(E158+F158)*I158*J158*K158/'参数'!$B$7</x:f>
        <x:v>108000</x:v>
      </x:c>
      <x:c r="M158" s="23" t="str">
        <x:f>IFERROR(INDEX('渠道成本'!$F$5:$F$1004,MATCH(C158,'渠道成本'!$A$5:$A$1004,0)),"")</x:f>
        <x:v>per_duration</x:v>
      </x:c>
      <x:c r="N158" s="26" t="n">
        <x:f>IFERROR(INDEX('渠道成本'!$U$5:$U$1004,MATCH(C158,'渠道成本'!$A$5:$A$1004,0)),0)</x:f>
        <x:v>0.08493150684931507</x:v>
      </x:c>
      <x:c r="O158" s="26" t="n">
        <x:f>IFERROR(L158/'参数'!$B$8*INDEX('官方售价'!$M$5:$M$204,MATCH(B158,'官方售价'!$A$5:$A$204,0)),0)</x:f>
        <x:v>0.6805479452054793</x:v>
      </x:c>
      <x:c r="P158" s="26" t="n">
        <x:f>IF(M158="per_token",L158/'参数'!$B$8*N158,IF(M158="per_duration",F158*N158,IF(M158="per_request",N158,0)))</x:f>
        <x:v>0.4246575342465753</x:v>
      </x:c>
      <x:c r="Q158" s="26" t="n">
        <x:f>O158*D158</x:f>
        <x:v>0.6805479452054793</x:v>
      </x:c>
      <x:c r="R158" s="26" t="n">
        <x:f>Q158-P158</x:f>
        <x:v>0.255890410958904</x:v>
      </x:c>
      <x:c r="S158" s="29" t="n">
        <x:f>IF(Q158=0,"",R158/Q158)</x:f>
        <x:v>0.3760064412238325</x:v>
      </x:c>
      <x:c r="T158" s="23" t="str">
        <x:f>IF(OR(B158="",C158=""),"pending",IF(OR(O158&lt;0,P158&lt;0),"settlement_failed","settled"))</x:f>
        <x:v>settled</x:v>
      </x:c>
      <x:c r="U158" s="7" t="str">
        <x:v>源行=sd!85；自动利润预览；分组倍率可改为用户折扣</x:v>
      </x:c>
    </x:row>
    <x:row r="159" ht="26.350000381469727" customHeight="1">
      <x:c r="A159" s="19" t="str">
        <x:v>CASE-DIMENSIO-R85-720-SEC-VID</x:v>
      </x:c>
      <x:c r="B159" s="19" t="str">
        <x:v>SALE-SD20-STD-720-VID</x:v>
      </x:c>
      <x:c r="C159" s="19" t="str">
        <x:v>COST-DIMENSIO-R85-720-SEC-VID</x:v>
      </x:c>
      <x:c r="D159" s="28" t="n">
        <x:v>1</x:v>
      </x:c>
      <x:c r="E159" s="28" t="n">
        <x:v>3</x:v>
      </x:c>
      <x:c r="F159" s="28" t="n">
        <x:v>5</x:v>
      </x:c>
      <x:c r="G159" s="23" t="str">
        <x:f>IFERROR(INDEX('官方售价'!$C$5:$C$204,MATCH(B159,'官方售价'!$A$5:$A$204,0)),"")</x:f>
        <x:v>SKU-SD20-STD-720</x:v>
      </x:c>
      <x:c r="H159" s="23" t="str">
        <x:f>IFERROR(INDEX('官方售价'!$D$5:$D$204,MATCH(B159,'官方售价'!$A$5:$A$204,0)),"")</x:f>
        <x:v>with_video</x:v>
      </x:c>
      <x:c r="I159" s="23" t="n">
        <x:f>IFERROR(INDEX('官方售价'!$H$5:$H$204,MATCH(B159,'官方售价'!$A$5:$A$204,0)),0)</x:f>
        <x:v>1280</x:v>
      </x:c>
      <x:c r="J159" s="23" t="n">
        <x:f>IFERROR(INDEX('官方售价'!$I$5:$I$204,MATCH(B159,'官方售价'!$A$5:$A$204,0)),0)</x:f>
        <x:v>720</x:v>
      </x:c>
      <x:c r="K159" s="23" t="n">
        <x:f>IFERROR(INDEX('官方售价'!$J$5:$J$204,MATCH(B159,'官方售价'!$A$5:$A$204,0)),0)</x:f>
        <x:v>24</x:v>
      </x:c>
      <x:c r="L159" s="25" t="n">
        <x:f>(E159+F159)*I159*J159*K159/'参数'!$B$7</x:f>
        <x:v>172800</x:v>
      </x:c>
      <x:c r="M159" s="23" t="str">
        <x:f>IFERROR(INDEX('渠道成本'!$F$5:$F$1004,MATCH(C159,'渠道成本'!$A$5:$A$1004,0)),"")</x:f>
        <x:v>per_duration</x:v>
      </x:c>
      <x:c r="N159" s="26" t="n">
        <x:f>IFERROR(INDEX('渠道成本'!$U$5:$U$1004,MATCH(C159,'渠道成本'!$A$5:$A$1004,0)),0)</x:f>
        <x:v>0.08493150684931507</x:v>
      </x:c>
      <x:c r="O159" s="26" t="n">
        <x:f>IFERROR(L159/'参数'!$B$8*INDEX('官方售价'!$M$5:$M$204,MATCH(B159,'官方售价'!$A$5:$A$204,0)),0)</x:f>
        <x:v>0.6627945205479452</x:v>
      </x:c>
      <x:c r="P159" s="26" t="n">
        <x:f>IF(M159="per_token",L159/'参数'!$B$8*N159,IF(M159="per_duration",F159*N159,IF(M159="per_request",N159,0)))</x:f>
        <x:v>0.4246575342465753</x:v>
      </x:c>
      <x:c r="Q159" s="26" t="n">
        <x:f>O159*D159</x:f>
        <x:v>0.6627945205479452</x:v>
      </x:c>
      <x:c r="R159" s="26" t="n">
        <x:f>Q159-P159</x:f>
        <x:v>0.23813698630136987</x:v>
      </x:c>
      <x:c r="S159" s="29" t="n">
        <x:f>IF(Q159=0,"",R159/Q159)</x:f>
        <x:v>0.3592923280423281</x:v>
      </x:c>
      <x:c r="T159" s="23" t="str">
        <x:f>IF(OR(B159="",C159=""),"pending",IF(OR(O159&lt;0,P159&lt;0),"settlement_failed","settled"))</x:f>
        <x:v>settled</x:v>
      </x:c>
      <x:c r="U159" s="7" t="str">
        <x:v>源行=sd!85；自动利润预览；分组倍率可改为用户折扣</x:v>
      </x:c>
    </x:row>
    <x:row r="160" ht="26.350000381469727" customHeight="1">
      <x:c r="A160" s="19" t="str">
        <x:v>CASE-DIMENSIO-R86-1080-SEC-NOV</x:v>
      </x:c>
      <x:c r="B160" s="19" t="str">
        <x:v>SALE-SD20-STD-1080-NOV</x:v>
      </x:c>
      <x:c r="C160" s="19" t="str">
        <x:v>COST-DIMENSIO-R86-1080-SEC-NOV</x:v>
      </x:c>
      <x:c r="D160" s="28" t="n">
        <x:v>1</x:v>
      </x:c>
      <x:c r="E160" s="28" t="n">
        <x:v>0</x:v>
      </x:c>
      <x:c r="F160" s="28" t="n">
        <x:v>5</x:v>
      </x:c>
      <x:c r="G160" s="23" t="str">
        <x:f>IFERROR(INDEX('官方售价'!$C$5:$C$204,MATCH(B160,'官方售价'!$A$5:$A$204,0)),"")</x:f>
        <x:v>SKU-SD20-STD-1080</x:v>
      </x:c>
      <x:c r="H160" s="23" t="str">
        <x:f>IFERROR(INDEX('官方售价'!$D$5:$D$204,MATCH(B160,'官方售价'!$A$5:$A$204,0)),"")</x:f>
        <x:v>no_video</x:v>
      </x:c>
      <x:c r="I160" s="23" t="n">
        <x:f>IFERROR(INDEX('官方售价'!$H$5:$H$204,MATCH(B160,'官方售价'!$A$5:$A$204,0)),0)</x:f>
        <x:v>1920</x:v>
      </x:c>
      <x:c r="J160" s="23" t="n">
        <x:f>IFERROR(INDEX('官方售价'!$I$5:$I$204,MATCH(B160,'官方售价'!$A$5:$A$204,0)),0)</x:f>
        <x:v>1080</x:v>
      </x:c>
      <x:c r="K160" s="23" t="n">
        <x:f>IFERROR(INDEX('官方售价'!$J$5:$J$204,MATCH(B160,'官方售价'!$A$5:$A$204,0)),0)</x:f>
        <x:v>24</x:v>
      </x:c>
      <x:c r="L160" s="25" t="n">
        <x:f>(E160+F160)*I160*J160*K160/'参数'!$B$7</x:f>
        <x:v>243000</x:v>
      </x:c>
      <x:c r="M160" s="23" t="str">
        <x:f>IFERROR(INDEX('渠道成本'!$F$5:$F$1004,MATCH(C160,'渠道成本'!$A$5:$A$1004,0)),"")</x:f>
        <x:v>per_duration</x:v>
      </x:c>
      <x:c r="N160" s="26" t="n">
        <x:f>IFERROR(INDEX('渠道成本'!$U$5:$U$1004,MATCH(C160,'渠道成本'!$A$5:$A$1004,0)),0)</x:f>
        <x:v>0.21232876712328766</x:v>
      </x:c>
      <x:c r="O160" s="26" t="n">
        <x:f>IFERROR(L160/'参数'!$B$8*INDEX('官方售价'!$M$5:$M$204,MATCH(B160,'官方售价'!$A$5:$A$204,0)),0)</x:f>
        <x:v>1.697671232876712</x:v>
      </x:c>
      <x:c r="P160" s="26" t="n">
        <x:f>IF(M160="per_token",L160/'参数'!$B$8*N160,IF(M160="per_duration",F160*N160,IF(M160="per_request",N160,0)))</x:f>
        <x:v>1.0616438356164384</x:v>
      </x:c>
      <x:c r="Q160" s="26" t="n">
        <x:f>O160*D160</x:f>
        <x:v>1.697671232876712</x:v>
      </x:c>
      <x:c r="R160" s="26" t="n">
        <x:f>Q160-P160</x:f>
        <x:v>0.6360273972602737</x:v>
      </x:c>
      <x:c r="S160" s="29" t="n">
        <x:f>IF(Q160=0,"",R160/Q160)</x:f>
        <x:v>0.3746469781328168</x:v>
      </x:c>
      <x:c r="T160" s="23" t="str">
        <x:f>IF(OR(B160="",C160=""),"pending",IF(OR(O160&lt;0,P160&lt;0),"settlement_failed","settled"))</x:f>
        <x:v>settled</x:v>
      </x:c>
      <x:c r="U160" s="7" t="str">
        <x:v>源行=sd!86；自动利润预览；分组倍率可改为用户折扣</x:v>
      </x:c>
    </x:row>
    <x:row r="161" ht="26.350000381469727" customHeight="1">
      <x:c r="A161" s="19" t="str">
        <x:v>CASE-DIMENSIO-R86-1080-SEC-VID</x:v>
      </x:c>
      <x:c r="B161" s="19" t="str">
        <x:v>SALE-SD20-STD-1080-VID</x:v>
      </x:c>
      <x:c r="C161" s="19" t="str">
        <x:v>COST-DIMENSIO-R86-1080-SEC-VID</x:v>
      </x:c>
      <x:c r="D161" s="28" t="n">
        <x:v>1</x:v>
      </x:c>
      <x:c r="E161" s="28" t="n">
        <x:v>3</x:v>
      </x:c>
      <x:c r="F161" s="28" t="n">
        <x:v>5</x:v>
      </x:c>
      <x:c r="G161" s="23" t="str">
        <x:f>IFERROR(INDEX('官方售价'!$C$5:$C$204,MATCH(B161,'官方售价'!$A$5:$A$204,0)),"")</x:f>
        <x:v>SKU-SD20-STD-1080</x:v>
      </x:c>
      <x:c r="H161" s="23" t="str">
        <x:f>IFERROR(INDEX('官方售价'!$D$5:$D$204,MATCH(B161,'官方售价'!$A$5:$A$204,0)),"")</x:f>
        <x:v>with_video</x:v>
      </x:c>
      <x:c r="I161" s="23" t="n">
        <x:f>IFERROR(INDEX('官方售价'!$H$5:$H$204,MATCH(B161,'官方售价'!$A$5:$A$204,0)),0)</x:f>
        <x:v>1920</x:v>
      </x:c>
      <x:c r="J161" s="23" t="n">
        <x:f>IFERROR(INDEX('官方售价'!$I$5:$I$204,MATCH(B161,'官方售价'!$A$5:$A$204,0)),0)</x:f>
        <x:v>1080</x:v>
      </x:c>
      <x:c r="K161" s="23" t="n">
        <x:f>IFERROR(INDEX('官方售价'!$J$5:$J$204,MATCH(B161,'官方售价'!$A$5:$A$204,0)),0)</x:f>
        <x:v>24</x:v>
      </x:c>
      <x:c r="L161" s="25" t="n">
        <x:f>(E161+F161)*I161*J161*K161/'参数'!$B$7</x:f>
        <x:v>388800</x:v>
      </x:c>
      <x:c r="M161" s="23" t="str">
        <x:f>IFERROR(INDEX('渠道成本'!$F$5:$F$1004,MATCH(C161,'渠道成本'!$A$5:$A$1004,0)),"")</x:f>
        <x:v>per_duration</x:v>
      </x:c>
      <x:c r="N161" s="26" t="n">
        <x:f>IFERROR(INDEX('渠道成本'!$U$5:$U$1004,MATCH(C161,'渠道成本'!$A$5:$A$1004,0)),0)</x:f>
        <x:v>0.21232876712328766</x:v>
      </x:c>
      <x:c r="O161" s="26" t="n">
        <x:f>IFERROR(L161/'参数'!$B$8*INDEX('官方售价'!$M$5:$M$204,MATCH(B161,'官方售价'!$A$5:$A$204,0)),0)</x:f>
        <x:v>1.651068493150685</x:v>
      </x:c>
      <x:c r="P161" s="26" t="n">
        <x:f>IF(M161="per_token",L161/'参数'!$B$8*N161,IF(M161="per_duration",F161*N161,IF(M161="per_request",N161,0)))</x:f>
        <x:v>1.0616438356164384</x:v>
      </x:c>
      <x:c r="Q161" s="26" t="n">
        <x:f>O161*D161</x:f>
        <x:v>1.651068493150685</x:v>
      </x:c>
      <x:c r="R161" s="26" t="n">
        <x:f>Q161-P161</x:f>
        <x:v>0.5894246575342466</x:v>
      </x:c>
      <x:c r="S161" s="29" t="n">
        <x:f>IF(Q161=0,"",R161/Q161)</x:f>
        <x:v>0.35699588477366256</x:v>
      </x:c>
      <x:c r="T161" s="23" t="str">
        <x:f>IF(OR(B161="",C161=""),"pending",IF(OR(O161&lt;0,P161&lt;0),"settlement_failed","settled"))</x:f>
        <x:v>settled</x:v>
      </x:c>
      <x:c r="U161" s="7" t="str">
        <x:v>源行=sd!86；自动利润预览；分组倍率可改为用户折扣</x:v>
      </x:c>
    </x:row>
    <x:row r="162" ht="26.350000381469727" customHeight="1">
      <x:c r="A162" s="19" t="str">
        <x:v>CASE-DIMENSIO-R87-480-SEC-NOV</x:v>
      </x:c>
      <x:c r="B162" s="19" t="str">
        <x:v>SALE-SD20-STD-480-NOV</x:v>
      </x:c>
      <x:c r="C162" s="19" t="str">
        <x:v>COST-DIMENSIO-R87-480-SEC-NOV</x:v>
      </x:c>
      <x:c r="D162" s="28" t="n">
        <x:v>1</x:v>
      </x:c>
      <x:c r="E162" s="28" t="n">
        <x:v>0</x:v>
      </x:c>
      <x:c r="F162" s="28" t="n">
        <x:v>5</x:v>
      </x:c>
      <x:c r="G162" s="23" t="str">
        <x:f>IFERROR(INDEX('官方售价'!$C$5:$C$204,MATCH(B162,'官方售价'!$A$5:$A$204,0)),"")</x:f>
        <x:v>SKU-SD20-STD-480</x:v>
      </x:c>
      <x:c r="H162" s="23" t="str">
        <x:f>IFERROR(INDEX('官方售价'!$D$5:$D$204,MATCH(B162,'官方售价'!$A$5:$A$204,0)),"")</x:f>
        <x:v>no_video</x:v>
      </x:c>
      <x:c r="I162" s="23" t="n">
        <x:f>IFERROR(INDEX('官方售价'!$H$5:$H$204,MATCH(B162,'官方售价'!$A$5:$A$204,0)),0)</x:f>
        <x:v>864</x:v>
      </x:c>
      <x:c r="J162" s="23" t="n">
        <x:f>IFERROR(INDEX('官方售价'!$I$5:$I$204,MATCH(B162,'官方售价'!$A$5:$A$204,0)),0)</x:f>
        <x:v>496</x:v>
      </x:c>
      <x:c r="K162" s="23" t="n">
        <x:f>IFERROR(INDEX('官方售价'!$J$5:$J$204,MATCH(B162,'官方售价'!$A$5:$A$204,0)),0)</x:f>
        <x:v>24</x:v>
      </x:c>
      <x:c r="L162" s="25" t="n">
        <x:f>(E162+F162)*I162*J162*K162/'参数'!$B$7</x:f>
        <x:v>50220</x:v>
      </x:c>
      <x:c r="M162" s="23" t="str">
        <x:f>IFERROR(INDEX('渠道成本'!$F$5:$F$1004,MATCH(C162,'渠道成本'!$A$5:$A$1004,0)),"")</x:f>
        <x:v>per_duration</x:v>
      </x:c>
      <x:c r="N162" s="26" t="n">
        <x:f>IFERROR(INDEX('渠道成本'!$U$5:$U$1004,MATCH(C162,'渠道成本'!$A$5:$A$1004,0)),0)</x:f>
        <x:v>0.0273972602739726</x:v>
      </x:c>
      <x:c r="O162" s="26" t="n">
        <x:f>IFERROR(L162/'参数'!$B$8*INDEX('官方售价'!$M$5:$M$204,MATCH(B162,'官方售价'!$A$5:$A$204,0)),0)</x:f>
        <x:v>0.3164547945205479</x:v>
      </x:c>
      <x:c r="P162" s="26" t="n">
        <x:f>IF(M162="per_token",L162/'参数'!$B$8*N162,IF(M162="per_duration",F162*N162,IF(M162="per_request",N162,0)))</x:f>
        <x:v>0.136986301369863</x:v>
      </x:c>
      <x:c r="Q162" s="26" t="n">
        <x:f>O162*D162</x:f>
        <x:v>0.3164547945205479</x:v>
      </x:c>
      <x:c r="R162" s="26" t="n">
        <x:f>Q162-P162</x:f>
        <x:v>0.17946849315068492</x:v>
      </x:c>
      <x:c r="S162" s="29" t="n">
        <x:f>IF(Q162=0,"",R162/Q162)</x:f>
        <x:v>0.5671220542655793</x:v>
      </x:c>
      <x:c r="T162" s="23" t="str">
        <x:f>IF(OR(B162="",C162=""),"pending",IF(OR(O162&lt;0,P162&lt;0),"settlement_failed","settled"))</x:f>
        <x:v>settled</x:v>
      </x:c>
      <x:c r="U162" s="7" t="str">
        <x:v>源行=sd!87；自动利润预览；分组倍率可改为用户折扣</x:v>
      </x:c>
    </x:row>
    <x:row r="163" ht="26.350000381469727" customHeight="1">
      <x:c r="A163" s="19" t="str">
        <x:v>CASE-DIMENSIO-R87-480-SEC-VID</x:v>
      </x:c>
      <x:c r="B163" s="19" t="str">
        <x:v>SALE-SD20-STD-480-VID</x:v>
      </x:c>
      <x:c r="C163" s="19" t="str">
        <x:v>COST-DIMENSIO-R87-480-SEC-VID</x:v>
      </x:c>
      <x:c r="D163" s="28" t="n">
        <x:v>1</x:v>
      </x:c>
      <x:c r="E163" s="28" t="n">
        <x:v>3</x:v>
      </x:c>
      <x:c r="F163" s="28" t="n">
        <x:v>5</x:v>
      </x:c>
      <x:c r="G163" s="23" t="str">
        <x:f>IFERROR(INDEX('官方售价'!$C$5:$C$204,MATCH(B163,'官方售价'!$A$5:$A$204,0)),"")</x:f>
        <x:v>SKU-SD20-STD-480</x:v>
      </x:c>
      <x:c r="H163" s="23" t="str">
        <x:f>IFERROR(INDEX('官方售价'!$D$5:$D$204,MATCH(B163,'官方售价'!$A$5:$A$204,0)),"")</x:f>
        <x:v>with_video</x:v>
      </x:c>
      <x:c r="I163" s="23" t="n">
        <x:f>IFERROR(INDEX('官方售价'!$H$5:$H$204,MATCH(B163,'官方售价'!$A$5:$A$204,0)),0)</x:f>
        <x:v>864</x:v>
      </x:c>
      <x:c r="J163" s="23" t="n">
        <x:f>IFERROR(INDEX('官方售价'!$I$5:$I$204,MATCH(B163,'官方售价'!$A$5:$A$204,0)),0)</x:f>
        <x:v>496</x:v>
      </x:c>
      <x:c r="K163" s="23" t="n">
        <x:f>IFERROR(INDEX('官方售价'!$J$5:$J$204,MATCH(B163,'官方售价'!$A$5:$A$204,0)),0)</x:f>
        <x:v>24</x:v>
      </x:c>
      <x:c r="L163" s="25" t="n">
        <x:f>(E163+F163)*I163*J163*K163/'参数'!$B$7</x:f>
        <x:v>80352</x:v>
      </x:c>
      <x:c r="M163" s="23" t="str">
        <x:f>IFERROR(INDEX('渠道成本'!$F$5:$F$1004,MATCH(C163,'渠道成本'!$A$5:$A$1004,0)),"")</x:f>
        <x:v>per_duration</x:v>
      </x:c>
      <x:c r="N163" s="26" t="n">
        <x:f>IFERROR(INDEX('渠道成本'!$U$5:$U$1004,MATCH(C163,'渠道成本'!$A$5:$A$1004,0)),0)</x:f>
        <x:v>0.0273972602739726</x:v>
      </x:c>
      <x:c r="O163" s="26" t="n">
        <x:f>IFERROR(L163/'参数'!$B$8*INDEX('官方售价'!$M$5:$M$204,MATCH(B163,'官方售价'!$A$5:$A$204,0)),0)</x:f>
        <x:v>0.30819945205479454</x:v>
      </x:c>
      <x:c r="P163" s="26" t="n">
        <x:f>IF(M163="per_token",L163/'参数'!$B$8*N163,IF(M163="per_duration",F163*N163,IF(M163="per_request",N163,0)))</x:f>
        <x:v>0.136986301369863</x:v>
      </x:c>
      <x:c r="Q163" s="26" t="n">
        <x:f>O163*D163</x:f>
        <x:v>0.30819945205479454</x:v>
      </x:c>
      <x:c r="R163" s="26" t="n">
        <x:f>Q163-P163</x:f>
        <x:v>0.17121315068493154</x:v>
      </x:c>
      <x:c r="S163" s="29" t="n">
        <x:f>IF(Q163=0,"",R163/Q163)</x:f>
        <x:v>0.5555271092905502</x:v>
      </x:c>
      <x:c r="T163" s="23" t="str">
        <x:f>IF(OR(B163="",C163=""),"pending",IF(OR(O163&lt;0,P163&lt;0),"settlement_failed","settled"))</x:f>
        <x:v>settled</x:v>
      </x:c>
      <x:c r="U163" s="7" t="str">
        <x:v>源行=sd!87；自动利润预览；分组倍率可改为用户折扣</x:v>
      </x:c>
    </x:row>
    <x:row r="164" ht="26.350000381469727" customHeight="1">
      <x:c r="A164" s="19" t="str">
        <x:v>CASE-DIMENSIO-R88-720-SEC-NOV</x:v>
      </x:c>
      <x:c r="B164" s="19" t="str">
        <x:v>SALE-SD20-STD-720-NOV</x:v>
      </x:c>
      <x:c r="C164" s="19" t="str">
        <x:v>COST-DIMENSIO-R88-720-SEC-NOV</x:v>
      </x:c>
      <x:c r="D164" s="28" t="n">
        <x:v>1</x:v>
      </x:c>
      <x:c r="E164" s="28" t="n">
        <x:v>0</x:v>
      </x:c>
      <x:c r="F164" s="28" t="n">
        <x:v>5</x:v>
      </x:c>
      <x:c r="G164" s="23" t="str">
        <x:f>IFERROR(INDEX('官方售价'!$C$5:$C$204,MATCH(B164,'官方售价'!$A$5:$A$204,0)),"")</x:f>
        <x:v>SKU-SD20-STD-720</x:v>
      </x:c>
      <x:c r="H164" s="23" t="str">
        <x:f>IFERROR(INDEX('官方售价'!$D$5:$D$204,MATCH(B164,'官方售价'!$A$5:$A$204,0)),"")</x:f>
        <x:v>no_video</x:v>
      </x:c>
      <x:c r="I164" s="23" t="n">
        <x:f>IFERROR(INDEX('官方售价'!$H$5:$H$204,MATCH(B164,'官方售价'!$A$5:$A$204,0)),0)</x:f>
        <x:v>1280</x:v>
      </x:c>
      <x:c r="J164" s="23" t="n">
        <x:f>IFERROR(INDEX('官方售价'!$I$5:$I$204,MATCH(B164,'官方售价'!$A$5:$A$204,0)),0)</x:f>
        <x:v>720</x:v>
      </x:c>
      <x:c r="K164" s="23" t="n">
        <x:f>IFERROR(INDEX('官方售价'!$J$5:$J$204,MATCH(B164,'官方售价'!$A$5:$A$204,0)),0)</x:f>
        <x:v>24</x:v>
      </x:c>
      <x:c r="L164" s="25" t="n">
        <x:f>(E164+F164)*I164*J164*K164/'参数'!$B$7</x:f>
        <x:v>108000</x:v>
      </x:c>
      <x:c r="M164" s="23" t="str">
        <x:f>IFERROR(INDEX('渠道成本'!$F$5:$F$1004,MATCH(C164,'渠道成本'!$A$5:$A$1004,0)),"")</x:f>
        <x:v>per_duration</x:v>
      </x:c>
      <x:c r="N164" s="26" t="n">
        <x:f>IFERROR(INDEX('渠道成本'!$U$5:$U$1004,MATCH(C164,'渠道成本'!$A$5:$A$1004,0)),0)</x:f>
        <x:v>0.0547945205479452</x:v>
      </x:c>
      <x:c r="O164" s="26" t="n">
        <x:f>IFERROR(L164/'参数'!$B$8*INDEX('官方售价'!$M$5:$M$204,MATCH(B164,'官方售价'!$A$5:$A$204,0)),0)</x:f>
        <x:v>0.6805479452054793</x:v>
      </x:c>
      <x:c r="P164" s="26" t="n">
        <x:f>IF(M164="per_token",L164/'参数'!$B$8*N164,IF(M164="per_duration",F164*N164,IF(M164="per_request",N164,0)))</x:f>
        <x:v>0.273972602739726</x:v>
      </x:c>
      <x:c r="Q164" s="26" t="n">
        <x:f>O164*D164</x:f>
        <x:v>0.6805479452054793</x:v>
      </x:c>
      <x:c r="R164" s="26" t="n">
        <x:f>Q164-P164</x:f>
        <x:v>0.40657534246575333</x:v>
      </x:c>
      <x:c r="S164" s="29" t="n">
        <x:f>IF(Q164=0,"",R164/Q164)</x:f>
        <x:v>0.5974235104669887</x:v>
      </x:c>
      <x:c r="T164" s="23" t="str">
        <x:f>IF(OR(B164="",C164=""),"pending",IF(OR(O164&lt;0,P164&lt;0),"settlement_failed","settled"))</x:f>
        <x:v>settled</x:v>
      </x:c>
      <x:c r="U164" s="7" t="str">
        <x:v>源行=sd!88；自动利润预览；分组倍率可改为用户折扣</x:v>
      </x:c>
    </x:row>
    <x:row r="165" ht="26.350000381469727" customHeight="1">
      <x:c r="A165" s="19" t="str">
        <x:v>CASE-DIMENSIO-R88-720-SEC-VID</x:v>
      </x:c>
      <x:c r="B165" s="19" t="str">
        <x:v>SALE-SD20-STD-720-VID</x:v>
      </x:c>
      <x:c r="C165" s="19" t="str">
        <x:v>COST-DIMENSIO-R88-720-SEC-VID</x:v>
      </x:c>
      <x:c r="D165" s="28" t="n">
        <x:v>1</x:v>
      </x:c>
      <x:c r="E165" s="28" t="n">
        <x:v>3</x:v>
      </x:c>
      <x:c r="F165" s="28" t="n">
        <x:v>5</x:v>
      </x:c>
      <x:c r="G165" s="23" t="str">
        <x:f>IFERROR(INDEX('官方售价'!$C$5:$C$204,MATCH(B165,'官方售价'!$A$5:$A$204,0)),"")</x:f>
        <x:v>SKU-SD20-STD-720</x:v>
      </x:c>
      <x:c r="H165" s="23" t="str">
        <x:f>IFERROR(INDEX('官方售价'!$D$5:$D$204,MATCH(B165,'官方售价'!$A$5:$A$204,0)),"")</x:f>
        <x:v>with_video</x:v>
      </x:c>
      <x:c r="I165" s="23" t="n">
        <x:f>IFERROR(INDEX('官方售价'!$H$5:$H$204,MATCH(B165,'官方售价'!$A$5:$A$204,0)),0)</x:f>
        <x:v>1280</x:v>
      </x:c>
      <x:c r="J165" s="23" t="n">
        <x:f>IFERROR(INDEX('官方售价'!$I$5:$I$204,MATCH(B165,'官方售价'!$A$5:$A$204,0)),0)</x:f>
        <x:v>720</x:v>
      </x:c>
      <x:c r="K165" s="23" t="n">
        <x:f>IFERROR(INDEX('官方售价'!$J$5:$J$204,MATCH(B165,'官方售价'!$A$5:$A$204,0)),0)</x:f>
        <x:v>24</x:v>
      </x:c>
      <x:c r="L165" s="25" t="n">
        <x:f>(E165+F165)*I165*J165*K165/'参数'!$B$7</x:f>
        <x:v>172800</x:v>
      </x:c>
      <x:c r="M165" s="23" t="str">
        <x:f>IFERROR(INDEX('渠道成本'!$F$5:$F$1004,MATCH(C165,'渠道成本'!$A$5:$A$1004,0)),"")</x:f>
        <x:v>per_duration</x:v>
      </x:c>
      <x:c r="N165" s="26" t="n">
        <x:f>IFERROR(INDEX('渠道成本'!$U$5:$U$1004,MATCH(C165,'渠道成本'!$A$5:$A$1004,0)),0)</x:f>
        <x:v>0.0547945205479452</x:v>
      </x:c>
      <x:c r="O165" s="26" t="n">
        <x:f>IFERROR(L165/'参数'!$B$8*INDEX('官方售价'!$M$5:$M$204,MATCH(B165,'官方售价'!$A$5:$A$204,0)),0)</x:f>
        <x:v>0.6627945205479452</x:v>
      </x:c>
      <x:c r="P165" s="26" t="n">
        <x:f>IF(M165="per_token",L165/'参数'!$B$8*N165,IF(M165="per_duration",F165*N165,IF(M165="per_request",N165,0)))</x:f>
        <x:v>0.273972602739726</x:v>
      </x:c>
      <x:c r="Q165" s="26" t="n">
        <x:f>O165*D165</x:f>
        <x:v>0.6627945205479452</x:v>
      </x:c>
      <x:c r="R165" s="26" t="n">
        <x:f>Q165-P165</x:f>
        <x:v>0.3888219178082192</x:v>
      </x:c>
      <x:c r="S165" s="29" t="n">
        <x:f>IF(Q165=0,"",R165/Q165)</x:f>
        <x:v>0.5866402116402116</x:v>
      </x:c>
      <x:c r="T165" s="23" t="str">
        <x:f>IF(OR(B165="",C165=""),"pending",IF(OR(O165&lt;0,P165&lt;0),"settlement_failed","settled"))</x:f>
        <x:v>settled</x:v>
      </x:c>
      <x:c r="U165" s="7" t="str">
        <x:v>源行=sd!88；自动利润预览；分组倍率可改为用户折扣</x:v>
      </x:c>
    </x:row>
    <x:row r="166" ht="26.350000381469727" customHeight="1">
      <x:c r="A166" s="19" t="str">
        <x:v>CASE-DIMENSIO-R89-1080-SEC-NOV</x:v>
      </x:c>
      <x:c r="B166" s="19" t="str">
        <x:v>SALE-SD20-STD-1080-NOV</x:v>
      </x:c>
      <x:c r="C166" s="19" t="str">
        <x:v>COST-DIMENSIO-R89-1080-SEC-NOV</x:v>
      </x:c>
      <x:c r="D166" s="28" t="n">
        <x:v>1</x:v>
      </x:c>
      <x:c r="E166" s="28" t="n">
        <x:v>0</x:v>
      </x:c>
      <x:c r="F166" s="28" t="n">
        <x:v>5</x:v>
      </x:c>
      <x:c r="G166" s="23" t="str">
        <x:f>IFERROR(INDEX('官方售价'!$C$5:$C$204,MATCH(B166,'官方售价'!$A$5:$A$204,0)),"")</x:f>
        <x:v>SKU-SD20-STD-1080</x:v>
      </x:c>
      <x:c r="H166" s="23" t="str">
        <x:f>IFERROR(INDEX('官方售价'!$D$5:$D$204,MATCH(B166,'官方售价'!$A$5:$A$204,0)),"")</x:f>
        <x:v>no_video</x:v>
      </x:c>
      <x:c r="I166" s="23" t="n">
        <x:f>IFERROR(INDEX('官方售价'!$H$5:$H$204,MATCH(B166,'官方售价'!$A$5:$A$204,0)),0)</x:f>
        <x:v>1920</x:v>
      </x:c>
      <x:c r="J166" s="23" t="n">
        <x:f>IFERROR(INDEX('官方售价'!$I$5:$I$204,MATCH(B166,'官方售价'!$A$5:$A$204,0)),0)</x:f>
        <x:v>1080</x:v>
      </x:c>
      <x:c r="K166" s="23" t="n">
        <x:f>IFERROR(INDEX('官方售价'!$J$5:$J$204,MATCH(B166,'官方售价'!$A$5:$A$204,0)),0)</x:f>
        <x:v>24</x:v>
      </x:c>
      <x:c r="L166" s="25" t="n">
        <x:f>(E166+F166)*I166*J166*K166/'参数'!$B$7</x:f>
        <x:v>243000</x:v>
      </x:c>
      <x:c r="M166" s="23" t="str">
        <x:f>IFERROR(INDEX('渠道成本'!$F$5:$F$1004,MATCH(C166,'渠道成本'!$A$5:$A$1004,0)),"")</x:f>
        <x:v>per_duration</x:v>
      </x:c>
      <x:c r="N166" s="26" t="n">
        <x:f>IFERROR(INDEX('渠道成本'!$U$5:$U$1004,MATCH(C166,'渠道成本'!$A$5:$A$1004,0)),0)</x:f>
        <x:v>0.11643835616438356</x:v>
      </x:c>
      <x:c r="O166" s="26" t="n">
        <x:f>IFERROR(L166/'参数'!$B$8*INDEX('官方售价'!$M$5:$M$204,MATCH(B166,'官方售价'!$A$5:$A$204,0)),0)</x:f>
        <x:v>1.697671232876712</x:v>
      </x:c>
      <x:c r="P166" s="26" t="n">
        <x:f>IF(M166="per_token",L166/'参数'!$B$8*N166,IF(M166="per_duration",F166*N166,IF(M166="per_request",N166,0)))</x:f>
        <x:v>0.5821917808219178</x:v>
      </x:c>
      <x:c r="Q166" s="26" t="n">
        <x:f>O166*D166</x:f>
        <x:v>1.697671232876712</x:v>
      </x:c>
      <x:c r="R166" s="26" t="n">
        <x:f>Q166-P166</x:f>
        <x:v>1.1154794520547942</x:v>
      </x:c>
      <x:c r="S166" s="29" t="n">
        <x:f>IF(Q166=0,"",R166/Q166)</x:f>
        <x:v>0.6570644718792866</x:v>
      </x:c>
      <x:c r="T166" s="23" t="str">
        <x:f>IF(OR(B166="",C166=""),"pending",IF(OR(O166&lt;0,P166&lt;0),"settlement_failed","settled"))</x:f>
        <x:v>settled</x:v>
      </x:c>
      <x:c r="U166" s="7" t="str">
        <x:v>源行=sd!89；自动利润预览；分组倍率可改为用户折扣</x:v>
      </x:c>
    </x:row>
    <x:row r="167" ht="26.350000381469727" customHeight="1">
      <x:c r="A167" s="19" t="str">
        <x:v>CASE-DIMENSIO-R89-1080-SEC-VID</x:v>
      </x:c>
      <x:c r="B167" s="19" t="str">
        <x:v>SALE-SD20-STD-1080-VID</x:v>
      </x:c>
      <x:c r="C167" s="19" t="str">
        <x:v>COST-DIMENSIO-R89-1080-SEC-VID</x:v>
      </x:c>
      <x:c r="D167" s="28" t="n">
        <x:v>1</x:v>
      </x:c>
      <x:c r="E167" s="28" t="n">
        <x:v>3</x:v>
      </x:c>
      <x:c r="F167" s="28" t="n">
        <x:v>5</x:v>
      </x:c>
      <x:c r="G167" s="23" t="str">
        <x:f>IFERROR(INDEX('官方售价'!$C$5:$C$204,MATCH(B167,'官方售价'!$A$5:$A$204,0)),"")</x:f>
        <x:v>SKU-SD20-STD-1080</x:v>
      </x:c>
      <x:c r="H167" s="23" t="str">
        <x:f>IFERROR(INDEX('官方售价'!$D$5:$D$204,MATCH(B167,'官方售价'!$A$5:$A$204,0)),"")</x:f>
        <x:v>with_video</x:v>
      </x:c>
      <x:c r="I167" s="23" t="n">
        <x:f>IFERROR(INDEX('官方售价'!$H$5:$H$204,MATCH(B167,'官方售价'!$A$5:$A$204,0)),0)</x:f>
        <x:v>1920</x:v>
      </x:c>
      <x:c r="J167" s="23" t="n">
        <x:f>IFERROR(INDEX('官方售价'!$I$5:$I$204,MATCH(B167,'官方售价'!$A$5:$A$204,0)),0)</x:f>
        <x:v>1080</x:v>
      </x:c>
      <x:c r="K167" s="23" t="n">
        <x:f>IFERROR(INDEX('官方售价'!$J$5:$J$204,MATCH(B167,'官方售价'!$A$5:$A$204,0)),0)</x:f>
        <x:v>24</x:v>
      </x:c>
      <x:c r="L167" s="25" t="n">
        <x:f>(E167+F167)*I167*J167*K167/'参数'!$B$7</x:f>
        <x:v>388800</x:v>
      </x:c>
      <x:c r="M167" s="23" t="str">
        <x:f>IFERROR(INDEX('渠道成本'!$F$5:$F$1004,MATCH(C167,'渠道成本'!$A$5:$A$1004,0)),"")</x:f>
        <x:v>per_duration</x:v>
      </x:c>
      <x:c r="N167" s="26" t="n">
        <x:f>IFERROR(INDEX('渠道成本'!$U$5:$U$1004,MATCH(C167,'渠道成本'!$A$5:$A$1004,0)),0)</x:f>
        <x:v>0.11643835616438356</x:v>
      </x:c>
      <x:c r="O167" s="26" t="n">
        <x:f>IFERROR(L167/'参数'!$B$8*INDEX('官方售价'!$M$5:$M$204,MATCH(B167,'官方售价'!$A$5:$A$204,0)),0)</x:f>
        <x:v>1.651068493150685</x:v>
      </x:c>
      <x:c r="P167" s="26" t="n">
        <x:f>IF(M167="per_token",L167/'参数'!$B$8*N167,IF(M167="per_duration",F167*N167,IF(M167="per_request",N167,0)))</x:f>
        <x:v>0.5821917808219178</x:v>
      </x:c>
      <x:c r="Q167" s="26" t="n">
        <x:f>O167*D167</x:f>
        <x:v>1.651068493150685</x:v>
      </x:c>
      <x:c r="R167" s="26" t="n">
        <x:f>Q167-P167</x:f>
        <x:v>1.068876712328767</x:v>
      </x:c>
      <x:c r="S167" s="29" t="n">
        <x:f>IF(Q167=0,"",R167/Q167)</x:f>
        <x:v>0.6473848400371697</x:v>
      </x:c>
      <x:c r="T167" s="23" t="str">
        <x:f>IF(OR(B167="",C167=""),"pending",IF(OR(O167&lt;0,P167&lt;0),"settlement_failed","settled"))</x:f>
        <x:v>settled</x:v>
      </x:c>
      <x:c r="U167" s="7" t="str">
        <x:v>源行=sd!89；自动利润预览；分组倍率可改为用户折扣</x:v>
      </x:c>
    </x:row>
    <x:row r="168" ht="26.350000381469727" customHeight="1">
      <x:c r="A168" s="19" t="str">
        <x:v>CASE-DIMENSIO-R90-4K-SEC-NOV</x:v>
      </x:c>
      <x:c r="B168" s="19" t="str">
        <x:v>SALE-SD20-STD-4K-NOV</x:v>
      </x:c>
      <x:c r="C168" s="19" t="str">
        <x:v>COST-DIMENSIO-R90-4K-SEC-NOV</x:v>
      </x:c>
      <x:c r="D168" s="28" t="n">
        <x:v>1</x:v>
      </x:c>
      <x:c r="E168" s="28" t="n">
        <x:v>0</x:v>
      </x:c>
      <x:c r="F168" s="28" t="n">
        <x:v>5</x:v>
      </x:c>
      <x:c r="G168" s="23" t="str">
        <x:f>IFERROR(INDEX('官方售价'!$C$5:$C$204,MATCH(B168,'官方售价'!$A$5:$A$204,0)),"")</x:f>
        <x:v>SKU-SD20-STD-4K</x:v>
      </x:c>
      <x:c r="H168" s="23" t="str">
        <x:f>IFERROR(INDEX('官方售价'!$D$5:$D$204,MATCH(B168,'官方售价'!$A$5:$A$204,0)),"")</x:f>
        <x:v>no_video</x:v>
      </x:c>
      <x:c r="I168" s="23" t="n">
        <x:f>IFERROR(INDEX('官方售价'!$H$5:$H$204,MATCH(B168,'官方售价'!$A$5:$A$204,0)),0)</x:f>
        <x:v>3840</x:v>
      </x:c>
      <x:c r="J168" s="23" t="n">
        <x:f>IFERROR(INDEX('官方售价'!$I$5:$I$204,MATCH(B168,'官方售价'!$A$5:$A$204,0)),0)</x:f>
        <x:v>2160</x:v>
      </x:c>
      <x:c r="K168" s="23" t="n">
        <x:f>IFERROR(INDEX('官方售价'!$J$5:$J$204,MATCH(B168,'官方售价'!$A$5:$A$204,0)),0)</x:f>
        <x:v>24</x:v>
      </x:c>
      <x:c r="L168" s="25" t="n">
        <x:f>(E168+F168)*I168*J168*K168/'参数'!$B$7</x:f>
        <x:v>972000</x:v>
      </x:c>
      <x:c r="M168" s="23" t="str">
        <x:f>IFERROR(INDEX('渠道成本'!$F$5:$F$1004,MATCH(C168,'渠道成本'!$A$5:$A$1004,0)),"")</x:f>
        <x:v>per_duration</x:v>
      </x:c>
      <x:c r="N168" s="26" t="n">
        <x:f>IFERROR(INDEX('渠道成本'!$U$5:$U$1004,MATCH(C168,'渠道成本'!$A$5:$A$1004,0)),0)</x:f>
        <x:v>0.273972602739726</x:v>
      </x:c>
      <x:c r="O168" s="26" t="n">
        <x:f>IFERROR(L168/'参数'!$B$8*INDEX('官方售价'!$M$5:$M$204,MATCH(B168,'官方售价'!$A$5:$A$204,0)),0)</x:f>
        <x:v>3.461917808219178</x:v>
      </x:c>
      <x:c r="P168" s="26" t="n">
        <x:f>IF(M168="per_token",L168/'参数'!$B$8*N168,IF(M168="per_duration",F168*N168,IF(M168="per_request",N168,0)))</x:f>
        <x:v>1.36986301369863</x:v>
      </x:c>
      <x:c r="Q168" s="26" t="n">
        <x:f>O168*D168</x:f>
        <x:v>3.461917808219178</x:v>
      </x:c>
      <x:c r="R168" s="26" t="n">
        <x:f>Q168-P168</x:f>
        <x:v>2.092054794520548</x:v>
      </x:c>
      <x:c r="S168" s="29" t="n">
        <x:f>IF(Q168=0,"",R168/Q168)</x:f>
        <x:v>0.6043051598607155</x:v>
      </x:c>
      <x:c r="T168" s="23" t="str">
        <x:f>IF(OR(B168="",C168=""),"pending",IF(OR(O168&lt;0,P168&lt;0),"settlement_failed","settled"))</x:f>
        <x:v>settled</x:v>
      </x:c>
      <x:c r="U168" s="7" t="str">
        <x:v>源行=sd!90；自动利润预览；分组倍率可改为用户折扣</x:v>
      </x:c>
    </x:row>
    <x:row r="169" ht="26.350000381469727" customHeight="1">
      <x:c r="A169" s="19" t="str">
        <x:v>CASE-DIMENSIO-R90-4K-SEC-VID</x:v>
      </x:c>
      <x:c r="B169" s="19" t="str">
        <x:v>SALE-SD20-STD-4K-VID</x:v>
      </x:c>
      <x:c r="C169" s="19" t="str">
        <x:v>COST-DIMENSIO-R90-4K-SEC-VID</x:v>
      </x:c>
      <x:c r="D169" s="28" t="n">
        <x:v>1</x:v>
      </x:c>
      <x:c r="E169" s="28" t="n">
        <x:v>3</x:v>
      </x:c>
      <x:c r="F169" s="28" t="n">
        <x:v>5</x:v>
      </x:c>
      <x:c r="G169" s="23" t="str">
        <x:f>IFERROR(INDEX('官方售价'!$C$5:$C$204,MATCH(B169,'官方售价'!$A$5:$A$204,0)),"")</x:f>
        <x:v>SKU-SD20-STD-4K</x:v>
      </x:c>
      <x:c r="H169" s="23" t="str">
        <x:f>IFERROR(INDEX('官方售价'!$D$5:$D$204,MATCH(B169,'官方售价'!$A$5:$A$204,0)),"")</x:f>
        <x:v>with_video</x:v>
      </x:c>
      <x:c r="I169" s="23" t="n">
        <x:f>IFERROR(INDEX('官方售价'!$H$5:$H$204,MATCH(B169,'官方售价'!$A$5:$A$204,0)),0)</x:f>
        <x:v>3840</x:v>
      </x:c>
      <x:c r="J169" s="23" t="n">
        <x:f>IFERROR(INDEX('官方售价'!$I$5:$I$204,MATCH(B169,'官方售价'!$A$5:$A$204,0)),0)</x:f>
        <x:v>2160</x:v>
      </x:c>
      <x:c r="K169" s="23" t="n">
        <x:f>IFERROR(INDEX('官方售价'!$J$5:$J$204,MATCH(B169,'官方售价'!$A$5:$A$204,0)),0)</x:f>
        <x:v>24</x:v>
      </x:c>
      <x:c r="L169" s="25" t="n">
        <x:f>(E169+F169)*I169*J169*K169/'参数'!$B$7</x:f>
        <x:v>1555200</x:v>
      </x:c>
      <x:c r="M169" s="23" t="str">
        <x:f>IFERROR(INDEX('渠道成本'!$F$5:$F$1004,MATCH(C169,'渠道成本'!$A$5:$A$1004,0)),"")</x:f>
        <x:v>per_duration</x:v>
      </x:c>
      <x:c r="N169" s="26" t="n">
        <x:f>IFERROR(INDEX('渠道成本'!$U$5:$U$1004,MATCH(C169,'渠道成本'!$A$5:$A$1004,0)),0)</x:f>
        <x:v>0.273972602739726</x:v>
      </x:c>
      <x:c r="O169" s="26" t="n">
        <x:f>IFERROR(L169/'参数'!$B$8*INDEX('官方售价'!$M$5:$M$204,MATCH(B169,'官方售价'!$A$5:$A$204,0)),0)</x:f>
        <x:v>3.408657534246575</x:v>
      </x:c>
      <x:c r="P169" s="26" t="n">
        <x:f>IF(M169="per_token",L169/'参数'!$B$8*N169,IF(M169="per_duration",F169*N169,IF(M169="per_request",N169,0)))</x:f>
        <x:v>1.36986301369863</x:v>
      </x:c>
      <x:c r="Q169" s="26" t="n">
        <x:f>O169*D169</x:f>
        <x:v>3.408657534246575</x:v>
      </x:c>
      <x:c r="R169" s="26" t="n">
        <x:f>Q169-P169</x:f>
        <x:v>2.0387945205479445</x:v>
      </x:c>
      <x:c r="S169" s="29" t="n">
        <x:f>IF(Q169=0,"",R169/Q169)</x:f>
        <x:v>0.598122427983539</x:v>
      </x:c>
      <x:c r="T169" s="23" t="str">
        <x:f>IF(OR(B169="",C169=""),"pending",IF(OR(O169&lt;0,P169&lt;0),"settlement_failed","settled"))</x:f>
        <x:v>settled</x:v>
      </x:c>
      <x:c r="U169" s="7" t="str">
        <x:v>源行=sd!90；自动利润预览；分组倍率可改为用户折扣</x:v>
      </x:c>
    </x:row>
    <x:row r="170" ht="26.350000381469727" customHeight="1">
      <x:c r="A170" s="19" t="str">
        <x:v>CASE-DIMENSIO-R91-480-SEC-NOV</x:v>
      </x:c>
      <x:c r="B170" s="19" t="str">
        <x:v>SALE-SD20-FAST-480-NOV</x:v>
      </x:c>
      <x:c r="C170" s="19" t="str">
        <x:v>COST-DIMENSIO-R91-480-SEC-NOV</x:v>
      </x:c>
      <x:c r="D170" s="28" t="n">
        <x:v>1</x:v>
      </x:c>
      <x:c r="E170" s="28" t="n">
        <x:v>0</x:v>
      </x:c>
      <x:c r="F170" s="28" t="n">
        <x:v>5</x:v>
      </x:c>
      <x:c r="G170" s="23" t="str">
        <x:f>IFERROR(INDEX('官方售价'!$C$5:$C$204,MATCH(B170,'官方售价'!$A$5:$A$204,0)),"")</x:f>
        <x:v>SKU-SD20-FAST-480</x:v>
      </x:c>
      <x:c r="H170" s="23" t="str">
        <x:f>IFERROR(INDEX('官方售价'!$D$5:$D$204,MATCH(B170,'官方售价'!$A$5:$A$204,0)),"")</x:f>
        <x:v>no_video</x:v>
      </x:c>
      <x:c r="I170" s="23" t="n">
        <x:f>IFERROR(INDEX('官方售价'!$H$5:$H$204,MATCH(B170,'官方售价'!$A$5:$A$204,0)),0)</x:f>
        <x:v>864</x:v>
      </x:c>
      <x:c r="J170" s="23" t="n">
        <x:f>IFERROR(INDEX('官方售价'!$I$5:$I$204,MATCH(B170,'官方售价'!$A$5:$A$204,0)),0)</x:f>
        <x:v>496</x:v>
      </x:c>
      <x:c r="K170" s="23" t="n">
        <x:f>IFERROR(INDEX('官方售价'!$J$5:$J$204,MATCH(B170,'官方售价'!$A$5:$A$204,0)),0)</x:f>
        <x:v>24</x:v>
      </x:c>
      <x:c r="L170" s="25" t="n">
        <x:f>(E170+F170)*I170*J170*K170/'参数'!$B$7</x:f>
        <x:v>50220</x:v>
      </x:c>
      <x:c r="M170" s="23" t="str">
        <x:f>IFERROR(INDEX('渠道成本'!$F$5:$F$1004,MATCH(C170,'渠道成本'!$A$5:$A$1004,0)),"")</x:f>
        <x:v>per_duration</x:v>
      </x:c>
      <x:c r="N170" s="26" t="n">
        <x:f>IFERROR(INDEX('渠道成本'!$U$5:$U$1004,MATCH(C170,'渠道成本'!$A$5:$A$1004,0)),0)</x:f>
        <x:v>0.02054794520547945</x:v>
      </x:c>
      <x:c r="O170" s="26" t="n">
        <x:f>IFERROR(L170/'参数'!$B$8*INDEX('官方售价'!$M$5:$M$204,MATCH(B170,'官方售价'!$A$5:$A$204,0)),0)</x:f>
        <x:v>0.2545397260273973</x:v>
      </x:c>
      <x:c r="P170" s="26" t="n">
        <x:f>IF(M170="per_token",L170/'参数'!$B$8*N170,IF(M170="per_duration",F170*N170,IF(M170="per_request",N170,0)))</x:f>
        <x:v>0.10273972602739725</x:v>
      </x:c>
      <x:c r="Q170" s="26" t="n">
        <x:f>O170*D170</x:f>
        <x:v>0.2545397260273973</x:v>
      </x:c>
      <x:c r="R170" s="26" t="n">
        <x:f>Q170-P170</x:f>
        <x:v>0.15180000000000002</x:v>
      </x:c>
      <x:c r="S170" s="29" t="n">
        <x:f>IF(Q170=0,"",R170/Q170)</x:f>
        <x:v>0.5963705641124997</x:v>
      </x:c>
      <x:c r="T170" s="23" t="str">
        <x:f>IF(OR(B170="",C170=""),"pending",IF(OR(O170&lt;0,P170&lt;0),"settlement_failed","settled"))</x:f>
        <x:v>settled</x:v>
      </x:c>
      <x:c r="U170" s="7" t="str">
        <x:v>源行=sd!91；自动利润预览；分组倍率可改为用户折扣</x:v>
      </x:c>
    </x:row>
    <x:row r="171" ht="26.350000381469727" customHeight="1">
      <x:c r="A171" s="19" t="str">
        <x:v>CASE-DIMENSIO-R91-480-SEC-VID</x:v>
      </x:c>
      <x:c r="B171" s="19" t="str">
        <x:v>SALE-SD20-FAST-480-VID</x:v>
      </x:c>
      <x:c r="C171" s="19" t="str">
        <x:v>COST-DIMENSIO-R91-480-SEC-VID</x:v>
      </x:c>
      <x:c r="D171" s="28" t="n">
        <x:v>1</x:v>
      </x:c>
      <x:c r="E171" s="28" t="n">
        <x:v>3</x:v>
      </x:c>
      <x:c r="F171" s="28" t="n">
        <x:v>5</x:v>
      </x:c>
      <x:c r="G171" s="23" t="str">
        <x:f>IFERROR(INDEX('官方售价'!$C$5:$C$204,MATCH(B171,'官方售价'!$A$5:$A$204,0)),"")</x:f>
        <x:v>SKU-SD20-FAST-480</x:v>
      </x:c>
      <x:c r="H171" s="23" t="str">
        <x:f>IFERROR(INDEX('官方售价'!$D$5:$D$204,MATCH(B171,'官方售价'!$A$5:$A$204,0)),"")</x:f>
        <x:v>with_video</x:v>
      </x:c>
      <x:c r="I171" s="23" t="n">
        <x:f>IFERROR(INDEX('官方售价'!$H$5:$H$204,MATCH(B171,'官方售价'!$A$5:$A$204,0)),0)</x:f>
        <x:v>864</x:v>
      </x:c>
      <x:c r="J171" s="23" t="n">
        <x:f>IFERROR(INDEX('官方售价'!$I$5:$I$204,MATCH(B171,'官方售价'!$A$5:$A$204,0)),0)</x:f>
        <x:v>496</x:v>
      </x:c>
      <x:c r="K171" s="23" t="n">
        <x:f>IFERROR(INDEX('官方售价'!$J$5:$J$204,MATCH(B171,'官方售价'!$A$5:$A$204,0)),0)</x:f>
        <x:v>24</x:v>
      </x:c>
      <x:c r="L171" s="25" t="n">
        <x:f>(E171+F171)*I171*J171*K171/'参数'!$B$7</x:f>
        <x:v>80352</x:v>
      </x:c>
      <x:c r="M171" s="23" t="str">
        <x:f>IFERROR(INDEX('渠道成本'!$F$5:$F$1004,MATCH(C171,'渠道成本'!$A$5:$A$1004,0)),"")</x:f>
        <x:v>per_duration</x:v>
      </x:c>
      <x:c r="N171" s="26" t="n">
        <x:f>IFERROR(INDEX('渠道成本'!$U$5:$U$1004,MATCH(C171,'渠道成本'!$A$5:$A$1004,0)),0)</x:f>
        <x:v>0.02054794520547945</x:v>
      </x:c>
      <x:c r="O171" s="26" t="n">
        <x:f>IFERROR(L171/'参数'!$B$8*INDEX('官方售价'!$M$5:$M$204,MATCH(B171,'官方售价'!$A$5:$A$204,0)),0)</x:f>
        <x:v>0.24215671232876712</x:v>
      </x:c>
      <x:c r="P171" s="26" t="n">
        <x:f>IF(M171="per_token",L171/'参数'!$B$8*N171,IF(M171="per_duration",F171*N171,IF(M171="per_request",N171,0)))</x:f>
        <x:v>0.10273972602739725</x:v>
      </x:c>
      <x:c r="Q171" s="26" t="n">
        <x:f>O171*D171</x:f>
        <x:v>0.24215671232876712</x:v>
      </x:c>
      <x:c r="R171" s="26" t="n">
        <x:f>Q171-P171</x:f>
        <x:v>0.13941698630136987</x:v>
      </x:c>
      <x:c r="S171" s="29" t="n">
        <x:f>IF(Q171=0,"",R171/Q171)</x:f>
        <x:v>0.575730422504616</x:v>
      </x:c>
      <x:c r="T171" s="23" t="str">
        <x:f>IF(OR(B171="",C171=""),"pending",IF(OR(O171&lt;0,P171&lt;0),"settlement_failed","settled"))</x:f>
        <x:v>settled</x:v>
      </x:c>
      <x:c r="U171" s="7" t="str">
        <x:v>源行=sd!91；自动利润预览；分组倍率可改为用户折扣</x:v>
      </x:c>
    </x:row>
    <x:row r="172" ht="26.350000381469727" customHeight="1">
      <x:c r="A172" s="19" t="str">
        <x:v>CASE-DIMENSIO-R92-720-SEC-NOV</x:v>
      </x:c>
      <x:c r="B172" s="19" t="str">
        <x:v>SALE-SD20-FAST-720-NOV</x:v>
      </x:c>
      <x:c r="C172" s="19" t="str">
        <x:v>COST-DIMENSIO-R92-720-SEC-NOV</x:v>
      </x:c>
      <x:c r="D172" s="28" t="n">
        <x:v>1</x:v>
      </x:c>
      <x:c r="E172" s="28" t="n">
        <x:v>0</x:v>
      </x:c>
      <x:c r="F172" s="28" t="n">
        <x:v>5</x:v>
      </x:c>
      <x:c r="G172" s="23" t="str">
        <x:f>IFERROR(INDEX('官方售价'!$C$5:$C$204,MATCH(B172,'官方售价'!$A$5:$A$204,0)),"")</x:f>
        <x:v>SKU-SD20-FAST-720</x:v>
      </x:c>
      <x:c r="H172" s="23" t="str">
        <x:f>IFERROR(INDEX('官方售价'!$D$5:$D$204,MATCH(B172,'官方售价'!$A$5:$A$204,0)),"")</x:f>
        <x:v>no_video</x:v>
      </x:c>
      <x:c r="I172" s="23" t="n">
        <x:f>IFERROR(INDEX('官方售价'!$H$5:$H$204,MATCH(B172,'官方售价'!$A$5:$A$204,0)),0)</x:f>
        <x:v>1280</x:v>
      </x:c>
      <x:c r="J172" s="23" t="n">
        <x:f>IFERROR(INDEX('官方售价'!$I$5:$I$204,MATCH(B172,'官方售价'!$A$5:$A$204,0)),0)</x:f>
        <x:v>720</x:v>
      </x:c>
      <x:c r="K172" s="23" t="n">
        <x:f>IFERROR(INDEX('官方售价'!$J$5:$J$204,MATCH(B172,'官方售价'!$A$5:$A$204,0)),0)</x:f>
        <x:v>24</x:v>
      </x:c>
      <x:c r="L172" s="25" t="n">
        <x:f>(E172+F172)*I172*J172*K172/'参数'!$B$7</x:f>
        <x:v>108000</x:v>
      </x:c>
      <x:c r="M172" s="23" t="str">
        <x:f>IFERROR(INDEX('渠道成本'!$F$5:$F$1004,MATCH(C172,'渠道成本'!$A$5:$A$1004,0)),"")</x:f>
        <x:v>per_duration</x:v>
      </x:c>
      <x:c r="N172" s="26" t="n">
        <x:f>IFERROR(INDEX('渠道成本'!$U$5:$U$1004,MATCH(C172,'渠道成本'!$A$5:$A$1004,0)),0)</x:f>
        <x:v>0.0410958904109589</x:v>
      </x:c>
      <x:c r="O172" s="26" t="n">
        <x:f>IFERROR(L172/'参数'!$B$8*INDEX('官方售价'!$M$5:$M$204,MATCH(B172,'官方售价'!$A$5:$A$204,0)),0)</x:f>
        <x:v>0.5473972602739726</x:v>
      </x:c>
      <x:c r="P172" s="26" t="n">
        <x:f>IF(M172="per_token",L172/'参数'!$B$8*N172,IF(M172="per_duration",F172*N172,IF(M172="per_request",N172,0)))</x:f>
        <x:v>0.2054794520547945</x:v>
      </x:c>
      <x:c r="Q172" s="26" t="n">
        <x:f>O172*D172</x:f>
        <x:v>0.5473972602739726</x:v>
      </x:c>
      <x:c r="R172" s="26" t="n">
        <x:f>Q172-P172</x:f>
        <x:v>0.3419178082191781</x:v>
      </x:c>
      <x:c r="S172" s="29" t="n">
        <x:f>IF(Q172=0,"",R172/Q172)</x:f>
        <x:v>0.6246246246246246</x:v>
      </x:c>
      <x:c r="T172" s="23" t="str">
        <x:f>IF(OR(B172="",C172=""),"pending",IF(OR(O172&lt;0,P172&lt;0),"settlement_failed","settled"))</x:f>
        <x:v>settled</x:v>
      </x:c>
      <x:c r="U172" s="7" t="str">
        <x:v>源行=sd!92；自动利润预览；分组倍率可改为用户折扣</x:v>
      </x:c>
    </x:row>
    <x:row r="173" ht="26.350000381469727" customHeight="1">
      <x:c r="A173" s="19" t="str">
        <x:v>CASE-DIMENSIO-R92-720-SEC-VID</x:v>
      </x:c>
      <x:c r="B173" s="19" t="str">
        <x:v>SALE-SD20-FAST-720-VID</x:v>
      </x:c>
      <x:c r="C173" s="19" t="str">
        <x:v>COST-DIMENSIO-R92-720-SEC-VID</x:v>
      </x:c>
      <x:c r="D173" s="28" t="n">
        <x:v>1</x:v>
      </x:c>
      <x:c r="E173" s="28" t="n">
        <x:v>3</x:v>
      </x:c>
      <x:c r="F173" s="28" t="n">
        <x:v>5</x:v>
      </x:c>
      <x:c r="G173" s="23" t="str">
        <x:f>IFERROR(INDEX('官方售价'!$C$5:$C$204,MATCH(B173,'官方售价'!$A$5:$A$204,0)),"")</x:f>
        <x:v>SKU-SD20-FAST-720</x:v>
      </x:c>
      <x:c r="H173" s="23" t="str">
        <x:f>IFERROR(INDEX('官方售价'!$D$5:$D$204,MATCH(B173,'官方售价'!$A$5:$A$204,0)),"")</x:f>
        <x:v>with_video</x:v>
      </x:c>
      <x:c r="I173" s="23" t="n">
        <x:f>IFERROR(INDEX('官方售价'!$H$5:$H$204,MATCH(B173,'官方售价'!$A$5:$A$204,0)),0)</x:f>
        <x:v>1280</x:v>
      </x:c>
      <x:c r="J173" s="23" t="n">
        <x:f>IFERROR(INDEX('官方售价'!$I$5:$I$204,MATCH(B173,'官方售价'!$A$5:$A$204,0)),0)</x:f>
        <x:v>720</x:v>
      </x:c>
      <x:c r="K173" s="23" t="n">
        <x:f>IFERROR(INDEX('官方售价'!$J$5:$J$204,MATCH(B173,'官方售价'!$A$5:$A$204,0)),0)</x:f>
        <x:v>24</x:v>
      </x:c>
      <x:c r="L173" s="25" t="n">
        <x:f>(E173+F173)*I173*J173*K173/'参数'!$B$7</x:f>
        <x:v>172800</x:v>
      </x:c>
      <x:c r="M173" s="23" t="str">
        <x:f>IFERROR(INDEX('渠道成本'!$F$5:$F$1004,MATCH(C173,'渠道成本'!$A$5:$A$1004,0)),"")</x:f>
        <x:v>per_duration</x:v>
      </x:c>
      <x:c r="N173" s="26" t="n">
        <x:f>IFERROR(INDEX('渠道成本'!$U$5:$U$1004,MATCH(C173,'渠道成本'!$A$5:$A$1004,0)),0)</x:f>
        <x:v>0.0410958904109589</x:v>
      </x:c>
      <x:c r="O173" s="26" t="n">
        <x:f>IFERROR(L173/'参数'!$B$8*INDEX('官方售价'!$M$5:$M$204,MATCH(B173,'官方售价'!$A$5:$A$204,0)),0)</x:f>
        <x:v>0.5207671232876712</x:v>
      </x:c>
      <x:c r="P173" s="26" t="n">
        <x:f>IF(M173="per_token",L173/'参数'!$B$8*N173,IF(M173="per_duration",F173*N173,IF(M173="per_request",N173,0)))</x:f>
        <x:v>0.2054794520547945</x:v>
      </x:c>
      <x:c r="Q173" s="26" t="n">
        <x:f>O173*D173</x:f>
        <x:v>0.5207671232876712</x:v>
      </x:c>
      <x:c r="R173" s="26" t="n">
        <x:f>Q173-P173</x:f>
        <x:v>0.31528767123287665</x:v>
      </x:c>
      <x:c r="S173" s="29" t="n">
        <x:f>IF(Q173=0,"",R173/Q173)</x:f>
        <x:v>0.6054292929292929</x:v>
      </x:c>
      <x:c r="T173" s="23" t="str">
        <x:f>IF(OR(B173="",C173=""),"pending",IF(OR(O173&lt;0,P173&lt;0),"settlement_failed","settled"))</x:f>
        <x:v>settled</x:v>
      </x:c>
      <x:c r="U173" s="7" t="str">
        <x:v>源行=sd!92；自动利润预览；分组倍率可改为用户折扣</x:v>
      </x:c>
    </x:row>
    <x:row r="174" ht="26.350000381469727" customHeight="1">
      <x:c r="A174" s="19" t="str">
        <x:v>CASE-MEGABYAI-R94-480-REQ-NOV</x:v>
      </x:c>
      <x:c r="B174" s="19" t="str">
        <x:v>SALE-SD20-STD-480-NOV</x:v>
      </x:c>
      <x:c r="C174" s="19" t="str">
        <x:v>COST-MEGABYAI-R94-480-REQ-NOV</x:v>
      </x:c>
      <x:c r="D174" s="28" t="n">
        <x:v>1</x:v>
      </x:c>
      <x:c r="E174" s="28" t="n">
        <x:v>0</x:v>
      </x:c>
      <x:c r="F174" s="28" t="n">
        <x:v>5</x:v>
      </x:c>
      <x:c r="G174" s="23" t="str">
        <x:f>IFERROR(INDEX('官方售价'!$C$5:$C$204,MATCH(B174,'官方售价'!$A$5:$A$204,0)),"")</x:f>
        <x:v>SKU-SD20-STD-480</x:v>
      </x:c>
      <x:c r="H174" s="23" t="str">
        <x:f>IFERROR(INDEX('官方售价'!$D$5:$D$204,MATCH(B174,'官方售价'!$A$5:$A$204,0)),"")</x:f>
        <x:v>no_video</x:v>
      </x:c>
      <x:c r="I174" s="23" t="n">
        <x:f>IFERROR(INDEX('官方售价'!$H$5:$H$204,MATCH(B174,'官方售价'!$A$5:$A$204,0)),0)</x:f>
        <x:v>864</x:v>
      </x:c>
      <x:c r="J174" s="23" t="n">
        <x:f>IFERROR(INDEX('官方售价'!$I$5:$I$204,MATCH(B174,'官方售价'!$A$5:$A$204,0)),0)</x:f>
        <x:v>496</x:v>
      </x:c>
      <x:c r="K174" s="23" t="n">
        <x:f>IFERROR(INDEX('官方售价'!$J$5:$J$204,MATCH(B174,'官方售价'!$A$5:$A$204,0)),0)</x:f>
        <x:v>24</x:v>
      </x:c>
      <x:c r="L174" s="25" t="n">
        <x:f>(E174+F174)*I174*J174*K174/'参数'!$B$7</x:f>
        <x:v>50220</x:v>
      </x:c>
      <x:c r="M174" s="23" t="str">
        <x:f>IFERROR(INDEX('渠道成本'!$F$5:$F$1004,MATCH(C174,'渠道成本'!$A$5:$A$1004,0)),"")</x:f>
        <x:v>per_request</x:v>
      </x:c>
      <x:c r="N174" s="26" t="n">
        <x:f>IFERROR(INDEX('渠道成本'!$U$5:$U$1004,MATCH(C174,'渠道成本'!$A$5:$A$1004,0)),0)</x:f>
        <x:v>0.6712328767123288</x:v>
      </x:c>
      <x:c r="O174" s="26" t="n">
        <x:f>IFERROR(L174/'参数'!$B$8*INDEX('官方售价'!$M$5:$M$204,MATCH(B174,'官方售价'!$A$5:$A$204,0)),0)</x:f>
        <x:v>0.3164547945205479</x:v>
      </x:c>
      <x:c r="P174" s="26" t="n">
        <x:f>IF(M174="per_token",L174/'参数'!$B$8*N174,IF(M174="per_duration",F174*N174,IF(M174="per_request",N174,0)))</x:f>
        <x:v>0.6712328767123288</x:v>
      </x:c>
      <x:c r="Q174" s="26" t="n">
        <x:f>O174*D174</x:f>
        <x:v>0.3164547945205479</x:v>
      </x:c>
      <x:c r="R174" s="26" t="n">
        <x:f>Q174-P174</x:f>
        <x:v>-0.35477808219178086</x:v>
      </x:c>
      <x:c r="S174" s="29" t="n">
        <x:f>IF(Q174=0,"",R174/Q174)</x:f>
        <x:v>-1.1211019340986617</x:v>
      </x:c>
      <x:c r="T174" s="23" t="str">
        <x:f>IF(OR(B174="",C174=""),"pending",IF(OR(O174&lt;0,P174&lt;0),"settlement_failed","settled"))</x:f>
        <x:v>settled</x:v>
      </x:c>
      <x:c r="U174" s="7" t="str">
        <x:v>源行=sd!94；自动利润预览；分组倍率可改为用户折扣</x:v>
      </x:c>
    </x:row>
    <x:row r="175" ht="26.350000381469727" customHeight="1">
      <x:c r="A175" s="19" t="str">
        <x:v>CASE-MEGABYAI-R94-480-REQ-VID</x:v>
      </x:c>
      <x:c r="B175" s="19" t="str">
        <x:v>SALE-SD20-STD-480-VID</x:v>
      </x:c>
      <x:c r="C175" s="19" t="str">
        <x:v>COST-MEGABYAI-R94-480-REQ-VID</x:v>
      </x:c>
      <x:c r="D175" s="28" t="n">
        <x:v>1</x:v>
      </x:c>
      <x:c r="E175" s="28" t="n">
        <x:v>3</x:v>
      </x:c>
      <x:c r="F175" s="28" t="n">
        <x:v>5</x:v>
      </x:c>
      <x:c r="G175" s="23" t="str">
        <x:f>IFERROR(INDEX('官方售价'!$C$5:$C$204,MATCH(B175,'官方售价'!$A$5:$A$204,0)),"")</x:f>
        <x:v>SKU-SD20-STD-480</x:v>
      </x:c>
      <x:c r="H175" s="23" t="str">
        <x:f>IFERROR(INDEX('官方售价'!$D$5:$D$204,MATCH(B175,'官方售价'!$A$5:$A$204,0)),"")</x:f>
        <x:v>with_video</x:v>
      </x:c>
      <x:c r="I175" s="23" t="n">
        <x:f>IFERROR(INDEX('官方售价'!$H$5:$H$204,MATCH(B175,'官方售价'!$A$5:$A$204,0)),0)</x:f>
        <x:v>864</x:v>
      </x:c>
      <x:c r="J175" s="23" t="n">
        <x:f>IFERROR(INDEX('官方售价'!$I$5:$I$204,MATCH(B175,'官方售价'!$A$5:$A$204,0)),0)</x:f>
        <x:v>496</x:v>
      </x:c>
      <x:c r="K175" s="23" t="n">
        <x:f>IFERROR(INDEX('官方售价'!$J$5:$J$204,MATCH(B175,'官方售价'!$A$5:$A$204,0)),0)</x:f>
        <x:v>24</x:v>
      </x:c>
      <x:c r="L175" s="25" t="n">
        <x:f>(E175+F175)*I175*J175*K175/'参数'!$B$7</x:f>
        <x:v>80352</x:v>
      </x:c>
      <x:c r="M175" s="23" t="str">
        <x:f>IFERROR(INDEX('渠道成本'!$F$5:$F$1004,MATCH(C175,'渠道成本'!$A$5:$A$1004,0)),"")</x:f>
        <x:v>per_request</x:v>
      </x:c>
      <x:c r="N175" s="26" t="n">
        <x:f>IFERROR(INDEX('渠道成本'!$U$5:$U$1004,MATCH(C175,'渠道成本'!$A$5:$A$1004,0)),0)</x:f>
        <x:v>0.6712328767123288</x:v>
      </x:c>
      <x:c r="O175" s="26" t="n">
        <x:f>IFERROR(L175/'参数'!$B$8*INDEX('官方售价'!$M$5:$M$204,MATCH(B175,'官方售价'!$A$5:$A$204,0)),0)</x:f>
        <x:v>0.30819945205479454</x:v>
      </x:c>
      <x:c r="P175" s="26" t="n">
        <x:f>IF(M175="per_token",L175/'参数'!$B$8*N175,IF(M175="per_duration",F175*N175,IF(M175="per_request",N175,0)))</x:f>
        <x:v>0.6712328767123288</x:v>
      </x:c>
      <x:c r="Q175" s="26" t="n">
        <x:f>O175*D175</x:f>
        <x:v>0.30819945205479454</x:v>
      </x:c>
      <x:c r="R175" s="26" t="n">
        <x:f>Q175-P175</x:f>
        <x:v>-0.36303342465753424</x:v>
      </x:c>
      <x:c r="S175" s="29" t="n">
        <x:f>IF(Q175=0,"",R175/Q175)</x:f>
        <x:v>-1.1779171644763042</x:v>
      </x:c>
      <x:c r="T175" s="23" t="str">
        <x:f>IF(OR(B175="",C175=""),"pending",IF(OR(O175&lt;0,P175&lt;0),"settlement_failed","settled"))</x:f>
        <x:v>settled</x:v>
      </x:c>
      <x:c r="U175" s="7" t="str">
        <x:v>源行=sd!94；自动利润预览；分组倍率可改为用户折扣</x:v>
      </x:c>
    </x:row>
    <x:row r="176" ht="26.350000381469727" customHeight="1">
      <x:c r="A176" s="19" t="str">
        <x:v>CASE-MEGABYAI-R95-720-REQ-NOV</x:v>
      </x:c>
      <x:c r="B176" s="19" t="str">
        <x:v>SALE-SD20-STD-720-NOV</x:v>
      </x:c>
      <x:c r="C176" s="19" t="str">
        <x:v>COST-MEGABYAI-R95-720-REQ-NOV</x:v>
      </x:c>
      <x:c r="D176" s="28" t="n">
        <x:v>1</x:v>
      </x:c>
      <x:c r="E176" s="28" t="n">
        <x:v>0</x:v>
      </x:c>
      <x:c r="F176" s="28" t="n">
        <x:v>5</x:v>
      </x:c>
      <x:c r="G176" s="23" t="str">
        <x:f>IFERROR(INDEX('官方售价'!$C$5:$C$204,MATCH(B176,'官方售价'!$A$5:$A$204,0)),"")</x:f>
        <x:v>SKU-SD20-STD-720</x:v>
      </x:c>
      <x:c r="H176" s="23" t="str">
        <x:f>IFERROR(INDEX('官方售价'!$D$5:$D$204,MATCH(B176,'官方售价'!$A$5:$A$204,0)),"")</x:f>
        <x:v>no_video</x:v>
      </x:c>
      <x:c r="I176" s="23" t="n">
        <x:f>IFERROR(INDEX('官方售价'!$H$5:$H$204,MATCH(B176,'官方售价'!$A$5:$A$204,0)),0)</x:f>
        <x:v>1280</x:v>
      </x:c>
      <x:c r="J176" s="23" t="n">
        <x:f>IFERROR(INDEX('官方售价'!$I$5:$I$204,MATCH(B176,'官方售价'!$A$5:$A$204,0)),0)</x:f>
        <x:v>720</x:v>
      </x:c>
      <x:c r="K176" s="23" t="n">
        <x:f>IFERROR(INDEX('官方售价'!$J$5:$J$204,MATCH(B176,'官方售价'!$A$5:$A$204,0)),0)</x:f>
        <x:v>24</x:v>
      </x:c>
      <x:c r="L176" s="25" t="n">
        <x:f>(E176+F176)*I176*J176*K176/'参数'!$B$7</x:f>
        <x:v>108000</x:v>
      </x:c>
      <x:c r="M176" s="23" t="str">
        <x:f>IFERROR(INDEX('渠道成本'!$F$5:$F$1004,MATCH(C176,'渠道成本'!$A$5:$A$1004,0)),"")</x:f>
        <x:v>per_request</x:v>
      </x:c>
      <x:c r="N176" s="26" t="n">
        <x:f>IFERROR(INDEX('渠道成本'!$U$5:$U$1004,MATCH(C176,'渠道成本'!$A$5:$A$1004,0)),0)</x:f>
        <x:v>0.958904109589041</x:v>
      </x:c>
      <x:c r="O176" s="26" t="n">
        <x:f>IFERROR(L176/'参数'!$B$8*INDEX('官方售价'!$M$5:$M$204,MATCH(B176,'官方售价'!$A$5:$A$204,0)),0)</x:f>
        <x:v>0.6805479452054793</x:v>
      </x:c>
      <x:c r="P176" s="26" t="n">
        <x:f>IF(M176="per_token",L176/'参数'!$B$8*N176,IF(M176="per_duration",F176*N176,IF(M176="per_request",N176,0)))</x:f>
        <x:v>0.958904109589041</x:v>
      </x:c>
      <x:c r="Q176" s="26" t="n">
        <x:f>O176*D176</x:f>
        <x:v>0.6805479452054793</x:v>
      </x:c>
      <x:c r="R176" s="26" t="n">
        <x:f>Q176-P176</x:f>
        <x:v>-0.2783561643835617</x:v>
      </x:c>
      <x:c r="S176" s="29" t="n">
        <x:f>IF(Q176=0,"",R176/Q176)</x:f>
        <x:v>-0.4090177133655396</x:v>
      </x:c>
      <x:c r="T176" s="23" t="str">
        <x:f>IF(OR(B176="",C176=""),"pending",IF(OR(O176&lt;0,P176&lt;0),"settlement_failed","settled"))</x:f>
        <x:v>settled</x:v>
      </x:c>
      <x:c r="U176" s="7" t="str">
        <x:v>源行=sd!95；自动利润预览；分组倍率可改为用户折扣</x:v>
      </x:c>
    </x:row>
    <x:row r="177" ht="26.350000381469727" customHeight="1">
      <x:c r="A177" s="19" t="str">
        <x:v>CASE-MEGABYAI-R95-720-REQ-VID</x:v>
      </x:c>
      <x:c r="B177" s="19" t="str">
        <x:v>SALE-SD20-STD-720-VID</x:v>
      </x:c>
      <x:c r="C177" s="19" t="str">
        <x:v>COST-MEGABYAI-R95-720-REQ-VID</x:v>
      </x:c>
      <x:c r="D177" s="28" t="n">
        <x:v>1</x:v>
      </x:c>
      <x:c r="E177" s="28" t="n">
        <x:v>3</x:v>
      </x:c>
      <x:c r="F177" s="28" t="n">
        <x:v>5</x:v>
      </x:c>
      <x:c r="G177" s="23" t="str">
        <x:f>IFERROR(INDEX('官方售价'!$C$5:$C$204,MATCH(B177,'官方售价'!$A$5:$A$204,0)),"")</x:f>
        <x:v>SKU-SD20-STD-720</x:v>
      </x:c>
      <x:c r="H177" s="23" t="str">
        <x:f>IFERROR(INDEX('官方售价'!$D$5:$D$204,MATCH(B177,'官方售价'!$A$5:$A$204,0)),"")</x:f>
        <x:v>with_video</x:v>
      </x:c>
      <x:c r="I177" s="23" t="n">
        <x:f>IFERROR(INDEX('官方售价'!$H$5:$H$204,MATCH(B177,'官方售价'!$A$5:$A$204,0)),0)</x:f>
        <x:v>1280</x:v>
      </x:c>
      <x:c r="J177" s="23" t="n">
        <x:f>IFERROR(INDEX('官方售价'!$I$5:$I$204,MATCH(B177,'官方售价'!$A$5:$A$204,0)),0)</x:f>
        <x:v>720</x:v>
      </x:c>
      <x:c r="K177" s="23" t="n">
        <x:f>IFERROR(INDEX('官方售价'!$J$5:$J$204,MATCH(B177,'官方售价'!$A$5:$A$204,0)),0)</x:f>
        <x:v>24</x:v>
      </x:c>
      <x:c r="L177" s="25" t="n">
        <x:f>(E177+F177)*I177*J177*K177/'参数'!$B$7</x:f>
        <x:v>172800</x:v>
      </x:c>
      <x:c r="M177" s="23" t="str">
        <x:f>IFERROR(INDEX('渠道成本'!$F$5:$F$1004,MATCH(C177,'渠道成本'!$A$5:$A$1004,0)),"")</x:f>
        <x:v>per_request</x:v>
      </x:c>
      <x:c r="N177" s="26" t="n">
        <x:f>IFERROR(INDEX('渠道成本'!$U$5:$U$1004,MATCH(C177,'渠道成本'!$A$5:$A$1004,0)),0)</x:f>
        <x:v>0.958904109589041</x:v>
      </x:c>
      <x:c r="O177" s="26" t="n">
        <x:f>IFERROR(L177/'参数'!$B$8*INDEX('官方售价'!$M$5:$M$204,MATCH(B177,'官方售价'!$A$5:$A$204,0)),0)</x:f>
        <x:v>0.6627945205479452</x:v>
      </x:c>
      <x:c r="P177" s="26" t="n">
        <x:f>IF(M177="per_token",L177/'参数'!$B$8*N177,IF(M177="per_duration",F177*N177,IF(M177="per_request",N177,0)))</x:f>
        <x:v>0.958904109589041</x:v>
      </x:c>
      <x:c r="Q177" s="26" t="n">
        <x:f>O177*D177</x:f>
        <x:v>0.6627945205479452</x:v>
      </x:c>
      <x:c r="R177" s="26" t="n">
        <x:f>Q177-P177</x:f>
        <x:v>-0.29610958904109586</x:v>
      </x:c>
      <x:c r="S177" s="29" t="n">
        <x:f>IF(Q177=0,"",R177/Q177)</x:f>
        <x:v>-0.44675925925925924</x:v>
      </x:c>
      <x:c r="T177" s="23" t="str">
        <x:f>IF(OR(B177="",C177=""),"pending",IF(OR(O177&lt;0,P177&lt;0),"settlement_failed","settled"))</x:f>
        <x:v>settled</x:v>
      </x:c>
      <x:c r="U177" s="7" t="str">
        <x:v>源行=sd!95；自动利润预览；分组倍率可改为用户折扣</x:v>
      </x:c>
    </x:row>
    <x:row r="178" ht="26.350000381469727" customHeight="1">
      <x:c r="A178" s="19" t="str">
        <x:v>CASE-MEGABYAI-R96-1080-SEC-NOV</x:v>
      </x:c>
      <x:c r="B178" s="19" t="str">
        <x:v>SALE-SD20-STD-1080-NOV</x:v>
      </x:c>
      <x:c r="C178" s="19" t="str">
        <x:v>COST-MEGABYAI-R96-1080-SEC-NOV</x:v>
      </x:c>
      <x:c r="D178" s="28" t="n">
        <x:v>1</x:v>
      </x:c>
      <x:c r="E178" s="28" t="n">
        <x:v>0</x:v>
      </x:c>
      <x:c r="F178" s="28" t="n">
        <x:v>5</x:v>
      </x:c>
      <x:c r="G178" s="23" t="str">
        <x:f>IFERROR(INDEX('官方售价'!$C$5:$C$204,MATCH(B178,'官方售价'!$A$5:$A$204,0)),"")</x:f>
        <x:v>SKU-SD20-STD-1080</x:v>
      </x:c>
      <x:c r="H178" s="23" t="str">
        <x:f>IFERROR(INDEX('官方售价'!$D$5:$D$204,MATCH(B178,'官方售价'!$A$5:$A$204,0)),"")</x:f>
        <x:v>no_video</x:v>
      </x:c>
      <x:c r="I178" s="23" t="n">
        <x:f>IFERROR(INDEX('官方售价'!$H$5:$H$204,MATCH(B178,'官方售价'!$A$5:$A$204,0)),0)</x:f>
        <x:v>1920</x:v>
      </x:c>
      <x:c r="J178" s="23" t="n">
        <x:f>IFERROR(INDEX('官方售价'!$I$5:$I$204,MATCH(B178,'官方售价'!$A$5:$A$204,0)),0)</x:f>
        <x:v>1080</x:v>
      </x:c>
      <x:c r="K178" s="23" t="n">
        <x:f>IFERROR(INDEX('官方售价'!$J$5:$J$204,MATCH(B178,'官方售价'!$A$5:$A$204,0)),0)</x:f>
        <x:v>24</x:v>
      </x:c>
      <x:c r="L178" s="25" t="n">
        <x:f>(E178+F178)*I178*J178*K178/'参数'!$B$7</x:f>
        <x:v>243000</x:v>
      </x:c>
      <x:c r="M178" s="23" t="str">
        <x:f>IFERROR(INDEX('渠道成本'!$F$5:$F$1004,MATCH(C178,'渠道成本'!$A$5:$A$1004,0)),"")</x:f>
        <x:v>per_duration</x:v>
      </x:c>
      <x:c r="N178" s="26" t="n">
        <x:f>IFERROR(INDEX('渠道成本'!$U$5:$U$1004,MATCH(C178,'渠道成本'!$A$5:$A$1004,0)),0)</x:f>
        <x:v>0.11506849315068492</x:v>
      </x:c>
      <x:c r="O178" s="26" t="n">
        <x:f>IFERROR(L178/'参数'!$B$8*INDEX('官方售价'!$M$5:$M$204,MATCH(B178,'官方售价'!$A$5:$A$204,0)),0)</x:f>
        <x:v>1.697671232876712</x:v>
      </x:c>
      <x:c r="P178" s="26" t="n">
        <x:f>IF(M178="per_token",L178/'参数'!$B$8*N178,IF(M178="per_duration",F178*N178,IF(M178="per_request",N178,0)))</x:f>
        <x:v>0.5753424657534246</x:v>
      </x:c>
      <x:c r="Q178" s="26" t="n">
        <x:f>O178*D178</x:f>
        <x:v>1.697671232876712</x:v>
      </x:c>
      <x:c r="R178" s="26" t="n">
        <x:f>Q178-P178</x:f>
        <x:v>1.1223287671232876</x:v>
      </x:c>
      <x:c r="S178" s="29" t="n">
        <x:f>IF(Q178=0,"",R178/Q178)</x:f>
        <x:v>0.6610990075042363</x:v>
      </x:c>
      <x:c r="T178" s="23" t="str">
        <x:f>IF(OR(B178="",C178=""),"pending",IF(OR(O178&lt;0,P178&lt;0),"settlement_failed","settled"))</x:f>
        <x:v>settled</x:v>
      </x:c>
      <x:c r="U178" s="7" t="str">
        <x:v>源行=sd!96；自动利润预览；分组倍率可改为用户折扣</x:v>
      </x:c>
    </x:row>
    <x:row r="179" ht="26.350000381469727" customHeight="1">
      <x:c r="A179" s="19" t="str">
        <x:v>CASE-MEGABYAI-R96-1080-SEC-VID</x:v>
      </x:c>
      <x:c r="B179" s="19" t="str">
        <x:v>SALE-SD20-STD-1080-VID</x:v>
      </x:c>
      <x:c r="C179" s="19" t="str">
        <x:v>COST-MEGABYAI-R96-1080-SEC-VID</x:v>
      </x:c>
      <x:c r="D179" s="28" t="n">
        <x:v>1</x:v>
      </x:c>
      <x:c r="E179" s="28" t="n">
        <x:v>3</x:v>
      </x:c>
      <x:c r="F179" s="28" t="n">
        <x:v>5</x:v>
      </x:c>
      <x:c r="G179" s="23" t="str">
        <x:f>IFERROR(INDEX('官方售价'!$C$5:$C$204,MATCH(B179,'官方售价'!$A$5:$A$204,0)),"")</x:f>
        <x:v>SKU-SD20-STD-1080</x:v>
      </x:c>
      <x:c r="H179" s="23" t="str">
        <x:f>IFERROR(INDEX('官方售价'!$D$5:$D$204,MATCH(B179,'官方售价'!$A$5:$A$204,0)),"")</x:f>
        <x:v>with_video</x:v>
      </x:c>
      <x:c r="I179" s="23" t="n">
        <x:f>IFERROR(INDEX('官方售价'!$H$5:$H$204,MATCH(B179,'官方售价'!$A$5:$A$204,0)),0)</x:f>
        <x:v>1920</x:v>
      </x:c>
      <x:c r="J179" s="23" t="n">
        <x:f>IFERROR(INDEX('官方售价'!$I$5:$I$204,MATCH(B179,'官方售价'!$A$5:$A$204,0)),0)</x:f>
        <x:v>1080</x:v>
      </x:c>
      <x:c r="K179" s="23" t="n">
        <x:f>IFERROR(INDEX('官方售价'!$J$5:$J$204,MATCH(B179,'官方售价'!$A$5:$A$204,0)),0)</x:f>
        <x:v>24</x:v>
      </x:c>
      <x:c r="L179" s="25" t="n">
        <x:f>(E179+F179)*I179*J179*K179/'参数'!$B$7</x:f>
        <x:v>388800</x:v>
      </x:c>
      <x:c r="M179" s="23" t="str">
        <x:f>IFERROR(INDEX('渠道成本'!$F$5:$F$1004,MATCH(C179,'渠道成本'!$A$5:$A$1004,0)),"")</x:f>
        <x:v>per_duration</x:v>
      </x:c>
      <x:c r="N179" s="26" t="n">
        <x:f>IFERROR(INDEX('渠道成本'!$U$5:$U$1004,MATCH(C179,'渠道成本'!$A$5:$A$1004,0)),0)</x:f>
        <x:v>0.11506849315068492</x:v>
      </x:c>
      <x:c r="O179" s="26" t="n">
        <x:f>IFERROR(L179/'参数'!$B$8*INDEX('官方售价'!$M$5:$M$204,MATCH(B179,'官方售价'!$A$5:$A$204,0)),0)</x:f>
        <x:v>1.651068493150685</x:v>
      </x:c>
      <x:c r="P179" s="26" t="n">
        <x:f>IF(M179="per_token",L179/'参数'!$B$8*N179,IF(M179="per_duration",F179*N179,IF(M179="per_request",N179,0)))</x:f>
        <x:v>0.5753424657534246</x:v>
      </x:c>
      <x:c r="Q179" s="26" t="n">
        <x:f>O179*D179</x:f>
        <x:v>1.651068493150685</x:v>
      </x:c>
      <x:c r="R179" s="26" t="n">
        <x:f>Q179-P179</x:f>
        <x:v>1.0757260273972604</x:v>
      </x:c>
      <x:c r="S179" s="29" t="n">
        <x:f>IF(Q179=0,"",R179/Q179)</x:f>
        <x:v>0.6515332536837914</x:v>
      </x:c>
      <x:c r="T179" s="23" t="str">
        <x:f>IF(OR(B179="",C179=""),"pending",IF(OR(O179&lt;0,P179&lt;0),"settlement_failed","settled"))</x:f>
        <x:v>settled</x:v>
      </x:c>
      <x:c r="U179" s="7" t="str">
        <x:v>源行=sd!96；自动利润预览；分组倍率可改为用户折扣</x:v>
      </x:c>
    </x:row>
    <x:row r="180" ht="26.350000381469727" customHeight="1">
      <x:c r="A180" s="19" t="str">
        <x:v>CASE-MEGABYAI-R97-4K-SEC-NOV</x:v>
      </x:c>
      <x:c r="B180" s="19" t="str">
        <x:v>SALE-SD20-STD-4K-NOV</x:v>
      </x:c>
      <x:c r="C180" s="19" t="str">
        <x:v>COST-MEGABYAI-R97-4K-SEC-NOV</x:v>
      </x:c>
      <x:c r="D180" s="28" t="n">
        <x:v>1</x:v>
      </x:c>
      <x:c r="E180" s="28" t="n">
        <x:v>0</x:v>
      </x:c>
      <x:c r="F180" s="28" t="n">
        <x:v>5</x:v>
      </x:c>
      <x:c r="G180" s="23" t="str">
        <x:f>IFERROR(INDEX('官方售价'!$C$5:$C$204,MATCH(B180,'官方售价'!$A$5:$A$204,0)),"")</x:f>
        <x:v>SKU-SD20-STD-4K</x:v>
      </x:c>
      <x:c r="H180" s="23" t="str">
        <x:f>IFERROR(INDEX('官方售价'!$D$5:$D$204,MATCH(B180,'官方售价'!$A$5:$A$204,0)),"")</x:f>
        <x:v>no_video</x:v>
      </x:c>
      <x:c r="I180" s="23" t="n">
        <x:f>IFERROR(INDEX('官方售价'!$H$5:$H$204,MATCH(B180,'官方售价'!$A$5:$A$204,0)),0)</x:f>
        <x:v>3840</x:v>
      </x:c>
      <x:c r="J180" s="23" t="n">
        <x:f>IFERROR(INDEX('官方售价'!$I$5:$I$204,MATCH(B180,'官方售价'!$A$5:$A$204,0)),0)</x:f>
        <x:v>2160</x:v>
      </x:c>
      <x:c r="K180" s="23" t="n">
        <x:f>IFERROR(INDEX('官方售价'!$J$5:$J$204,MATCH(B180,'官方售价'!$A$5:$A$204,0)),0)</x:f>
        <x:v>24</x:v>
      </x:c>
      <x:c r="L180" s="25" t="n">
        <x:f>(E180+F180)*I180*J180*K180/'参数'!$B$7</x:f>
        <x:v>972000</x:v>
      </x:c>
      <x:c r="M180" s="23" t="str">
        <x:f>IFERROR(INDEX('渠道成本'!$F$5:$F$1004,MATCH(C180,'渠道成本'!$A$5:$A$1004,0)),"")</x:f>
        <x:v>per_duration</x:v>
      </x:c>
      <x:c r="N180" s="26" t="n">
        <x:f>IFERROR(INDEX('渠道成本'!$U$5:$U$1004,MATCH(C180,'渠道成本'!$A$5:$A$1004,0)),0)</x:f>
        <x:v>0.23013698630136983</x:v>
      </x:c>
      <x:c r="O180" s="26" t="n">
        <x:f>IFERROR(L180/'参数'!$B$8*INDEX('官方售价'!$M$5:$M$204,MATCH(B180,'官方售价'!$A$5:$A$204,0)),0)</x:f>
        <x:v>3.461917808219178</x:v>
      </x:c>
      <x:c r="P180" s="26" t="n">
        <x:f>IF(M180="per_token",L180/'参数'!$B$8*N180,IF(M180="per_duration",F180*N180,IF(M180="per_request",N180,0)))</x:f>
        <x:v>1.1506849315068493</x:v>
      </x:c>
      <x:c r="Q180" s="26" t="n">
        <x:f>O180*D180</x:f>
        <x:v>3.461917808219178</x:v>
      </x:c>
      <x:c r="R180" s="26" t="n">
        <x:f>Q180-P180</x:f>
        <x:v>2.311232876712329</x:v>
      </x:c>
      <x:c r="S180" s="29" t="n">
        <x:f>IF(Q180=0,"",R180/Q180)</x:f>
        <x:v>0.667616334283001</x:v>
      </x:c>
      <x:c r="T180" s="23" t="str">
        <x:f>IF(OR(B180="",C180=""),"pending",IF(OR(O180&lt;0,P180&lt;0),"settlement_failed","settled"))</x:f>
        <x:v>settled</x:v>
      </x:c>
      <x:c r="U180" s="7" t="str">
        <x:v>源行=sd!97；自动利润预览；分组倍率可改为用户折扣</x:v>
      </x:c>
    </x:row>
    <x:row r="181" ht="26.350000381469727" customHeight="1">
      <x:c r="A181" s="19" t="str">
        <x:v>CASE-MEGABYAI-R97-4K-SEC-VID</x:v>
      </x:c>
      <x:c r="B181" s="19" t="str">
        <x:v>SALE-SD20-STD-4K-VID</x:v>
      </x:c>
      <x:c r="C181" s="19" t="str">
        <x:v>COST-MEGABYAI-R97-4K-SEC-VID</x:v>
      </x:c>
      <x:c r="D181" s="28" t="n">
        <x:v>1</x:v>
      </x:c>
      <x:c r="E181" s="28" t="n">
        <x:v>3</x:v>
      </x:c>
      <x:c r="F181" s="28" t="n">
        <x:v>5</x:v>
      </x:c>
      <x:c r="G181" s="23" t="str">
        <x:f>IFERROR(INDEX('官方售价'!$C$5:$C$204,MATCH(B181,'官方售价'!$A$5:$A$204,0)),"")</x:f>
        <x:v>SKU-SD20-STD-4K</x:v>
      </x:c>
      <x:c r="H181" s="23" t="str">
        <x:f>IFERROR(INDEX('官方售价'!$D$5:$D$204,MATCH(B181,'官方售价'!$A$5:$A$204,0)),"")</x:f>
        <x:v>with_video</x:v>
      </x:c>
      <x:c r="I181" s="23" t="n">
        <x:f>IFERROR(INDEX('官方售价'!$H$5:$H$204,MATCH(B181,'官方售价'!$A$5:$A$204,0)),0)</x:f>
        <x:v>3840</x:v>
      </x:c>
      <x:c r="J181" s="23" t="n">
        <x:f>IFERROR(INDEX('官方售价'!$I$5:$I$204,MATCH(B181,'官方售价'!$A$5:$A$204,0)),0)</x:f>
        <x:v>2160</x:v>
      </x:c>
      <x:c r="K181" s="23" t="n">
        <x:f>IFERROR(INDEX('官方售价'!$J$5:$J$204,MATCH(B181,'官方售价'!$A$5:$A$204,0)),0)</x:f>
        <x:v>24</x:v>
      </x:c>
      <x:c r="L181" s="25" t="n">
        <x:f>(E181+F181)*I181*J181*K181/'参数'!$B$7</x:f>
        <x:v>1555200</x:v>
      </x:c>
      <x:c r="M181" s="23" t="str">
        <x:f>IFERROR(INDEX('渠道成本'!$F$5:$F$1004,MATCH(C181,'渠道成本'!$A$5:$A$1004,0)),"")</x:f>
        <x:v>per_duration</x:v>
      </x:c>
      <x:c r="N181" s="26" t="n">
        <x:f>IFERROR(INDEX('渠道成本'!$U$5:$U$1004,MATCH(C181,'渠道成本'!$A$5:$A$1004,0)),0)</x:f>
        <x:v>0.23013698630136983</x:v>
      </x:c>
      <x:c r="O181" s="26" t="n">
        <x:f>IFERROR(L181/'参数'!$B$8*INDEX('官方售价'!$M$5:$M$204,MATCH(B181,'官方售价'!$A$5:$A$204,0)),0)</x:f>
        <x:v>3.408657534246575</x:v>
      </x:c>
      <x:c r="P181" s="26" t="n">
        <x:f>IF(M181="per_token",L181/'参数'!$B$8*N181,IF(M181="per_duration",F181*N181,IF(M181="per_request",N181,0)))</x:f>
        <x:v>1.1506849315068493</x:v>
      </x:c>
      <x:c r="Q181" s="26" t="n">
        <x:f>O181*D181</x:f>
        <x:v>3.408657534246575</x:v>
      </x:c>
      <x:c r="R181" s="26" t="n">
        <x:f>Q181-P181</x:f>
        <x:v>2.2579726027397253</x:v>
      </x:c>
      <x:c r="S181" s="29" t="n">
        <x:f>IF(Q181=0,"",R181/Q181)</x:f>
        <x:v>0.6624228395061728</x:v>
      </x:c>
      <x:c r="T181" s="23" t="str">
        <x:f>IF(OR(B181="",C181=""),"pending",IF(OR(O181&lt;0,P181&lt;0),"settlement_failed","settled"))</x:f>
        <x:v>settled</x:v>
      </x:c>
      <x:c r="U181" s="7" t="str">
        <x:v>源行=sd!97；自动利润预览；分组倍率可改为用户折扣</x:v>
      </x:c>
    </x:row>
    <x:row r="182" ht="26.350000381469727" customHeight="1">
      <x:c r="A182" s="19" t="str">
        <x:v>CASE-MEGABYAI-R98-480-REQ-NOV</x:v>
      </x:c>
      <x:c r="B182" s="19" t="str">
        <x:v>SALE-SD20-STD-480-NOV</x:v>
      </x:c>
      <x:c r="C182" s="19" t="str">
        <x:v>COST-MEGABYAI-R98-480-REQ-NOV</x:v>
      </x:c>
      <x:c r="D182" s="28" t="n">
        <x:v>1</x:v>
      </x:c>
      <x:c r="E182" s="28" t="n">
        <x:v>0</x:v>
      </x:c>
      <x:c r="F182" s="28" t="n">
        <x:v>5</x:v>
      </x:c>
      <x:c r="G182" s="23" t="str">
        <x:f>IFERROR(INDEX('官方售价'!$C$5:$C$204,MATCH(B182,'官方售价'!$A$5:$A$204,0)),"")</x:f>
        <x:v>SKU-SD20-STD-480</x:v>
      </x:c>
      <x:c r="H182" s="23" t="str">
        <x:f>IFERROR(INDEX('官方售价'!$D$5:$D$204,MATCH(B182,'官方售价'!$A$5:$A$204,0)),"")</x:f>
        <x:v>no_video</x:v>
      </x:c>
      <x:c r="I182" s="23" t="n">
        <x:f>IFERROR(INDEX('官方售价'!$H$5:$H$204,MATCH(B182,'官方售价'!$A$5:$A$204,0)),0)</x:f>
        <x:v>864</x:v>
      </x:c>
      <x:c r="J182" s="23" t="n">
        <x:f>IFERROR(INDEX('官方售价'!$I$5:$I$204,MATCH(B182,'官方售价'!$A$5:$A$204,0)),0)</x:f>
        <x:v>496</x:v>
      </x:c>
      <x:c r="K182" s="23" t="n">
        <x:f>IFERROR(INDEX('官方售价'!$J$5:$J$204,MATCH(B182,'官方售价'!$A$5:$A$204,0)),0)</x:f>
        <x:v>24</x:v>
      </x:c>
      <x:c r="L182" s="25" t="n">
        <x:f>(E182+F182)*I182*J182*K182/'参数'!$B$7</x:f>
        <x:v>50220</x:v>
      </x:c>
      <x:c r="M182" s="23" t="str">
        <x:f>IFERROR(INDEX('渠道成本'!$F$5:$F$1004,MATCH(C182,'渠道成本'!$A$5:$A$1004,0)),"")</x:f>
        <x:v>per_request</x:v>
      </x:c>
      <x:c r="N182" s="26" t="n">
        <x:f>IFERROR(INDEX('渠道成本'!$U$5:$U$1004,MATCH(C182,'渠道成本'!$A$5:$A$1004,0)),0)</x:f>
        <x:v>0.2013698630136986</x:v>
      </x:c>
      <x:c r="O182" s="26" t="n">
        <x:f>IFERROR(L182/'参数'!$B$8*INDEX('官方售价'!$M$5:$M$204,MATCH(B182,'官方售价'!$A$5:$A$204,0)),0)</x:f>
        <x:v>0.3164547945205479</x:v>
      </x:c>
      <x:c r="P182" s="26" t="n">
        <x:f>IF(M182="per_token",L182/'参数'!$B$8*N182,IF(M182="per_duration",F182*N182,IF(M182="per_request",N182,0)))</x:f>
        <x:v>0.2013698630136986</x:v>
      </x:c>
      <x:c r="Q182" s="26" t="n">
        <x:f>O182*D182</x:f>
        <x:v>0.3164547945205479</x:v>
      </x:c>
      <x:c r="R182" s="26" t="n">
        <x:f>Q182-P182</x:f>
        <x:v>0.11508493150684931</x:v>
      </x:c>
      <x:c r="S182" s="29" t="n">
        <x:f>IF(Q182=0,"",R182/Q182)</x:f>
        <x:v>0.36366941977040157</x:v>
      </x:c>
      <x:c r="T182" s="23" t="str">
        <x:f>IF(OR(B182="",C182=""),"pending",IF(OR(O182&lt;0,P182&lt;0),"settlement_failed","settled"))</x:f>
        <x:v>settled</x:v>
      </x:c>
      <x:c r="U182" s="7" t="str">
        <x:v>源行=sd!98；自动利润预览；分组倍率可改为用户折扣</x:v>
      </x:c>
    </x:row>
    <x:row r="183" ht="26.350000381469727" customHeight="1">
      <x:c r="A183" s="19" t="str">
        <x:v>CASE-MEGABYAI-R98-480-REQ-VID</x:v>
      </x:c>
      <x:c r="B183" s="19" t="str">
        <x:v>SALE-SD20-STD-480-VID</x:v>
      </x:c>
      <x:c r="C183" s="19" t="str">
        <x:v>COST-MEGABYAI-R98-480-REQ-VID</x:v>
      </x:c>
      <x:c r="D183" s="28" t="n">
        <x:v>1</x:v>
      </x:c>
      <x:c r="E183" s="28" t="n">
        <x:v>3</x:v>
      </x:c>
      <x:c r="F183" s="28" t="n">
        <x:v>5</x:v>
      </x:c>
      <x:c r="G183" s="23" t="str">
        <x:f>IFERROR(INDEX('官方售价'!$C$5:$C$204,MATCH(B183,'官方售价'!$A$5:$A$204,0)),"")</x:f>
        <x:v>SKU-SD20-STD-480</x:v>
      </x:c>
      <x:c r="H183" s="23" t="str">
        <x:f>IFERROR(INDEX('官方售价'!$D$5:$D$204,MATCH(B183,'官方售价'!$A$5:$A$204,0)),"")</x:f>
        <x:v>with_video</x:v>
      </x:c>
      <x:c r="I183" s="23" t="n">
        <x:f>IFERROR(INDEX('官方售价'!$H$5:$H$204,MATCH(B183,'官方售价'!$A$5:$A$204,0)),0)</x:f>
        <x:v>864</x:v>
      </x:c>
      <x:c r="J183" s="23" t="n">
        <x:f>IFERROR(INDEX('官方售价'!$I$5:$I$204,MATCH(B183,'官方售价'!$A$5:$A$204,0)),0)</x:f>
        <x:v>496</x:v>
      </x:c>
      <x:c r="K183" s="23" t="n">
        <x:f>IFERROR(INDEX('官方售价'!$J$5:$J$204,MATCH(B183,'官方售价'!$A$5:$A$204,0)),0)</x:f>
        <x:v>24</x:v>
      </x:c>
      <x:c r="L183" s="25" t="n">
        <x:f>(E183+F183)*I183*J183*K183/'参数'!$B$7</x:f>
        <x:v>80352</x:v>
      </x:c>
      <x:c r="M183" s="23" t="str">
        <x:f>IFERROR(INDEX('渠道成本'!$F$5:$F$1004,MATCH(C183,'渠道成本'!$A$5:$A$1004,0)),"")</x:f>
        <x:v>per_request</x:v>
      </x:c>
      <x:c r="N183" s="26" t="n">
        <x:f>IFERROR(INDEX('渠道成本'!$U$5:$U$1004,MATCH(C183,'渠道成本'!$A$5:$A$1004,0)),0)</x:f>
        <x:v>0.2013698630136986</x:v>
      </x:c>
      <x:c r="O183" s="26" t="n">
        <x:f>IFERROR(L183/'参数'!$B$8*INDEX('官方售价'!$M$5:$M$204,MATCH(B183,'官方售价'!$A$5:$A$204,0)),0)</x:f>
        <x:v>0.30819945205479454</x:v>
      </x:c>
      <x:c r="P183" s="26" t="n">
        <x:f>IF(M183="per_token",L183/'参数'!$B$8*N183,IF(M183="per_duration",F183*N183,IF(M183="per_request",N183,0)))</x:f>
        <x:v>0.2013698630136986</x:v>
      </x:c>
      <x:c r="Q183" s="26" t="n">
        <x:f>O183*D183</x:f>
        <x:v>0.30819945205479454</x:v>
      </x:c>
      <x:c r="R183" s="26" t="n">
        <x:f>Q183-P183</x:f>
        <x:v>0.10682958904109593</x:v>
      </x:c>
      <x:c r="S183" s="29" t="n">
        <x:f>IF(Q183=0,"",R183/Q183)</x:f>
        <x:v>0.34662485065710885</x:v>
      </x:c>
      <x:c r="T183" s="23" t="str">
        <x:f>IF(OR(B183="",C183=""),"pending",IF(OR(O183&lt;0,P183&lt;0),"settlement_failed","settled"))</x:f>
        <x:v>settled</x:v>
      </x:c>
      <x:c r="U183" s="7" t="str">
        <x:v>源行=sd!98；自动利润预览；分组倍率可改为用户折扣</x:v>
      </x:c>
    </x:row>
    <x:row r="184" ht="26.350000381469727" customHeight="1">
      <x:c r="A184" s="19" t="str">
        <x:v>CASE-MEGABYAI-R99-720-REQ-NOV</x:v>
      </x:c>
      <x:c r="B184" s="19" t="str">
        <x:v>SALE-SD20-STD-720-NOV</x:v>
      </x:c>
      <x:c r="C184" s="19" t="str">
        <x:v>COST-MEGABYAI-R99-720-REQ-NOV</x:v>
      </x:c>
      <x:c r="D184" s="28" t="n">
        <x:v>1</x:v>
      </x:c>
      <x:c r="E184" s="28" t="n">
        <x:v>0</x:v>
      </x:c>
      <x:c r="F184" s="28" t="n">
        <x:v>5</x:v>
      </x:c>
      <x:c r="G184" s="23" t="str">
        <x:f>IFERROR(INDEX('官方售价'!$C$5:$C$204,MATCH(B184,'官方售价'!$A$5:$A$204,0)),"")</x:f>
        <x:v>SKU-SD20-STD-720</x:v>
      </x:c>
      <x:c r="H184" s="23" t="str">
        <x:f>IFERROR(INDEX('官方售价'!$D$5:$D$204,MATCH(B184,'官方售价'!$A$5:$A$204,0)),"")</x:f>
        <x:v>no_video</x:v>
      </x:c>
      <x:c r="I184" s="23" t="n">
        <x:f>IFERROR(INDEX('官方售价'!$H$5:$H$204,MATCH(B184,'官方售价'!$A$5:$A$204,0)),0)</x:f>
        <x:v>1280</x:v>
      </x:c>
      <x:c r="J184" s="23" t="n">
        <x:f>IFERROR(INDEX('官方售价'!$I$5:$I$204,MATCH(B184,'官方售价'!$A$5:$A$204,0)),0)</x:f>
        <x:v>720</x:v>
      </x:c>
      <x:c r="K184" s="23" t="n">
        <x:f>IFERROR(INDEX('官方售价'!$J$5:$J$204,MATCH(B184,'官方售价'!$A$5:$A$204,0)),0)</x:f>
        <x:v>24</x:v>
      </x:c>
      <x:c r="L184" s="25" t="n">
        <x:f>(E184+F184)*I184*J184*K184/'参数'!$B$7</x:f>
        <x:v>108000</x:v>
      </x:c>
      <x:c r="M184" s="23" t="str">
        <x:f>IFERROR(INDEX('渠道成本'!$F$5:$F$1004,MATCH(C184,'渠道成本'!$A$5:$A$1004,0)),"")</x:f>
        <x:v>per_request</x:v>
      </x:c>
      <x:c r="N184" s="26" t="n">
        <x:f>IFERROR(INDEX('渠道成本'!$U$5:$U$1004,MATCH(C184,'渠道成本'!$A$5:$A$1004,0)),0)</x:f>
        <x:v>0.2876712328767123</x:v>
      </x:c>
      <x:c r="O184" s="26" t="n">
        <x:f>IFERROR(L184/'参数'!$B$8*INDEX('官方售价'!$M$5:$M$204,MATCH(B184,'官方售价'!$A$5:$A$204,0)),0)</x:f>
        <x:v>0.6805479452054793</x:v>
      </x:c>
      <x:c r="P184" s="26" t="n">
        <x:f>IF(M184="per_token",L184/'参数'!$B$8*N184,IF(M184="per_duration",F184*N184,IF(M184="per_request",N184,0)))</x:f>
        <x:v>0.2876712328767123</x:v>
      </x:c>
      <x:c r="Q184" s="26" t="n">
        <x:f>O184*D184</x:f>
        <x:v>0.6805479452054793</x:v>
      </x:c>
      <x:c r="R184" s="26" t="n">
        <x:f>Q184-P184</x:f>
        <x:v>0.39287671232876703</x:v>
      </x:c>
      <x:c r="S184" s="29" t="n">
        <x:f>IF(Q184=0,"",R184/Q184)</x:f>
        <x:v>0.5772946859903382</x:v>
      </x:c>
      <x:c r="T184" s="23" t="str">
        <x:f>IF(OR(B184="",C184=""),"pending",IF(OR(O184&lt;0,P184&lt;0),"settlement_failed","settled"))</x:f>
        <x:v>settled</x:v>
      </x:c>
      <x:c r="U184" s="7" t="str">
        <x:v>源行=sd!99；自动利润预览；分组倍率可改为用户折扣</x:v>
      </x:c>
    </x:row>
    <x:row r="185" ht="26.350000381469727" customHeight="1">
      <x:c r="A185" s="19" t="str">
        <x:v>CASE-MEGABYAI-R99-720-REQ-VID</x:v>
      </x:c>
      <x:c r="B185" s="19" t="str">
        <x:v>SALE-SD20-STD-720-VID</x:v>
      </x:c>
      <x:c r="C185" s="19" t="str">
        <x:v>COST-MEGABYAI-R99-720-REQ-VID</x:v>
      </x:c>
      <x:c r="D185" s="28" t="n">
        <x:v>1</x:v>
      </x:c>
      <x:c r="E185" s="28" t="n">
        <x:v>3</x:v>
      </x:c>
      <x:c r="F185" s="28" t="n">
        <x:v>5</x:v>
      </x:c>
      <x:c r="G185" s="23" t="str">
        <x:f>IFERROR(INDEX('官方售价'!$C$5:$C$204,MATCH(B185,'官方售价'!$A$5:$A$204,0)),"")</x:f>
        <x:v>SKU-SD20-STD-720</x:v>
      </x:c>
      <x:c r="H185" s="23" t="str">
        <x:f>IFERROR(INDEX('官方售价'!$D$5:$D$204,MATCH(B185,'官方售价'!$A$5:$A$204,0)),"")</x:f>
        <x:v>with_video</x:v>
      </x:c>
      <x:c r="I185" s="23" t="n">
        <x:f>IFERROR(INDEX('官方售价'!$H$5:$H$204,MATCH(B185,'官方售价'!$A$5:$A$204,0)),0)</x:f>
        <x:v>1280</x:v>
      </x:c>
      <x:c r="J185" s="23" t="n">
        <x:f>IFERROR(INDEX('官方售价'!$I$5:$I$204,MATCH(B185,'官方售价'!$A$5:$A$204,0)),0)</x:f>
        <x:v>720</x:v>
      </x:c>
      <x:c r="K185" s="23" t="n">
        <x:f>IFERROR(INDEX('官方售价'!$J$5:$J$204,MATCH(B185,'官方售价'!$A$5:$A$204,0)),0)</x:f>
        <x:v>24</x:v>
      </x:c>
      <x:c r="L185" s="25" t="n">
        <x:f>(E185+F185)*I185*J185*K185/'参数'!$B$7</x:f>
        <x:v>172800</x:v>
      </x:c>
      <x:c r="M185" s="23" t="str">
        <x:f>IFERROR(INDEX('渠道成本'!$F$5:$F$1004,MATCH(C185,'渠道成本'!$A$5:$A$1004,0)),"")</x:f>
        <x:v>per_request</x:v>
      </x:c>
      <x:c r="N185" s="26" t="n">
        <x:f>IFERROR(INDEX('渠道成本'!$U$5:$U$1004,MATCH(C185,'渠道成本'!$A$5:$A$1004,0)),0)</x:f>
        <x:v>0.2876712328767123</x:v>
      </x:c>
      <x:c r="O185" s="26" t="n">
        <x:f>IFERROR(L185/'参数'!$B$8*INDEX('官方售价'!$M$5:$M$204,MATCH(B185,'官方售价'!$A$5:$A$204,0)),0)</x:f>
        <x:v>0.6627945205479452</x:v>
      </x:c>
      <x:c r="P185" s="26" t="n">
        <x:f>IF(M185="per_token",L185/'参数'!$B$8*N185,IF(M185="per_duration",F185*N185,IF(M185="per_request",N185,0)))</x:f>
        <x:v>0.2876712328767123</x:v>
      </x:c>
      <x:c r="Q185" s="26" t="n">
        <x:f>O185*D185</x:f>
        <x:v>0.6627945205479452</x:v>
      </x:c>
      <x:c r="R185" s="26" t="n">
        <x:f>Q185-P185</x:f>
        <x:v>0.3751232876712329</x:v>
      </x:c>
      <x:c r="S185" s="29" t="n">
        <x:f>IF(Q185=0,"",R185/Q185)</x:f>
        <x:v>0.5659722222222222</x:v>
      </x:c>
      <x:c r="T185" s="23" t="str">
        <x:f>IF(OR(B185="",C185=""),"pending",IF(OR(O185&lt;0,P185&lt;0),"settlement_failed","settled"))</x:f>
        <x:v>settled</x:v>
      </x:c>
      <x:c r="U185" s="7" t="str">
        <x:v>源行=sd!99；自动利润预览；分组倍率可改为用户折扣</x:v>
      </x:c>
    </x:row>
    <x:row r="186" ht="26.350000381469727" customHeight="1">
      <x:c r="A186" s="19" t="str">
        <x:v>CASE-MEGABYAI-R100-1080-SEC-NOV</x:v>
      </x:c>
      <x:c r="B186" s="19" t="str">
        <x:v>SALE-SD20-STD-1080-NOV</x:v>
      </x:c>
      <x:c r="C186" s="19" t="str">
        <x:v>COST-MEGABYAI-R100-1080-SEC-NOV</x:v>
      </x:c>
      <x:c r="D186" s="28" t="n">
        <x:v>1</x:v>
      </x:c>
      <x:c r="E186" s="28" t="n">
        <x:v>0</x:v>
      </x:c>
      <x:c r="F186" s="28" t="n">
        <x:v>5</x:v>
      </x:c>
      <x:c r="G186" s="23" t="str">
        <x:f>IFERROR(INDEX('官方售价'!$C$5:$C$204,MATCH(B186,'官方售价'!$A$5:$A$204,0)),"")</x:f>
        <x:v>SKU-SD20-STD-1080</x:v>
      </x:c>
      <x:c r="H186" s="23" t="str">
        <x:f>IFERROR(INDEX('官方售价'!$D$5:$D$204,MATCH(B186,'官方售价'!$A$5:$A$204,0)),"")</x:f>
        <x:v>no_video</x:v>
      </x:c>
      <x:c r="I186" s="23" t="n">
        <x:f>IFERROR(INDEX('官方售价'!$H$5:$H$204,MATCH(B186,'官方售价'!$A$5:$A$204,0)),0)</x:f>
        <x:v>1920</x:v>
      </x:c>
      <x:c r="J186" s="23" t="n">
        <x:f>IFERROR(INDEX('官方售价'!$I$5:$I$204,MATCH(B186,'官方售价'!$A$5:$A$204,0)),0)</x:f>
        <x:v>1080</x:v>
      </x:c>
      <x:c r="K186" s="23" t="n">
        <x:f>IFERROR(INDEX('官方售价'!$J$5:$J$204,MATCH(B186,'官方售价'!$A$5:$A$204,0)),0)</x:f>
        <x:v>24</x:v>
      </x:c>
      <x:c r="L186" s="25" t="n">
        <x:f>(E186+F186)*I186*J186*K186/'参数'!$B$7</x:f>
        <x:v>243000</x:v>
      </x:c>
      <x:c r="M186" s="23" t="str">
        <x:f>IFERROR(INDEX('渠道成本'!$F$5:$F$1004,MATCH(C186,'渠道成本'!$A$5:$A$1004,0)),"")</x:f>
        <x:v>per_duration</x:v>
      </x:c>
      <x:c r="N186" s="26" t="n">
        <x:f>IFERROR(INDEX('渠道成本'!$U$5:$U$1004,MATCH(C186,'渠道成本'!$A$5:$A$1004,0)),0)</x:f>
        <x:v>0.034520547945205475</x:v>
      </x:c>
      <x:c r="O186" s="26" t="n">
        <x:f>IFERROR(L186/'参数'!$B$8*INDEX('官方售价'!$M$5:$M$204,MATCH(B186,'官方售价'!$A$5:$A$204,0)),0)</x:f>
        <x:v>1.697671232876712</x:v>
      </x:c>
      <x:c r="P186" s="26" t="n">
        <x:f>IF(M186="per_token",L186/'参数'!$B$8*N186,IF(M186="per_duration",F186*N186,IF(M186="per_request",N186,0)))</x:f>
        <x:v>0.17260273972602738</x:v>
      </x:c>
      <x:c r="Q186" s="26" t="n">
        <x:f>O186*D186</x:f>
        <x:v>1.697671232876712</x:v>
      </x:c>
      <x:c r="R186" s="26" t="n">
        <x:f>Q186-P186</x:f>
        <x:v>1.5250684931506846</x:v>
      </x:c>
      <x:c r="S186" s="29" t="n">
        <x:f>IF(Q186=0,"",R186/Q186)</x:f>
        <x:v>0.8983297022512708</x:v>
      </x:c>
      <x:c r="T186" s="23" t="str">
        <x:f>IF(OR(B186="",C186=""),"pending",IF(OR(O186&lt;0,P186&lt;0),"settlement_failed","settled"))</x:f>
        <x:v>settled</x:v>
      </x:c>
      <x:c r="U186" s="7" t="str">
        <x:v>源行=sd!100；自动利润预览；分组倍率可改为用户折扣</x:v>
      </x:c>
    </x:row>
    <x:row r="187" ht="26.350000381469727" customHeight="1">
      <x:c r="A187" s="19" t="str">
        <x:v>CASE-MEGABYAI-R100-1080-SEC-VID</x:v>
      </x:c>
      <x:c r="B187" s="19" t="str">
        <x:v>SALE-SD20-STD-1080-VID</x:v>
      </x:c>
      <x:c r="C187" s="19" t="str">
        <x:v>COST-MEGABYAI-R100-1080-SEC-VID</x:v>
      </x:c>
      <x:c r="D187" s="28" t="n">
        <x:v>1</x:v>
      </x:c>
      <x:c r="E187" s="28" t="n">
        <x:v>3</x:v>
      </x:c>
      <x:c r="F187" s="28" t="n">
        <x:v>5</x:v>
      </x:c>
      <x:c r="G187" s="23" t="str">
        <x:f>IFERROR(INDEX('官方售价'!$C$5:$C$204,MATCH(B187,'官方售价'!$A$5:$A$204,0)),"")</x:f>
        <x:v>SKU-SD20-STD-1080</x:v>
      </x:c>
      <x:c r="H187" s="23" t="str">
        <x:f>IFERROR(INDEX('官方售价'!$D$5:$D$204,MATCH(B187,'官方售价'!$A$5:$A$204,0)),"")</x:f>
        <x:v>with_video</x:v>
      </x:c>
      <x:c r="I187" s="23" t="n">
        <x:f>IFERROR(INDEX('官方售价'!$H$5:$H$204,MATCH(B187,'官方售价'!$A$5:$A$204,0)),0)</x:f>
        <x:v>1920</x:v>
      </x:c>
      <x:c r="J187" s="23" t="n">
        <x:f>IFERROR(INDEX('官方售价'!$I$5:$I$204,MATCH(B187,'官方售价'!$A$5:$A$204,0)),0)</x:f>
        <x:v>1080</x:v>
      </x:c>
      <x:c r="K187" s="23" t="n">
        <x:f>IFERROR(INDEX('官方售价'!$J$5:$J$204,MATCH(B187,'官方售价'!$A$5:$A$204,0)),0)</x:f>
        <x:v>24</x:v>
      </x:c>
      <x:c r="L187" s="25" t="n">
        <x:f>(E187+F187)*I187*J187*K187/'参数'!$B$7</x:f>
        <x:v>388800</x:v>
      </x:c>
      <x:c r="M187" s="23" t="str">
        <x:f>IFERROR(INDEX('渠道成本'!$F$5:$F$1004,MATCH(C187,'渠道成本'!$A$5:$A$1004,0)),"")</x:f>
        <x:v>per_duration</x:v>
      </x:c>
      <x:c r="N187" s="26" t="n">
        <x:f>IFERROR(INDEX('渠道成本'!$U$5:$U$1004,MATCH(C187,'渠道成本'!$A$5:$A$1004,0)),0)</x:f>
        <x:v>0.034520547945205475</x:v>
      </x:c>
      <x:c r="O187" s="26" t="n">
        <x:f>IFERROR(L187/'参数'!$B$8*INDEX('官方售价'!$M$5:$M$204,MATCH(B187,'官方售价'!$A$5:$A$204,0)),0)</x:f>
        <x:v>1.651068493150685</x:v>
      </x:c>
      <x:c r="P187" s="26" t="n">
        <x:f>IF(M187="per_token",L187/'参数'!$B$8*N187,IF(M187="per_duration",F187*N187,IF(M187="per_request",N187,0)))</x:f>
        <x:v>0.17260273972602738</x:v>
      </x:c>
      <x:c r="Q187" s="26" t="n">
        <x:f>O187*D187</x:f>
        <x:v>1.651068493150685</x:v>
      </x:c>
      <x:c r="R187" s="26" t="n">
        <x:f>Q187-P187</x:f>
        <x:v>1.4784657534246575</x:v>
      </x:c>
      <x:c r="S187" s="29" t="n">
        <x:f>IF(Q187=0,"",R187/Q187)</x:f>
        <x:v>0.8954599761051374</x:v>
      </x:c>
      <x:c r="T187" s="23" t="str">
        <x:f>IF(OR(B187="",C187=""),"pending",IF(OR(O187&lt;0,P187&lt;0),"settlement_failed","settled"))</x:f>
        <x:v>settled</x:v>
      </x:c>
      <x:c r="U187" s="7" t="str">
        <x:v>源行=sd!100；自动利润预览；分组倍率可改为用户折扣</x:v>
      </x:c>
    </x:row>
    <x:row r="188" ht="26.350000381469727" customHeight="1">
      <x:c r="A188" s="19" t="str">
        <x:v>CASE-MEGABYAI-R101-4K-SEC-NOV</x:v>
      </x:c>
      <x:c r="B188" s="19" t="str">
        <x:v>SALE-SD20-STD-4K-NOV</x:v>
      </x:c>
      <x:c r="C188" s="19" t="str">
        <x:v>COST-MEGABYAI-R101-4K-SEC-NOV</x:v>
      </x:c>
      <x:c r="D188" s="28" t="n">
        <x:v>1</x:v>
      </x:c>
      <x:c r="E188" s="28" t="n">
        <x:v>0</x:v>
      </x:c>
      <x:c r="F188" s="28" t="n">
        <x:v>5</x:v>
      </x:c>
      <x:c r="G188" s="23" t="str">
        <x:f>IFERROR(INDEX('官方售价'!$C$5:$C$204,MATCH(B188,'官方售价'!$A$5:$A$204,0)),"")</x:f>
        <x:v>SKU-SD20-STD-4K</x:v>
      </x:c>
      <x:c r="H188" s="23" t="str">
        <x:f>IFERROR(INDEX('官方售价'!$D$5:$D$204,MATCH(B188,'官方售价'!$A$5:$A$204,0)),"")</x:f>
        <x:v>no_video</x:v>
      </x:c>
      <x:c r="I188" s="23" t="n">
        <x:f>IFERROR(INDEX('官方售价'!$H$5:$H$204,MATCH(B188,'官方售价'!$A$5:$A$204,0)),0)</x:f>
        <x:v>3840</x:v>
      </x:c>
      <x:c r="J188" s="23" t="n">
        <x:f>IFERROR(INDEX('官方售价'!$I$5:$I$204,MATCH(B188,'官方售价'!$A$5:$A$204,0)),0)</x:f>
        <x:v>2160</x:v>
      </x:c>
      <x:c r="K188" s="23" t="n">
        <x:f>IFERROR(INDEX('官方售价'!$J$5:$J$204,MATCH(B188,'官方售价'!$A$5:$A$204,0)),0)</x:f>
        <x:v>24</x:v>
      </x:c>
      <x:c r="L188" s="25" t="n">
        <x:f>(E188+F188)*I188*J188*K188/'参数'!$B$7</x:f>
        <x:v>972000</x:v>
      </x:c>
      <x:c r="M188" s="23" t="str">
        <x:f>IFERROR(INDEX('渠道成本'!$F$5:$F$1004,MATCH(C188,'渠道成本'!$A$5:$A$1004,0)),"")</x:f>
        <x:v>per_duration</x:v>
      </x:c>
      <x:c r="N188" s="26" t="n">
        <x:f>IFERROR(INDEX('渠道成本'!$U$5:$U$1004,MATCH(C188,'渠道成本'!$A$5:$A$1004,0)),0)</x:f>
        <x:v>0.06904109589041095</x:v>
      </x:c>
      <x:c r="O188" s="26" t="n">
        <x:f>IFERROR(L188/'参数'!$B$8*INDEX('官方售价'!$M$5:$M$204,MATCH(B188,'官方售价'!$A$5:$A$204,0)),0)</x:f>
        <x:v>3.461917808219178</x:v>
      </x:c>
      <x:c r="P188" s="26" t="n">
        <x:f>IF(M188="per_token",L188/'参数'!$B$8*N188,IF(M188="per_duration",F188*N188,IF(M188="per_request",N188,0)))</x:f>
        <x:v>0.34520547945205476</x:v>
      </x:c>
      <x:c r="Q188" s="26" t="n">
        <x:f>O188*D188</x:f>
        <x:v>3.461917808219178</x:v>
      </x:c>
      <x:c r="R188" s="26" t="n">
        <x:f>Q188-P188</x:f>
        <x:v>3.116712328767123</x:v>
      </x:c>
      <x:c r="S188" s="29" t="n">
        <x:f>IF(Q188=0,"",R188/Q188)</x:f>
        <x:v>0.9002849002849003</x:v>
      </x:c>
      <x:c r="T188" s="23" t="str">
        <x:f>IF(OR(B188="",C188=""),"pending",IF(OR(O188&lt;0,P188&lt;0),"settlement_failed","settled"))</x:f>
        <x:v>settled</x:v>
      </x:c>
      <x:c r="U188" s="7" t="str">
        <x:v>源行=sd!101；自动利润预览；分组倍率可改为用户折扣</x:v>
      </x:c>
    </x:row>
    <x:row r="189" ht="26.350000381469727" customHeight="1">
      <x:c r="A189" s="19" t="str">
        <x:v>CASE-MEGABYAI-R101-4K-SEC-VID</x:v>
      </x:c>
      <x:c r="B189" s="19" t="str">
        <x:v>SALE-SD20-STD-4K-VID</x:v>
      </x:c>
      <x:c r="C189" s="19" t="str">
        <x:v>COST-MEGABYAI-R101-4K-SEC-VID</x:v>
      </x:c>
      <x:c r="D189" s="28" t="n">
        <x:v>1</x:v>
      </x:c>
      <x:c r="E189" s="28" t="n">
        <x:v>3</x:v>
      </x:c>
      <x:c r="F189" s="28" t="n">
        <x:v>5</x:v>
      </x:c>
      <x:c r="G189" s="23" t="str">
        <x:f>IFERROR(INDEX('官方售价'!$C$5:$C$204,MATCH(B189,'官方售价'!$A$5:$A$204,0)),"")</x:f>
        <x:v>SKU-SD20-STD-4K</x:v>
      </x:c>
      <x:c r="H189" s="23" t="str">
        <x:f>IFERROR(INDEX('官方售价'!$D$5:$D$204,MATCH(B189,'官方售价'!$A$5:$A$204,0)),"")</x:f>
        <x:v>with_video</x:v>
      </x:c>
      <x:c r="I189" s="23" t="n">
        <x:f>IFERROR(INDEX('官方售价'!$H$5:$H$204,MATCH(B189,'官方售价'!$A$5:$A$204,0)),0)</x:f>
        <x:v>3840</x:v>
      </x:c>
      <x:c r="J189" s="23" t="n">
        <x:f>IFERROR(INDEX('官方售价'!$I$5:$I$204,MATCH(B189,'官方售价'!$A$5:$A$204,0)),0)</x:f>
        <x:v>2160</x:v>
      </x:c>
      <x:c r="K189" s="23" t="n">
        <x:f>IFERROR(INDEX('官方售价'!$J$5:$J$204,MATCH(B189,'官方售价'!$A$5:$A$204,0)),0)</x:f>
        <x:v>24</x:v>
      </x:c>
      <x:c r="L189" s="25" t="n">
        <x:f>(E189+F189)*I189*J189*K189/'参数'!$B$7</x:f>
        <x:v>1555200</x:v>
      </x:c>
      <x:c r="M189" s="23" t="str">
        <x:f>IFERROR(INDEX('渠道成本'!$F$5:$F$1004,MATCH(C189,'渠道成本'!$A$5:$A$1004,0)),"")</x:f>
        <x:v>per_duration</x:v>
      </x:c>
      <x:c r="N189" s="26" t="n">
        <x:f>IFERROR(INDEX('渠道成本'!$U$5:$U$1004,MATCH(C189,'渠道成本'!$A$5:$A$1004,0)),0)</x:f>
        <x:v>0.06904109589041095</x:v>
      </x:c>
      <x:c r="O189" s="26" t="n">
        <x:f>IFERROR(L189/'参数'!$B$8*INDEX('官方售价'!$M$5:$M$204,MATCH(B189,'官方售价'!$A$5:$A$204,0)),0)</x:f>
        <x:v>3.408657534246575</x:v>
      </x:c>
      <x:c r="P189" s="26" t="n">
        <x:f>IF(M189="per_token",L189/'参数'!$B$8*N189,IF(M189="per_duration",F189*N189,IF(M189="per_request",N189,0)))</x:f>
        <x:v>0.34520547945205476</x:v>
      </x:c>
      <x:c r="Q189" s="26" t="n">
        <x:f>O189*D189</x:f>
        <x:v>3.408657534246575</x:v>
      </x:c>
      <x:c r="R189" s="26" t="n">
        <x:f>Q189-P189</x:f>
        <x:v>3.06345205479452</x:v>
      </x:c>
      <x:c r="S189" s="29" t="n">
        <x:f>IF(Q189=0,"",R189/Q189)</x:f>
        <x:v>0.8987268518518517</x:v>
      </x:c>
      <x:c r="T189" s="23" t="str">
        <x:f>IF(OR(B189="",C189=""),"pending",IF(OR(O189&lt;0,P189&lt;0),"settlement_failed","settled"))</x:f>
        <x:v>settled</x:v>
      </x:c>
      <x:c r="U189" s="7" t="str">
        <x:v>源行=sd!101；自动利润预览；分组倍率可改为用户折扣</x:v>
      </x:c>
    </x:row>
    <x:row r="190" ht="26.350000381469727" customHeight="1">
      <x:c r="A190" s="19" t="str">
        <x:v>CASE-MEGABYAI-R102-480-REQ-NOV</x:v>
      </x:c>
      <x:c r="B190" s="19" t="str">
        <x:v>SALE-SD20-FAST-480-NOV</x:v>
      </x:c>
      <x:c r="C190" s="19" t="str">
        <x:v>COST-MEGABYAI-R102-480-REQ-NOV</x:v>
      </x:c>
      <x:c r="D190" s="28" t="n">
        <x:v>1</x:v>
      </x:c>
      <x:c r="E190" s="28" t="n">
        <x:v>0</x:v>
      </x:c>
      <x:c r="F190" s="28" t="n">
        <x:v>5</x:v>
      </x:c>
      <x:c r="G190" s="23" t="str">
        <x:f>IFERROR(INDEX('官方售价'!$C$5:$C$204,MATCH(B190,'官方售价'!$A$5:$A$204,0)),"")</x:f>
        <x:v>SKU-SD20-FAST-480</x:v>
      </x:c>
      <x:c r="H190" s="23" t="str">
        <x:f>IFERROR(INDEX('官方售价'!$D$5:$D$204,MATCH(B190,'官方售价'!$A$5:$A$204,0)),"")</x:f>
        <x:v>no_video</x:v>
      </x:c>
      <x:c r="I190" s="23" t="n">
        <x:f>IFERROR(INDEX('官方售价'!$H$5:$H$204,MATCH(B190,'官方售价'!$A$5:$A$204,0)),0)</x:f>
        <x:v>864</x:v>
      </x:c>
      <x:c r="J190" s="23" t="n">
        <x:f>IFERROR(INDEX('官方售价'!$I$5:$I$204,MATCH(B190,'官方售价'!$A$5:$A$204,0)),0)</x:f>
        <x:v>496</x:v>
      </x:c>
      <x:c r="K190" s="23" t="n">
        <x:f>IFERROR(INDEX('官方售价'!$J$5:$J$204,MATCH(B190,'官方售价'!$A$5:$A$204,0)),0)</x:f>
        <x:v>24</x:v>
      </x:c>
      <x:c r="L190" s="25" t="n">
        <x:f>(E190+F190)*I190*J190*K190/'参数'!$B$7</x:f>
        <x:v>50220</x:v>
      </x:c>
      <x:c r="M190" s="23" t="str">
        <x:f>IFERROR(INDEX('渠道成本'!$F$5:$F$1004,MATCH(C190,'渠道成本'!$A$5:$A$1004,0)),"")</x:f>
        <x:v>per_request</x:v>
      </x:c>
      <x:c r="N190" s="26" t="n">
        <x:f>IFERROR(INDEX('渠道成本'!$U$5:$U$1004,MATCH(C190,'渠道成本'!$A$5:$A$1004,0)),0)</x:f>
        <x:v>0.410958904109589</x:v>
      </x:c>
      <x:c r="O190" s="26" t="n">
        <x:f>IFERROR(L190/'参数'!$B$8*INDEX('官方售价'!$M$5:$M$204,MATCH(B190,'官方售价'!$A$5:$A$204,0)),0)</x:f>
        <x:v>0.2545397260273973</x:v>
      </x:c>
      <x:c r="P190" s="26" t="n">
        <x:f>IF(M190="per_token",L190/'参数'!$B$8*N190,IF(M190="per_duration",F190*N190,IF(M190="per_request",N190,0)))</x:f>
        <x:v>0.410958904109589</x:v>
      </x:c>
      <x:c r="Q190" s="26" t="n">
        <x:f>O190*D190</x:f>
        <x:v>0.2545397260273973</x:v>
      </x:c>
      <x:c r="R190" s="26" t="n">
        <x:f>Q190-P190</x:f>
        <x:v>-0.15641917808219175</x:v>
      </x:c>
      <x:c r="S190" s="29" t="n">
        <x:f>IF(Q190=0,"",R190/Q190)</x:f>
        <x:v>-0.6145177435500014</x:v>
      </x:c>
      <x:c r="T190" s="23" t="str">
        <x:f>IF(OR(B190="",C190=""),"pending",IF(OR(O190&lt;0,P190&lt;0),"settlement_failed","settled"))</x:f>
        <x:v>settled</x:v>
      </x:c>
      <x:c r="U190" s="7" t="str">
        <x:v>源行=sd!102；自动利润预览；分组倍率可改为用户折扣</x:v>
      </x:c>
    </x:row>
    <x:row r="191" ht="26.350000381469727" customHeight="1">
      <x:c r="A191" s="19" t="str">
        <x:v>CASE-MEGABYAI-R102-480-REQ-VID</x:v>
      </x:c>
      <x:c r="B191" s="19" t="str">
        <x:v>SALE-SD20-FAST-480-VID</x:v>
      </x:c>
      <x:c r="C191" s="19" t="str">
        <x:v>COST-MEGABYAI-R102-480-REQ-VID</x:v>
      </x:c>
      <x:c r="D191" s="28" t="n">
        <x:v>1</x:v>
      </x:c>
      <x:c r="E191" s="28" t="n">
        <x:v>3</x:v>
      </x:c>
      <x:c r="F191" s="28" t="n">
        <x:v>5</x:v>
      </x:c>
      <x:c r="G191" s="23" t="str">
        <x:f>IFERROR(INDEX('官方售价'!$C$5:$C$204,MATCH(B191,'官方售价'!$A$5:$A$204,0)),"")</x:f>
        <x:v>SKU-SD20-FAST-480</x:v>
      </x:c>
      <x:c r="H191" s="23" t="str">
        <x:f>IFERROR(INDEX('官方售价'!$D$5:$D$204,MATCH(B191,'官方售价'!$A$5:$A$204,0)),"")</x:f>
        <x:v>with_video</x:v>
      </x:c>
      <x:c r="I191" s="23" t="n">
        <x:f>IFERROR(INDEX('官方售价'!$H$5:$H$204,MATCH(B191,'官方售价'!$A$5:$A$204,0)),0)</x:f>
        <x:v>864</x:v>
      </x:c>
      <x:c r="J191" s="23" t="n">
        <x:f>IFERROR(INDEX('官方售价'!$I$5:$I$204,MATCH(B191,'官方售价'!$A$5:$A$204,0)),0)</x:f>
        <x:v>496</x:v>
      </x:c>
      <x:c r="K191" s="23" t="n">
        <x:f>IFERROR(INDEX('官方售价'!$J$5:$J$204,MATCH(B191,'官方售价'!$A$5:$A$204,0)),0)</x:f>
        <x:v>24</x:v>
      </x:c>
      <x:c r="L191" s="25" t="n">
        <x:f>(E191+F191)*I191*J191*K191/'参数'!$B$7</x:f>
        <x:v>80352</x:v>
      </x:c>
      <x:c r="M191" s="23" t="str">
        <x:f>IFERROR(INDEX('渠道成本'!$F$5:$F$1004,MATCH(C191,'渠道成本'!$A$5:$A$1004,0)),"")</x:f>
        <x:v>per_request</x:v>
      </x:c>
      <x:c r="N191" s="26" t="n">
        <x:f>IFERROR(INDEX('渠道成本'!$U$5:$U$1004,MATCH(C191,'渠道成本'!$A$5:$A$1004,0)),0)</x:f>
        <x:v>0.410958904109589</x:v>
      </x:c>
      <x:c r="O191" s="26" t="n">
        <x:f>IFERROR(L191/'参数'!$B$8*INDEX('官方售价'!$M$5:$M$204,MATCH(B191,'官方售价'!$A$5:$A$204,0)),0)</x:f>
        <x:v>0.24215671232876712</x:v>
      </x:c>
      <x:c r="P191" s="26" t="n">
        <x:f>IF(M191="per_token",L191/'参数'!$B$8*N191,IF(M191="per_duration",F191*N191,IF(M191="per_request",N191,0)))</x:f>
        <x:v>0.410958904109589</x:v>
      </x:c>
      <x:c r="Q191" s="26" t="n">
        <x:f>O191*D191</x:f>
        <x:v>0.24215671232876712</x:v>
      </x:c>
      <x:c r="R191" s="26" t="n">
        <x:f>Q191-P191</x:f>
        <x:v>-0.1688021917808219</x:v>
      </x:c>
      <x:c r="S191" s="29" t="n">
        <x:f>IF(Q191=0,"",R191/Q191)</x:f>
        <x:v>-0.6970783099815357</x:v>
      </x:c>
      <x:c r="T191" s="23" t="str">
        <x:f>IF(OR(B191="",C191=""),"pending",IF(OR(O191&lt;0,P191&lt;0),"settlement_failed","settled"))</x:f>
        <x:v>settled</x:v>
      </x:c>
      <x:c r="U191" s="7" t="str">
        <x:v>源行=sd!102；自动利润预览；分组倍率可改为用户折扣</x:v>
      </x:c>
    </x:row>
    <x:row r="192" ht="26.350000381469727" customHeight="1">
      <x:c r="A192" s="19" t="str">
        <x:v>CASE-MEGABYAI-R103-720-REQ-NOV</x:v>
      </x:c>
      <x:c r="B192" s="19" t="str">
        <x:v>SALE-SD20-FAST-720-NOV</x:v>
      </x:c>
      <x:c r="C192" s="19" t="str">
        <x:v>COST-MEGABYAI-R103-720-REQ-NOV</x:v>
      </x:c>
      <x:c r="D192" s="28" t="n">
        <x:v>1</x:v>
      </x:c>
      <x:c r="E192" s="28" t="n">
        <x:v>0</x:v>
      </x:c>
      <x:c r="F192" s="28" t="n">
        <x:v>5</x:v>
      </x:c>
      <x:c r="G192" s="23" t="str">
        <x:f>IFERROR(INDEX('官方售价'!$C$5:$C$204,MATCH(B192,'官方售价'!$A$5:$A$204,0)),"")</x:f>
        <x:v>SKU-SD20-FAST-720</x:v>
      </x:c>
      <x:c r="H192" s="23" t="str">
        <x:f>IFERROR(INDEX('官方售价'!$D$5:$D$204,MATCH(B192,'官方售价'!$A$5:$A$204,0)),"")</x:f>
        <x:v>no_video</x:v>
      </x:c>
      <x:c r="I192" s="23" t="n">
        <x:f>IFERROR(INDEX('官方售价'!$H$5:$H$204,MATCH(B192,'官方售价'!$A$5:$A$204,0)),0)</x:f>
        <x:v>1280</x:v>
      </x:c>
      <x:c r="J192" s="23" t="n">
        <x:f>IFERROR(INDEX('官方售价'!$I$5:$I$204,MATCH(B192,'官方售价'!$A$5:$A$204,0)),0)</x:f>
        <x:v>720</x:v>
      </x:c>
      <x:c r="K192" s="23" t="n">
        <x:f>IFERROR(INDEX('官方售价'!$J$5:$J$204,MATCH(B192,'官方售价'!$A$5:$A$204,0)),0)</x:f>
        <x:v>24</x:v>
      </x:c>
      <x:c r="L192" s="25" t="n">
        <x:f>(E192+F192)*I192*J192*K192/'参数'!$B$7</x:f>
        <x:v>108000</x:v>
      </x:c>
      <x:c r="M192" s="23" t="str">
        <x:f>IFERROR(INDEX('渠道成本'!$F$5:$F$1004,MATCH(C192,'渠道成本'!$A$5:$A$1004,0)),"")</x:f>
        <x:v>per_request</x:v>
      </x:c>
      <x:c r="N192" s="26" t="n">
        <x:f>IFERROR(INDEX('渠道成本'!$U$5:$U$1004,MATCH(C192,'渠道成本'!$A$5:$A$1004,0)),0)</x:f>
        <x:v>0.547945205479452</x:v>
      </x:c>
      <x:c r="O192" s="26" t="n">
        <x:f>IFERROR(L192/'参数'!$B$8*INDEX('官方售价'!$M$5:$M$204,MATCH(B192,'官方售价'!$A$5:$A$204,0)),0)</x:f>
        <x:v>0.5473972602739726</x:v>
      </x:c>
      <x:c r="P192" s="26" t="n">
        <x:f>IF(M192="per_token",L192/'参数'!$B$8*N192,IF(M192="per_duration",F192*N192,IF(M192="per_request",N192,0)))</x:f>
        <x:v>0.547945205479452</x:v>
      </x:c>
      <x:c r="Q192" s="26" t="n">
        <x:f>O192*D192</x:f>
        <x:v>0.5473972602739726</x:v>
      </x:c>
      <x:c r="R192" s="26" t="n">
        <x:f>Q192-P192</x:f>
        <x:v>-0.0005479452054794054</x:v>
      </x:c>
      <x:c r="S192" s="29" t="n">
        <x:f>IF(Q192=0,"",R192/Q192)</x:f>
        <x:v>-0.0010010010010009158</x:v>
      </x:c>
      <x:c r="T192" s="23" t="str">
        <x:f>IF(OR(B192="",C192=""),"pending",IF(OR(O192&lt;0,P192&lt;0),"settlement_failed","settled"))</x:f>
        <x:v>settled</x:v>
      </x:c>
      <x:c r="U192" s="7" t="str">
        <x:v>源行=sd!103；自动利润预览；分组倍率可改为用户折扣</x:v>
      </x:c>
    </x:row>
    <x:row r="193" ht="26.350000381469727" customHeight="1">
      <x:c r="A193" s="19" t="str">
        <x:v>CASE-MEGABYAI-R103-720-REQ-VID</x:v>
      </x:c>
      <x:c r="B193" s="19" t="str">
        <x:v>SALE-SD20-FAST-720-VID</x:v>
      </x:c>
      <x:c r="C193" s="19" t="str">
        <x:v>COST-MEGABYAI-R103-720-REQ-VID</x:v>
      </x:c>
      <x:c r="D193" s="28" t="n">
        <x:v>1</x:v>
      </x:c>
      <x:c r="E193" s="28" t="n">
        <x:v>3</x:v>
      </x:c>
      <x:c r="F193" s="28" t="n">
        <x:v>5</x:v>
      </x:c>
      <x:c r="G193" s="23" t="str">
        <x:f>IFERROR(INDEX('官方售价'!$C$5:$C$204,MATCH(B193,'官方售价'!$A$5:$A$204,0)),"")</x:f>
        <x:v>SKU-SD20-FAST-720</x:v>
      </x:c>
      <x:c r="H193" s="23" t="str">
        <x:f>IFERROR(INDEX('官方售价'!$D$5:$D$204,MATCH(B193,'官方售价'!$A$5:$A$204,0)),"")</x:f>
        <x:v>with_video</x:v>
      </x:c>
      <x:c r="I193" s="23" t="n">
        <x:f>IFERROR(INDEX('官方售价'!$H$5:$H$204,MATCH(B193,'官方售价'!$A$5:$A$204,0)),0)</x:f>
        <x:v>1280</x:v>
      </x:c>
      <x:c r="J193" s="23" t="n">
        <x:f>IFERROR(INDEX('官方售价'!$I$5:$I$204,MATCH(B193,'官方售价'!$A$5:$A$204,0)),0)</x:f>
        <x:v>720</x:v>
      </x:c>
      <x:c r="K193" s="23" t="n">
        <x:f>IFERROR(INDEX('官方售价'!$J$5:$J$204,MATCH(B193,'官方售价'!$A$5:$A$204,0)),0)</x:f>
        <x:v>24</x:v>
      </x:c>
      <x:c r="L193" s="25" t="n">
        <x:f>(E193+F193)*I193*J193*K193/'参数'!$B$7</x:f>
        <x:v>172800</x:v>
      </x:c>
      <x:c r="M193" s="23" t="str">
        <x:f>IFERROR(INDEX('渠道成本'!$F$5:$F$1004,MATCH(C193,'渠道成本'!$A$5:$A$1004,0)),"")</x:f>
        <x:v>per_request</x:v>
      </x:c>
      <x:c r="N193" s="26" t="n">
        <x:f>IFERROR(INDEX('渠道成本'!$U$5:$U$1004,MATCH(C193,'渠道成本'!$A$5:$A$1004,0)),0)</x:f>
        <x:v>0.547945205479452</x:v>
      </x:c>
      <x:c r="O193" s="26" t="n">
        <x:f>IFERROR(L193/'参数'!$B$8*INDEX('官方售价'!$M$5:$M$204,MATCH(B193,'官方售价'!$A$5:$A$204,0)),0)</x:f>
        <x:v>0.5207671232876712</x:v>
      </x:c>
      <x:c r="P193" s="26" t="n">
        <x:f>IF(M193="per_token",L193/'参数'!$B$8*N193,IF(M193="per_duration",F193*N193,IF(M193="per_request",N193,0)))</x:f>
        <x:v>0.547945205479452</x:v>
      </x:c>
      <x:c r="Q193" s="26" t="n">
        <x:f>O193*D193</x:f>
        <x:v>0.5207671232876712</x:v>
      </x:c>
      <x:c r="R193" s="26" t="n">
        <x:f>Q193-P193</x:f>
        <x:v>-0.02717808219178086</x:v>
      </x:c>
      <x:c r="S193" s="29" t="n">
        <x:f>IF(Q193=0,"",R193/Q193)</x:f>
        <x:v>-0.05218855218855227</x:v>
      </x:c>
      <x:c r="T193" s="23" t="str">
        <x:f>IF(OR(B193="",C193=""),"pending",IF(OR(O193&lt;0,P193&lt;0),"settlement_failed","settled"))</x:f>
        <x:v>settled</x:v>
      </x:c>
      <x:c r="U193" s="7" t="str">
        <x:v>源行=sd!103；自动利润预览；分组倍率可改为用户折扣</x:v>
      </x:c>
    </x:row>
    <x:row r="194" ht="26.350000381469727" customHeight="1">
      <x:c r="A194" s="19" t="str">
        <x:v>CASE-MEGABYAI-R104-480-REQ-NOV</x:v>
      </x:c>
      <x:c r="B194" s="19" t="str">
        <x:v>SALE-SD20-FAST-480-NOV</x:v>
      </x:c>
      <x:c r="C194" s="19" t="str">
        <x:v>COST-MEGABYAI-R104-480-REQ-NOV</x:v>
      </x:c>
      <x:c r="D194" s="28" t="n">
        <x:v>1</x:v>
      </x:c>
      <x:c r="E194" s="28" t="n">
        <x:v>0</x:v>
      </x:c>
      <x:c r="F194" s="28" t="n">
        <x:v>5</x:v>
      </x:c>
      <x:c r="G194" s="23" t="str">
        <x:f>IFERROR(INDEX('官方售价'!$C$5:$C$204,MATCH(B194,'官方售价'!$A$5:$A$204,0)),"")</x:f>
        <x:v>SKU-SD20-FAST-480</x:v>
      </x:c>
      <x:c r="H194" s="23" t="str">
        <x:f>IFERROR(INDEX('官方售价'!$D$5:$D$204,MATCH(B194,'官方售价'!$A$5:$A$204,0)),"")</x:f>
        <x:v>no_video</x:v>
      </x:c>
      <x:c r="I194" s="23" t="n">
        <x:f>IFERROR(INDEX('官方售价'!$H$5:$H$204,MATCH(B194,'官方售价'!$A$5:$A$204,0)),0)</x:f>
        <x:v>864</x:v>
      </x:c>
      <x:c r="J194" s="23" t="n">
        <x:f>IFERROR(INDEX('官方售价'!$I$5:$I$204,MATCH(B194,'官方售价'!$A$5:$A$204,0)),0)</x:f>
        <x:v>496</x:v>
      </x:c>
      <x:c r="K194" s="23" t="n">
        <x:f>IFERROR(INDEX('官方售价'!$J$5:$J$204,MATCH(B194,'官方售价'!$A$5:$A$204,0)),0)</x:f>
        <x:v>24</x:v>
      </x:c>
      <x:c r="L194" s="25" t="n">
        <x:f>(E194+F194)*I194*J194*K194/'参数'!$B$7</x:f>
        <x:v>50220</x:v>
      </x:c>
      <x:c r="M194" s="23" t="str">
        <x:f>IFERROR(INDEX('渠道成本'!$F$5:$F$1004,MATCH(C194,'渠道成本'!$A$5:$A$1004,0)),"")</x:f>
        <x:v>per_request</x:v>
      </x:c>
      <x:c r="N194" s="26" t="n">
        <x:f>IFERROR(INDEX('渠道成本'!$U$5:$U$1004,MATCH(C194,'渠道成本'!$A$5:$A$1004,0)),0)</x:f>
        <x:v>0.1643835616438356</x:v>
      </x:c>
      <x:c r="O194" s="26" t="n">
        <x:f>IFERROR(L194/'参数'!$B$8*INDEX('官方售价'!$M$5:$M$204,MATCH(B194,'官方售价'!$A$5:$A$204,0)),0)</x:f>
        <x:v>0.2545397260273973</x:v>
      </x:c>
      <x:c r="P194" s="26" t="n">
        <x:f>IF(M194="per_token",L194/'参数'!$B$8*N194,IF(M194="per_duration",F194*N194,IF(M194="per_request",N194,0)))</x:f>
        <x:v>0.1643835616438356</x:v>
      </x:c>
      <x:c r="Q194" s="26" t="n">
        <x:f>O194*D194</x:f>
        <x:v>0.2545397260273973</x:v>
      </x:c>
      <x:c r="R194" s="26" t="n">
        <x:f>Q194-P194</x:f>
        <x:v>0.09015616438356167</x:v>
      </x:c>
      <x:c r="S194" s="29" t="n">
        <x:f>IF(Q194=0,"",R194/Q194)</x:f>
        <x:v>0.3541929025799994</x:v>
      </x:c>
      <x:c r="T194" s="23" t="str">
        <x:f>IF(OR(B194="",C194=""),"pending",IF(OR(O194&lt;0,P194&lt;0),"settlement_failed","settled"))</x:f>
        <x:v>settled</x:v>
      </x:c>
      <x:c r="U194" s="7" t="str">
        <x:v>源行=sd!104；自动利润预览；分组倍率可改为用户折扣</x:v>
      </x:c>
    </x:row>
    <x:row r="195" ht="26.350000381469727" customHeight="1">
      <x:c r="A195" s="19" t="str">
        <x:v>CASE-MEGABYAI-R104-480-REQ-VID</x:v>
      </x:c>
      <x:c r="B195" s="19" t="str">
        <x:v>SALE-SD20-FAST-480-VID</x:v>
      </x:c>
      <x:c r="C195" s="19" t="str">
        <x:v>COST-MEGABYAI-R104-480-REQ-VID</x:v>
      </x:c>
      <x:c r="D195" s="28" t="n">
        <x:v>1</x:v>
      </x:c>
      <x:c r="E195" s="28" t="n">
        <x:v>3</x:v>
      </x:c>
      <x:c r="F195" s="28" t="n">
        <x:v>5</x:v>
      </x:c>
      <x:c r="G195" s="23" t="str">
        <x:f>IFERROR(INDEX('官方售价'!$C$5:$C$204,MATCH(B195,'官方售价'!$A$5:$A$204,0)),"")</x:f>
        <x:v>SKU-SD20-FAST-480</x:v>
      </x:c>
      <x:c r="H195" s="23" t="str">
        <x:f>IFERROR(INDEX('官方售价'!$D$5:$D$204,MATCH(B195,'官方售价'!$A$5:$A$204,0)),"")</x:f>
        <x:v>with_video</x:v>
      </x:c>
      <x:c r="I195" s="23" t="n">
        <x:f>IFERROR(INDEX('官方售价'!$H$5:$H$204,MATCH(B195,'官方售价'!$A$5:$A$204,0)),0)</x:f>
        <x:v>864</x:v>
      </x:c>
      <x:c r="J195" s="23" t="n">
        <x:f>IFERROR(INDEX('官方售价'!$I$5:$I$204,MATCH(B195,'官方售价'!$A$5:$A$204,0)),0)</x:f>
        <x:v>496</x:v>
      </x:c>
      <x:c r="K195" s="23" t="n">
        <x:f>IFERROR(INDEX('官方售价'!$J$5:$J$204,MATCH(B195,'官方售价'!$A$5:$A$204,0)),0)</x:f>
        <x:v>24</x:v>
      </x:c>
      <x:c r="L195" s="25" t="n">
        <x:f>(E195+F195)*I195*J195*K195/'参数'!$B$7</x:f>
        <x:v>80352</x:v>
      </x:c>
      <x:c r="M195" s="23" t="str">
        <x:f>IFERROR(INDEX('渠道成本'!$F$5:$F$1004,MATCH(C195,'渠道成本'!$A$5:$A$1004,0)),"")</x:f>
        <x:v>per_request</x:v>
      </x:c>
      <x:c r="N195" s="26" t="n">
        <x:f>IFERROR(INDEX('渠道成本'!$U$5:$U$1004,MATCH(C195,'渠道成本'!$A$5:$A$1004,0)),0)</x:f>
        <x:v>0.1643835616438356</x:v>
      </x:c>
      <x:c r="O195" s="26" t="n">
        <x:f>IFERROR(L195/'参数'!$B$8*INDEX('官方售价'!$M$5:$M$204,MATCH(B195,'官方售价'!$A$5:$A$204,0)),0)</x:f>
        <x:v>0.24215671232876712</x:v>
      </x:c>
      <x:c r="P195" s="26" t="n">
        <x:f>IF(M195="per_token",L195/'参数'!$B$8*N195,IF(M195="per_duration",F195*N195,IF(M195="per_request",N195,0)))</x:f>
        <x:v>0.1643835616438356</x:v>
      </x:c>
      <x:c r="Q195" s="26" t="n">
        <x:f>O195*D195</x:f>
        <x:v>0.24215671232876712</x:v>
      </x:c>
      <x:c r="R195" s="26" t="n">
        <x:f>Q195-P195</x:f>
        <x:v>0.07777315068493151</x:v>
      </x:c>
      <x:c r="S195" s="29" t="n">
        <x:f>IF(Q195=0,"",R195/Q195)</x:f>
        <x:v>0.3211686760073857</x:v>
      </x:c>
      <x:c r="T195" s="23" t="str">
        <x:f>IF(OR(B195="",C195=""),"pending",IF(OR(O195&lt;0,P195&lt;0),"settlement_failed","settled"))</x:f>
        <x:v>settled</x:v>
      </x:c>
      <x:c r="U195" s="7" t="str">
        <x:v>源行=sd!104；自动利润预览；分组倍率可改为用户折扣</x:v>
      </x:c>
    </x:row>
    <x:row r="196" ht="26.350000381469727" customHeight="1">
      <x:c r="A196" s="19" t="str">
        <x:v>CASE-MEGABYAI-R105-720-REQ-NOV</x:v>
      </x:c>
      <x:c r="B196" s="19" t="str">
        <x:v>SALE-SD20-FAST-720-NOV</x:v>
      </x:c>
      <x:c r="C196" s="19" t="str">
        <x:v>COST-MEGABYAI-R105-720-REQ-NOV</x:v>
      </x:c>
      <x:c r="D196" s="28" t="n">
        <x:v>1</x:v>
      </x:c>
      <x:c r="E196" s="28" t="n">
        <x:v>0</x:v>
      </x:c>
      <x:c r="F196" s="28" t="n">
        <x:v>5</x:v>
      </x:c>
      <x:c r="G196" s="23" t="str">
        <x:f>IFERROR(INDEX('官方售价'!$C$5:$C$204,MATCH(B196,'官方售价'!$A$5:$A$204,0)),"")</x:f>
        <x:v>SKU-SD20-FAST-720</x:v>
      </x:c>
      <x:c r="H196" s="23" t="str">
        <x:f>IFERROR(INDEX('官方售价'!$D$5:$D$204,MATCH(B196,'官方售价'!$A$5:$A$204,0)),"")</x:f>
        <x:v>no_video</x:v>
      </x:c>
      <x:c r="I196" s="23" t="n">
        <x:f>IFERROR(INDEX('官方售价'!$H$5:$H$204,MATCH(B196,'官方售价'!$A$5:$A$204,0)),0)</x:f>
        <x:v>1280</x:v>
      </x:c>
      <x:c r="J196" s="23" t="n">
        <x:f>IFERROR(INDEX('官方售价'!$I$5:$I$204,MATCH(B196,'官方售价'!$A$5:$A$204,0)),0)</x:f>
        <x:v>720</x:v>
      </x:c>
      <x:c r="K196" s="23" t="n">
        <x:f>IFERROR(INDEX('官方售价'!$J$5:$J$204,MATCH(B196,'官方售价'!$A$5:$A$204,0)),0)</x:f>
        <x:v>24</x:v>
      </x:c>
      <x:c r="L196" s="25" t="n">
        <x:f>(E196+F196)*I196*J196*K196/'参数'!$B$7</x:f>
        <x:v>108000</x:v>
      </x:c>
      <x:c r="M196" s="23" t="str">
        <x:f>IFERROR(INDEX('渠道成本'!$F$5:$F$1004,MATCH(C196,'渠道成本'!$A$5:$A$1004,0)),"")</x:f>
        <x:v>per_request</x:v>
      </x:c>
      <x:c r="N196" s="26" t="n">
        <x:f>IFERROR(INDEX('渠道成本'!$U$5:$U$1004,MATCH(C196,'渠道成本'!$A$5:$A$1004,0)),0)</x:f>
        <x:v>0.2191780821917808</x:v>
      </x:c>
      <x:c r="O196" s="26" t="n">
        <x:f>IFERROR(L196/'参数'!$B$8*INDEX('官方售价'!$M$5:$M$204,MATCH(B196,'官方售价'!$A$5:$A$204,0)),0)</x:f>
        <x:v>0.5473972602739726</x:v>
      </x:c>
      <x:c r="P196" s="26" t="n">
        <x:f>IF(M196="per_token",L196/'参数'!$B$8*N196,IF(M196="per_duration",F196*N196,IF(M196="per_request",N196,0)))</x:f>
        <x:v>0.2191780821917808</x:v>
      </x:c>
      <x:c r="Q196" s="26" t="n">
        <x:f>O196*D196</x:f>
        <x:v>0.5473972602739726</x:v>
      </x:c>
      <x:c r="R196" s="26" t="n">
        <x:f>Q196-P196</x:f>
        <x:v>0.3282191780821918</x:v>
      </x:c>
      <x:c r="S196" s="29" t="n">
        <x:f>IF(Q196=0,"",R196/Q196)</x:f>
        <x:v>0.5995995995995996</x:v>
      </x:c>
      <x:c r="T196" s="23" t="str">
        <x:f>IF(OR(B196="",C196=""),"pending",IF(OR(O196&lt;0,P196&lt;0),"settlement_failed","settled"))</x:f>
        <x:v>settled</x:v>
      </x:c>
      <x:c r="U196" s="7" t="str">
        <x:v>源行=sd!105；自动利润预览；分组倍率可改为用户折扣</x:v>
      </x:c>
    </x:row>
    <x:row r="197" ht="26.350000381469727" customHeight="1">
      <x:c r="A197" s="19" t="str">
        <x:v>CASE-MEGABYAI-R105-720-REQ-VID</x:v>
      </x:c>
      <x:c r="B197" s="19" t="str">
        <x:v>SALE-SD20-FAST-720-VID</x:v>
      </x:c>
      <x:c r="C197" s="19" t="str">
        <x:v>COST-MEGABYAI-R105-720-REQ-VID</x:v>
      </x:c>
      <x:c r="D197" s="28" t="n">
        <x:v>1</x:v>
      </x:c>
      <x:c r="E197" s="28" t="n">
        <x:v>3</x:v>
      </x:c>
      <x:c r="F197" s="28" t="n">
        <x:v>5</x:v>
      </x:c>
      <x:c r="G197" s="23" t="str">
        <x:f>IFERROR(INDEX('官方售价'!$C$5:$C$204,MATCH(B197,'官方售价'!$A$5:$A$204,0)),"")</x:f>
        <x:v>SKU-SD20-FAST-720</x:v>
      </x:c>
      <x:c r="H197" s="23" t="str">
        <x:f>IFERROR(INDEX('官方售价'!$D$5:$D$204,MATCH(B197,'官方售价'!$A$5:$A$204,0)),"")</x:f>
        <x:v>with_video</x:v>
      </x:c>
      <x:c r="I197" s="23" t="n">
        <x:f>IFERROR(INDEX('官方售价'!$H$5:$H$204,MATCH(B197,'官方售价'!$A$5:$A$204,0)),0)</x:f>
        <x:v>1280</x:v>
      </x:c>
      <x:c r="J197" s="23" t="n">
        <x:f>IFERROR(INDEX('官方售价'!$I$5:$I$204,MATCH(B197,'官方售价'!$A$5:$A$204,0)),0)</x:f>
        <x:v>720</x:v>
      </x:c>
      <x:c r="K197" s="23" t="n">
        <x:f>IFERROR(INDEX('官方售价'!$J$5:$J$204,MATCH(B197,'官方售价'!$A$5:$A$204,0)),0)</x:f>
        <x:v>24</x:v>
      </x:c>
      <x:c r="L197" s="25" t="n">
        <x:f>(E197+F197)*I197*J197*K197/'参数'!$B$7</x:f>
        <x:v>172800</x:v>
      </x:c>
      <x:c r="M197" s="23" t="str">
        <x:f>IFERROR(INDEX('渠道成本'!$F$5:$F$1004,MATCH(C197,'渠道成本'!$A$5:$A$1004,0)),"")</x:f>
        <x:v>per_request</x:v>
      </x:c>
      <x:c r="N197" s="26" t="n">
        <x:f>IFERROR(INDEX('渠道成本'!$U$5:$U$1004,MATCH(C197,'渠道成本'!$A$5:$A$1004,0)),0)</x:f>
        <x:v>0.2191780821917808</x:v>
      </x:c>
      <x:c r="O197" s="26" t="n">
        <x:f>IFERROR(L197/'参数'!$B$8*INDEX('官方售价'!$M$5:$M$204,MATCH(B197,'官方售价'!$A$5:$A$204,0)),0)</x:f>
        <x:v>0.5207671232876712</x:v>
      </x:c>
      <x:c r="P197" s="26" t="n">
        <x:f>IF(M197="per_token",L197/'参数'!$B$8*N197,IF(M197="per_duration",F197*N197,IF(M197="per_request",N197,0)))</x:f>
        <x:v>0.2191780821917808</x:v>
      </x:c>
      <x:c r="Q197" s="26" t="n">
        <x:f>O197*D197</x:f>
        <x:v>0.5207671232876712</x:v>
      </x:c>
      <x:c r="R197" s="26" t="n">
        <x:f>Q197-P197</x:f>
        <x:v>0.30158904109589035</x:v>
      </x:c>
      <x:c r="S197" s="29" t="n">
        <x:f>IF(Q197=0,"",R197/Q197)</x:f>
        <x:v>0.579124579124579</x:v>
      </x:c>
      <x:c r="T197" s="23" t="str">
        <x:f>IF(OR(B197="",C197=""),"pending",IF(OR(O197&lt;0,P197&lt;0),"settlement_failed","settled"))</x:f>
        <x:v>settled</x:v>
      </x:c>
      <x:c r="U197" s="7" t="str">
        <x:v>源行=sd!105；自动利润预览；分组倍率可改为用户折扣</x:v>
      </x:c>
    </x:row>
    <x:row r="198" ht="26.350000381469727" customHeight="1">
      <x:c r="A198" s="19" t="str">
        <x:v>CASE-MEGABYAI-R106-480-REQ-NOV</x:v>
      </x:c>
      <x:c r="B198" s="19" t="str">
        <x:v>SALE-SD20-MINI-480-NOV</x:v>
      </x:c>
      <x:c r="C198" s="19" t="str">
        <x:v>COST-MEGABYAI-R106-480-REQ-NOV</x:v>
      </x:c>
      <x:c r="D198" s="28" t="n">
        <x:v>1</x:v>
      </x:c>
      <x:c r="E198" s="28" t="n">
        <x:v>0</x:v>
      </x:c>
      <x:c r="F198" s="28" t="n">
        <x:v>5</x:v>
      </x:c>
      <x:c r="G198" s="23" t="str">
        <x:f>IFERROR(INDEX('官方售价'!$C$5:$C$204,MATCH(B198,'官方售价'!$A$5:$A$204,0)),"")</x:f>
        <x:v>SKU-SD20-MINI-480</x:v>
      </x:c>
      <x:c r="H198" s="23" t="str">
        <x:f>IFERROR(INDEX('官方售价'!$D$5:$D$204,MATCH(B198,'官方售价'!$A$5:$A$204,0)),"")</x:f>
        <x:v>no_video</x:v>
      </x:c>
      <x:c r="I198" s="23" t="n">
        <x:f>IFERROR(INDEX('官方售价'!$H$5:$H$204,MATCH(B198,'官方售价'!$A$5:$A$204,0)),0)</x:f>
        <x:v>864</x:v>
      </x:c>
      <x:c r="J198" s="23" t="n">
        <x:f>IFERROR(INDEX('官方售价'!$I$5:$I$204,MATCH(B198,'官方售价'!$A$5:$A$204,0)),0)</x:f>
        <x:v>496</x:v>
      </x:c>
      <x:c r="K198" s="23" t="n">
        <x:f>IFERROR(INDEX('官方售价'!$J$5:$J$204,MATCH(B198,'官方售价'!$A$5:$A$204,0)),0)</x:f>
        <x:v>24</x:v>
      </x:c>
      <x:c r="L198" s="25" t="n">
        <x:f>(E198+F198)*I198*J198*K198/'参数'!$B$7</x:f>
        <x:v>50220</x:v>
      </x:c>
      <x:c r="M198" s="23" t="str">
        <x:f>IFERROR(INDEX('渠道成本'!$F$5:$F$1004,MATCH(C198,'渠道成本'!$A$5:$A$1004,0)),"")</x:f>
        <x:v>per_request</x:v>
      </x:c>
      <x:c r="N198" s="26" t="n">
        <x:f>IFERROR(INDEX('渠道成本'!$U$5:$U$1004,MATCH(C198,'渠道成本'!$A$5:$A$1004,0)),0)</x:f>
        <x:v>0.2876712328767123</x:v>
      </x:c>
      <x:c r="O198" s="26" t="n">
        <x:f>IFERROR(L198/'参数'!$B$8*INDEX('官方售价'!$M$5:$M$204,MATCH(B198,'官方售价'!$A$5:$A$204,0)),0)</x:f>
        <x:v>0.15822739726027396</x:v>
      </x:c>
      <x:c r="P198" s="26" t="n">
        <x:f>IF(M198="per_token",L198/'参数'!$B$8*N198,IF(M198="per_duration",F198*N198,IF(M198="per_request",N198,0)))</x:f>
        <x:v>0.2876712328767123</x:v>
      </x:c>
      <x:c r="Q198" s="26" t="n">
        <x:f>O198*D198</x:f>
        <x:v>0.15822739726027396</x:v>
      </x:c>
      <x:c r="R198" s="26" t="n">
        <x:f>Q198-P198</x:f>
        <x:v>-0.12944383561643835</x:v>
      </x:c>
      <x:c r="S198" s="29" t="n">
        <x:f>IF(Q198=0,"",R198/Q198)</x:f>
        <x:v>-0.818087372084567</x:v>
      </x:c>
      <x:c r="T198" s="23" t="str">
        <x:f>IF(OR(B198="",C198=""),"pending",IF(OR(O198&lt;0,P198&lt;0),"settlement_failed","settled"))</x:f>
        <x:v>settled</x:v>
      </x:c>
      <x:c r="U198" s="7" t="str">
        <x:v>源行=sd!106；自动利润预览；分组倍率可改为用户折扣</x:v>
      </x:c>
    </x:row>
    <x:row r="199" ht="26.350000381469727" customHeight="1">
      <x:c r="A199" s="19" t="str">
        <x:v>CASE-MEGABYAI-R106-480-REQ-VID</x:v>
      </x:c>
      <x:c r="B199" s="19" t="str">
        <x:v>SALE-SD20-MINI-480-VID</x:v>
      </x:c>
      <x:c r="C199" s="19" t="str">
        <x:v>COST-MEGABYAI-R106-480-REQ-VID</x:v>
      </x:c>
      <x:c r="D199" s="28" t="n">
        <x:v>1</x:v>
      </x:c>
      <x:c r="E199" s="28" t="n">
        <x:v>3</x:v>
      </x:c>
      <x:c r="F199" s="28" t="n">
        <x:v>5</x:v>
      </x:c>
      <x:c r="G199" s="23" t="str">
        <x:f>IFERROR(INDEX('官方售价'!$C$5:$C$204,MATCH(B199,'官方售价'!$A$5:$A$204,0)),"")</x:f>
        <x:v>SKU-SD20-MINI-480</x:v>
      </x:c>
      <x:c r="H199" s="23" t="str">
        <x:f>IFERROR(INDEX('官方售价'!$D$5:$D$204,MATCH(B199,'官方售价'!$A$5:$A$204,0)),"")</x:f>
        <x:v>with_video</x:v>
      </x:c>
      <x:c r="I199" s="23" t="n">
        <x:f>IFERROR(INDEX('官方售价'!$H$5:$H$204,MATCH(B199,'官方售价'!$A$5:$A$204,0)),0)</x:f>
        <x:v>864</x:v>
      </x:c>
      <x:c r="J199" s="23" t="n">
        <x:f>IFERROR(INDEX('官方售价'!$I$5:$I$204,MATCH(B199,'官方售价'!$A$5:$A$204,0)),0)</x:f>
        <x:v>496</x:v>
      </x:c>
      <x:c r="K199" s="23" t="n">
        <x:f>IFERROR(INDEX('官方售价'!$J$5:$J$204,MATCH(B199,'官方售价'!$A$5:$A$204,0)),0)</x:f>
        <x:v>24</x:v>
      </x:c>
      <x:c r="L199" s="25" t="n">
        <x:f>(E199+F199)*I199*J199*K199/'参数'!$B$7</x:f>
        <x:v>80352</x:v>
      </x:c>
      <x:c r="M199" s="23" t="str">
        <x:f>IFERROR(INDEX('渠道成本'!$F$5:$F$1004,MATCH(C199,'渠道成本'!$A$5:$A$1004,0)),"")</x:f>
        <x:v>per_request</x:v>
      </x:c>
      <x:c r="N199" s="26" t="n">
        <x:f>IFERROR(INDEX('渠道成本'!$U$5:$U$1004,MATCH(C199,'渠道成本'!$A$5:$A$1004,0)),0)</x:f>
        <x:v>0.2876712328767123</x:v>
      </x:c>
      <x:c r="O199" s="26" t="n">
        <x:f>IFERROR(L199/'参数'!$B$8*INDEX('官方售价'!$M$5:$M$204,MATCH(B199,'官方售价'!$A$5:$A$204,0)),0)</x:f>
        <x:v>0.15409972602739727</x:v>
      </x:c>
      <x:c r="P199" s="26" t="n">
        <x:f>IF(M199="per_token",L199/'参数'!$B$8*N199,IF(M199="per_duration",F199*N199,IF(M199="per_request",N199,0)))</x:f>
        <x:v>0.2876712328767123</x:v>
      </x:c>
      <x:c r="Q199" s="26" t="n">
        <x:f>O199*D199</x:f>
        <x:v>0.15409972602739727</x:v>
      </x:c>
      <x:c r="R199" s="26" t="n">
        <x:f>Q199-P199</x:f>
        <x:v>-0.13357150684931504</x:v>
      </x:c>
      <x:c r="S199" s="29" t="n">
        <x:f>IF(Q199=0,"",R199/Q199)</x:f>
        <x:v>-0.8667861409796891</x:v>
      </x:c>
      <x:c r="T199" s="23" t="str">
        <x:f>IF(OR(B199="",C199=""),"pending",IF(OR(O199&lt;0,P199&lt;0),"settlement_failed","settled"))</x:f>
        <x:v>settled</x:v>
      </x:c>
      <x:c r="U199" s="7" t="str">
        <x:v>源行=sd!106；自动利润预览；分组倍率可改为用户折扣</x:v>
      </x:c>
    </x:row>
    <x:row r="200" ht="26.350000381469727" customHeight="1">
      <x:c r="A200" s="19" t="str">
        <x:v>CASE-MEGABYAI-R107-720-REQ-NOV</x:v>
      </x:c>
      <x:c r="B200" s="19" t="str">
        <x:v>SALE-SD20-MINI-720-NOV</x:v>
      </x:c>
      <x:c r="C200" s="19" t="str">
        <x:v>COST-MEGABYAI-R107-720-REQ-NOV</x:v>
      </x:c>
      <x:c r="D200" s="28" t="n">
        <x:v>1</x:v>
      </x:c>
      <x:c r="E200" s="28" t="n">
        <x:v>0</x:v>
      </x:c>
      <x:c r="F200" s="28" t="n">
        <x:v>5</x:v>
      </x:c>
      <x:c r="G200" s="23" t="str">
        <x:f>IFERROR(INDEX('官方售价'!$C$5:$C$204,MATCH(B200,'官方售价'!$A$5:$A$204,0)),"")</x:f>
        <x:v>SKU-SD20-MINI-720</x:v>
      </x:c>
      <x:c r="H200" s="23" t="str">
        <x:f>IFERROR(INDEX('官方售价'!$D$5:$D$204,MATCH(B200,'官方售价'!$A$5:$A$204,0)),"")</x:f>
        <x:v>no_video</x:v>
      </x:c>
      <x:c r="I200" s="23" t="n">
        <x:f>IFERROR(INDEX('官方售价'!$H$5:$H$204,MATCH(B200,'官方售价'!$A$5:$A$204,0)),0)</x:f>
        <x:v>1280</x:v>
      </x:c>
      <x:c r="J200" s="23" t="n">
        <x:f>IFERROR(INDEX('官方售价'!$I$5:$I$204,MATCH(B200,'官方售价'!$A$5:$A$204,0)),0)</x:f>
        <x:v>720</x:v>
      </x:c>
      <x:c r="K200" s="23" t="n">
        <x:f>IFERROR(INDEX('官方售价'!$J$5:$J$204,MATCH(B200,'官方售价'!$A$5:$A$204,0)),0)</x:f>
        <x:v>24</x:v>
      </x:c>
      <x:c r="L200" s="25" t="n">
        <x:f>(E200+F200)*I200*J200*K200/'参数'!$B$7</x:f>
        <x:v>108000</x:v>
      </x:c>
      <x:c r="M200" s="23" t="str">
        <x:f>IFERROR(INDEX('渠道成本'!$F$5:$F$1004,MATCH(C200,'渠道成本'!$A$5:$A$1004,0)),"")</x:f>
        <x:v>per_request</x:v>
      </x:c>
      <x:c r="N200" s="26" t="n">
        <x:f>IFERROR(INDEX('渠道成本'!$U$5:$U$1004,MATCH(C200,'渠道成本'!$A$5:$A$1004,0)),0)</x:f>
        <x:v>0.4794520547945205</x:v>
      </x:c>
      <x:c r="O200" s="26" t="n">
        <x:f>IFERROR(L200/'参数'!$B$8*INDEX('官方售价'!$M$5:$M$204,MATCH(B200,'官方售价'!$A$5:$A$204,0)),0)</x:f>
        <x:v>0.34027397260273967</x:v>
      </x:c>
      <x:c r="P200" s="26" t="n">
        <x:f>IF(M200="per_token",L200/'参数'!$B$8*N200,IF(M200="per_duration",F200*N200,IF(M200="per_request",N200,0)))</x:f>
        <x:v>0.4794520547945205</x:v>
      </x:c>
      <x:c r="Q200" s="26" t="n">
        <x:f>O200*D200</x:f>
        <x:v>0.34027397260273967</x:v>
      </x:c>
      <x:c r="R200" s="26" t="n">
        <x:f>Q200-P200</x:f>
        <x:v>-0.13917808219178085</x:v>
      </x:c>
      <x:c r="S200" s="29" t="n">
        <x:f>IF(Q200=0,"",R200/Q200)</x:f>
        <x:v>-0.4090177133655396</x:v>
      </x:c>
      <x:c r="T200" s="23" t="str">
        <x:f>IF(OR(B200="",C200=""),"pending",IF(OR(O200&lt;0,P200&lt;0),"settlement_failed","settled"))</x:f>
        <x:v>settled</x:v>
      </x:c>
      <x:c r="U200" s="7" t="str">
        <x:v>源行=sd!107；自动利润预览；分组倍率可改为用户折扣</x:v>
      </x:c>
    </x:row>
    <x:row r="201" ht="26.350000381469727" customHeight="1">
      <x:c r="A201" s="19" t="str">
        <x:v>CASE-MEGABYAI-R107-720-REQ-VID</x:v>
      </x:c>
      <x:c r="B201" s="19" t="str">
        <x:v>SALE-SD20-MINI-720-VID</x:v>
      </x:c>
      <x:c r="C201" s="19" t="str">
        <x:v>COST-MEGABYAI-R107-720-REQ-VID</x:v>
      </x:c>
      <x:c r="D201" s="28" t="n">
        <x:v>1</x:v>
      </x:c>
      <x:c r="E201" s="28" t="n">
        <x:v>3</x:v>
      </x:c>
      <x:c r="F201" s="28" t="n">
        <x:v>5</x:v>
      </x:c>
      <x:c r="G201" s="23" t="str">
        <x:f>IFERROR(INDEX('官方售价'!$C$5:$C$204,MATCH(B201,'官方售价'!$A$5:$A$204,0)),"")</x:f>
        <x:v>SKU-SD20-MINI-720</x:v>
      </x:c>
      <x:c r="H201" s="23" t="str">
        <x:f>IFERROR(INDEX('官方售价'!$D$5:$D$204,MATCH(B201,'官方售价'!$A$5:$A$204,0)),"")</x:f>
        <x:v>with_video</x:v>
      </x:c>
      <x:c r="I201" s="23" t="n">
        <x:f>IFERROR(INDEX('官方售价'!$H$5:$H$204,MATCH(B201,'官方售价'!$A$5:$A$204,0)),0)</x:f>
        <x:v>1280</x:v>
      </x:c>
      <x:c r="J201" s="23" t="n">
        <x:f>IFERROR(INDEX('官方售价'!$I$5:$I$204,MATCH(B201,'官方售价'!$A$5:$A$204,0)),0)</x:f>
        <x:v>720</x:v>
      </x:c>
      <x:c r="K201" s="23" t="n">
        <x:f>IFERROR(INDEX('官方售价'!$J$5:$J$204,MATCH(B201,'官方售价'!$A$5:$A$204,0)),0)</x:f>
        <x:v>24</x:v>
      </x:c>
      <x:c r="L201" s="25" t="n">
        <x:f>(E201+F201)*I201*J201*K201/'参数'!$B$7</x:f>
        <x:v>172800</x:v>
      </x:c>
      <x:c r="M201" s="23" t="str">
        <x:f>IFERROR(INDEX('渠道成本'!$F$5:$F$1004,MATCH(C201,'渠道成本'!$A$5:$A$1004,0)),"")</x:f>
        <x:v>per_request</x:v>
      </x:c>
      <x:c r="N201" s="26" t="n">
        <x:f>IFERROR(INDEX('渠道成本'!$U$5:$U$1004,MATCH(C201,'渠道成本'!$A$5:$A$1004,0)),0)</x:f>
        <x:v>0.4794520547945205</x:v>
      </x:c>
      <x:c r="O201" s="26" t="n">
        <x:f>IFERROR(L201/'参数'!$B$8*INDEX('官方售价'!$M$5:$M$204,MATCH(B201,'官方售价'!$A$5:$A$204,0)),0)</x:f>
        <x:v>0.3313972602739726</x:v>
      </x:c>
      <x:c r="P201" s="26" t="n">
        <x:f>IF(M201="per_token",L201/'参数'!$B$8*N201,IF(M201="per_duration",F201*N201,IF(M201="per_request",N201,0)))</x:f>
        <x:v>0.4794520547945205</x:v>
      </x:c>
      <x:c r="Q201" s="26" t="n">
        <x:f>O201*D201</x:f>
        <x:v>0.3313972602739726</x:v>
      </x:c>
      <x:c r="R201" s="26" t="n">
        <x:f>Q201-P201</x:f>
        <x:v>-0.14805479452054793</x:v>
      </x:c>
      <x:c r="S201" s="29" t="n">
        <x:f>IF(Q201=0,"",R201/Q201)</x:f>
        <x:v>-0.44675925925925924</x:v>
      </x:c>
      <x:c r="T201" s="23" t="str">
        <x:f>IF(OR(B201="",C201=""),"pending",IF(OR(O201&lt;0,P201&lt;0),"settlement_failed","settled"))</x:f>
        <x:v>settled</x:v>
      </x:c>
      <x:c r="U201" s="7" t="str">
        <x:v>源行=sd!107；自动利润预览；分组倍率可改为用户折扣</x:v>
      </x:c>
    </x:row>
    <x:row r="202" ht="26.350000381469727" customHeight="1">
      <x:c r="A202" s="19" t="str">
        <x:v>CASE-MEGABYAI-R108-720-SEC-NOV</x:v>
      </x:c>
      <x:c r="B202" s="19" t="str">
        <x:v>SALE-SD20-STD-720-NOV</x:v>
      </x:c>
      <x:c r="C202" s="19" t="str">
        <x:v>COST-MEGABYAI-R108-720-SEC-NOV</x:v>
      </x:c>
      <x:c r="D202" s="28" t="n">
        <x:v>1</x:v>
      </x:c>
      <x:c r="E202" s="28" t="n">
        <x:v>0</x:v>
      </x:c>
      <x:c r="F202" s="28" t="n">
        <x:v>5</x:v>
      </x:c>
      <x:c r="G202" s="23" t="str">
        <x:f>IFERROR(INDEX('官方售价'!$C$5:$C$204,MATCH(B202,'官方售价'!$A$5:$A$204,0)),"")</x:f>
        <x:v>SKU-SD20-STD-720</x:v>
      </x:c>
      <x:c r="H202" s="23" t="str">
        <x:f>IFERROR(INDEX('官方售价'!$D$5:$D$204,MATCH(B202,'官方售价'!$A$5:$A$204,0)),"")</x:f>
        <x:v>no_video</x:v>
      </x:c>
      <x:c r="I202" s="23" t="n">
        <x:f>IFERROR(INDEX('官方售价'!$H$5:$H$204,MATCH(B202,'官方售价'!$A$5:$A$204,0)),0)</x:f>
        <x:v>1280</x:v>
      </x:c>
      <x:c r="J202" s="23" t="n">
        <x:f>IFERROR(INDEX('官方售价'!$I$5:$I$204,MATCH(B202,'官方售价'!$A$5:$A$204,0)),0)</x:f>
        <x:v>720</x:v>
      </x:c>
      <x:c r="K202" s="23" t="n">
        <x:f>IFERROR(INDEX('官方售价'!$J$5:$J$204,MATCH(B202,'官方售价'!$A$5:$A$204,0)),0)</x:f>
        <x:v>24</x:v>
      </x:c>
      <x:c r="L202" s="25" t="n">
        <x:f>(E202+F202)*I202*J202*K202/'参数'!$B$7</x:f>
        <x:v>108000</x:v>
      </x:c>
      <x:c r="M202" s="23" t="str">
        <x:f>IFERROR(INDEX('渠道成本'!$F$5:$F$1004,MATCH(C202,'渠道成本'!$A$5:$A$1004,0)),"")</x:f>
        <x:v>per_duration</x:v>
      </x:c>
      <x:c r="N202" s="26" t="n">
        <x:f>IFERROR(INDEX('渠道成本'!$U$5:$U$1004,MATCH(C202,'渠道成本'!$A$5:$A$1004,0)),0)</x:f>
        <x:v>0.045205479452054796</x:v>
      </x:c>
      <x:c r="O202" s="26" t="n">
        <x:f>IFERROR(L202/'参数'!$B$8*INDEX('官方售价'!$M$5:$M$204,MATCH(B202,'官方售价'!$A$5:$A$204,0)),0)</x:f>
        <x:v>0.6805479452054793</x:v>
      </x:c>
      <x:c r="P202" s="26" t="n">
        <x:f>IF(M202="per_token",L202/'参数'!$B$8*N202,IF(M202="per_duration",F202*N202,IF(M202="per_request",N202,0)))</x:f>
        <x:v>0.226027397260274</x:v>
      </x:c>
      <x:c r="Q202" s="26" t="n">
        <x:f>O202*D202</x:f>
        <x:v>0.6805479452054793</x:v>
      </x:c>
      <x:c r="R202" s="26" t="n">
        <x:f>Q202-P202</x:f>
        <x:v>0.45452054794520536</x:v>
      </x:c>
      <x:c r="S202" s="29" t="n">
        <x:f>IF(Q202=0,"",R202/Q202)</x:f>
        <x:v>0.6678743961352657</x:v>
      </x:c>
      <x:c r="T202" s="23" t="str">
        <x:f>IF(OR(B202="",C202=""),"pending",IF(OR(O202&lt;0,P202&lt;0),"settlement_failed","settled"))</x:f>
        <x:v>settled</x:v>
      </x:c>
      <x:c r="U202" s="7" t="str">
        <x:v>源行=sd!108；自动利润预览；分组倍率可改为用户折扣</x:v>
      </x:c>
    </x:row>
    <x:row r="203" ht="26.350000381469727" customHeight="1">
      <x:c r="A203" s="19" t="str">
        <x:v>CASE-MEGABYAI-R108-720-SEC-VID</x:v>
      </x:c>
      <x:c r="B203" s="19" t="str">
        <x:v>SALE-SD20-STD-720-VID</x:v>
      </x:c>
      <x:c r="C203" s="19" t="str">
        <x:v>COST-MEGABYAI-R108-720-SEC-VID</x:v>
      </x:c>
      <x:c r="D203" s="28" t="n">
        <x:v>1</x:v>
      </x:c>
      <x:c r="E203" s="28" t="n">
        <x:v>3</x:v>
      </x:c>
      <x:c r="F203" s="28" t="n">
        <x:v>5</x:v>
      </x:c>
      <x:c r="G203" s="23" t="str">
        <x:f>IFERROR(INDEX('官方售价'!$C$5:$C$204,MATCH(B203,'官方售价'!$A$5:$A$204,0)),"")</x:f>
        <x:v>SKU-SD20-STD-720</x:v>
      </x:c>
      <x:c r="H203" s="23" t="str">
        <x:f>IFERROR(INDEX('官方售价'!$D$5:$D$204,MATCH(B203,'官方售价'!$A$5:$A$204,0)),"")</x:f>
        <x:v>with_video</x:v>
      </x:c>
      <x:c r="I203" s="23" t="n">
        <x:f>IFERROR(INDEX('官方售价'!$H$5:$H$204,MATCH(B203,'官方售价'!$A$5:$A$204,0)),0)</x:f>
        <x:v>1280</x:v>
      </x:c>
      <x:c r="J203" s="23" t="n">
        <x:f>IFERROR(INDEX('官方售价'!$I$5:$I$204,MATCH(B203,'官方售价'!$A$5:$A$204,0)),0)</x:f>
        <x:v>720</x:v>
      </x:c>
      <x:c r="K203" s="23" t="n">
        <x:f>IFERROR(INDEX('官方售价'!$J$5:$J$204,MATCH(B203,'官方售价'!$A$5:$A$204,0)),0)</x:f>
        <x:v>24</x:v>
      </x:c>
      <x:c r="L203" s="25" t="n">
        <x:f>(E203+F203)*I203*J203*K203/'参数'!$B$7</x:f>
        <x:v>172800</x:v>
      </x:c>
      <x:c r="M203" s="23" t="str">
        <x:f>IFERROR(INDEX('渠道成本'!$F$5:$F$1004,MATCH(C203,'渠道成本'!$A$5:$A$1004,0)),"")</x:f>
        <x:v>per_duration</x:v>
      </x:c>
      <x:c r="N203" s="26" t="n">
        <x:f>IFERROR(INDEX('渠道成本'!$U$5:$U$1004,MATCH(C203,'渠道成本'!$A$5:$A$1004,0)),0)</x:f>
        <x:v>0.045205479452054796</x:v>
      </x:c>
      <x:c r="O203" s="26" t="n">
        <x:f>IFERROR(L203/'参数'!$B$8*INDEX('官方售价'!$M$5:$M$204,MATCH(B203,'官方售价'!$A$5:$A$204,0)),0)</x:f>
        <x:v>0.6627945205479452</x:v>
      </x:c>
      <x:c r="P203" s="26" t="n">
        <x:f>IF(M203="per_token",L203/'参数'!$B$8*N203,IF(M203="per_duration",F203*N203,IF(M203="per_request",N203,0)))</x:f>
        <x:v>0.226027397260274</x:v>
      </x:c>
      <x:c r="Q203" s="26" t="n">
        <x:f>O203*D203</x:f>
        <x:v>0.6627945205479452</x:v>
      </x:c>
      <x:c r="R203" s="26" t="n">
        <x:f>Q203-P203</x:f>
        <x:v>0.4367671232876712</x:v>
      </x:c>
      <x:c r="S203" s="29" t="n">
        <x:f>IF(Q203=0,"",R203/Q203)</x:f>
        <x:v>0.6589781746031745</x:v>
      </x:c>
      <x:c r="T203" s="23" t="str">
        <x:f>IF(OR(B203="",C203=""),"pending",IF(OR(O203&lt;0,P203&lt;0),"settlement_failed","settled"))</x:f>
        <x:v>settled</x:v>
      </x:c>
      <x:c r="U203" s="7" t="str">
        <x:v>源行=sd!108；自动利润预览；分组倍率可改为用户折扣</x:v>
      </x:c>
    </x:row>
    <x:row r="204" ht="26.350000381469727" customHeight="1">
      <x:c r="A204" s="19" t="str">
        <x:v>CASE-MEGABYAI-R109-480-SEC-NOV</x:v>
      </x:c>
      <x:c r="B204" s="19" t="str">
        <x:v>SALE-SD20-STD-480-NOV</x:v>
      </x:c>
      <x:c r="C204" s="19" t="str">
        <x:v>COST-MEGABYAI-R109-480-SEC-NOV</x:v>
      </x:c>
      <x:c r="D204" s="28" t="n">
        <x:v>1</x:v>
      </x:c>
      <x:c r="E204" s="28" t="n">
        <x:v>0</x:v>
      </x:c>
      <x:c r="F204" s="28" t="n">
        <x:v>5</x:v>
      </x:c>
      <x:c r="G204" s="23" t="str">
        <x:f>IFERROR(INDEX('官方售价'!$C$5:$C$204,MATCH(B204,'官方售价'!$A$5:$A$204,0)),"")</x:f>
        <x:v>SKU-SD20-STD-480</x:v>
      </x:c>
      <x:c r="H204" s="23" t="str">
        <x:f>IFERROR(INDEX('官方售价'!$D$5:$D$204,MATCH(B204,'官方售价'!$A$5:$A$204,0)),"")</x:f>
        <x:v>no_video</x:v>
      </x:c>
      <x:c r="I204" s="23" t="n">
        <x:f>IFERROR(INDEX('官方售价'!$H$5:$H$204,MATCH(B204,'官方售价'!$A$5:$A$204,0)),0)</x:f>
        <x:v>864</x:v>
      </x:c>
      <x:c r="J204" s="23" t="n">
        <x:f>IFERROR(INDEX('官方售价'!$I$5:$I$204,MATCH(B204,'官方售价'!$A$5:$A$204,0)),0)</x:f>
        <x:v>496</x:v>
      </x:c>
      <x:c r="K204" s="23" t="n">
        <x:f>IFERROR(INDEX('官方售价'!$J$5:$J$204,MATCH(B204,'官方售价'!$A$5:$A$204,0)),0)</x:f>
        <x:v>24</x:v>
      </x:c>
      <x:c r="L204" s="25" t="n">
        <x:f>(E204+F204)*I204*J204*K204/'参数'!$B$7</x:f>
        <x:v>50220</x:v>
      </x:c>
      <x:c r="M204" s="23" t="str">
        <x:f>IFERROR(INDEX('渠道成本'!$F$5:$F$1004,MATCH(C204,'渠道成本'!$A$5:$A$1004,0)),"")</x:f>
        <x:v>per_duration</x:v>
      </x:c>
      <x:c r="N204" s="26" t="n">
        <x:f>IFERROR(INDEX('渠道成本'!$U$5:$U$1004,MATCH(C204,'渠道成本'!$A$5:$A$1004,0)),0)</x:f>
        <x:v>0.031506849315068496</x:v>
      </x:c>
      <x:c r="O204" s="26" t="n">
        <x:f>IFERROR(L204/'参数'!$B$8*INDEX('官方售价'!$M$5:$M$204,MATCH(B204,'官方售价'!$A$5:$A$204,0)),0)</x:f>
        <x:v>0.3164547945205479</x:v>
      </x:c>
      <x:c r="P204" s="26" t="n">
        <x:f>IF(M204="per_token",L204/'参数'!$B$8*N204,IF(M204="per_duration",F204*N204,IF(M204="per_request",N204,0)))</x:f>
        <x:v>0.15753424657534248</x:v>
      </x:c>
      <x:c r="Q204" s="26" t="n">
        <x:f>O204*D204</x:f>
        <x:v>0.3164547945205479</x:v>
      </x:c>
      <x:c r="R204" s="26" t="n">
        <x:f>Q204-P204</x:f>
        <x:v>0.15892054794520544</x:v>
      </x:c>
      <x:c r="S204" s="29" t="n">
        <x:f>IF(Q204=0,"",R204/Q204)</x:f>
        <x:v>0.502190362405416</x:v>
      </x:c>
      <x:c r="T204" s="23" t="str">
        <x:f>IF(OR(B204="",C204=""),"pending",IF(OR(O204&lt;0,P204&lt;0),"settlement_failed","settled"))</x:f>
        <x:v>settled</x:v>
      </x:c>
      <x:c r="U204" s="7" t="str">
        <x:v>源行=sd!109；自动利润预览；分组倍率可改为用户折扣</x:v>
      </x:c>
    </x:row>
    <x:row r="205" ht="26.350000381469727" customHeight="1">
      <x:c r="A205" s="19" t="str">
        <x:v>CASE-MEGABYAI-R109-480-SEC-VID</x:v>
      </x:c>
      <x:c r="B205" s="19" t="str">
        <x:v>SALE-SD20-STD-480-VID</x:v>
      </x:c>
      <x:c r="C205" s="19" t="str">
        <x:v>COST-MEGABYAI-R109-480-SEC-VID</x:v>
      </x:c>
      <x:c r="D205" s="28" t="n">
        <x:v>1</x:v>
      </x:c>
      <x:c r="E205" s="28" t="n">
        <x:v>3</x:v>
      </x:c>
      <x:c r="F205" s="28" t="n">
        <x:v>5</x:v>
      </x:c>
      <x:c r="G205" s="23" t="str">
        <x:f>IFERROR(INDEX('官方售价'!$C$5:$C$204,MATCH(B205,'官方售价'!$A$5:$A$204,0)),"")</x:f>
        <x:v>SKU-SD20-STD-480</x:v>
      </x:c>
      <x:c r="H205" s="23" t="str">
        <x:f>IFERROR(INDEX('官方售价'!$D$5:$D$204,MATCH(B205,'官方售价'!$A$5:$A$204,0)),"")</x:f>
        <x:v>with_video</x:v>
      </x:c>
      <x:c r="I205" s="23" t="n">
        <x:f>IFERROR(INDEX('官方售价'!$H$5:$H$204,MATCH(B205,'官方售价'!$A$5:$A$204,0)),0)</x:f>
        <x:v>864</x:v>
      </x:c>
      <x:c r="J205" s="23" t="n">
        <x:f>IFERROR(INDEX('官方售价'!$I$5:$I$204,MATCH(B205,'官方售价'!$A$5:$A$204,0)),0)</x:f>
        <x:v>496</x:v>
      </x:c>
      <x:c r="K205" s="23" t="n">
        <x:f>IFERROR(INDEX('官方售价'!$J$5:$J$204,MATCH(B205,'官方售价'!$A$5:$A$204,0)),0)</x:f>
        <x:v>24</x:v>
      </x:c>
      <x:c r="L205" s="25" t="n">
        <x:f>(E205+F205)*I205*J205*K205/'参数'!$B$7</x:f>
        <x:v>80352</x:v>
      </x:c>
      <x:c r="M205" s="23" t="str">
        <x:f>IFERROR(INDEX('渠道成本'!$F$5:$F$1004,MATCH(C205,'渠道成本'!$A$5:$A$1004,0)),"")</x:f>
        <x:v>per_duration</x:v>
      </x:c>
      <x:c r="N205" s="26" t="n">
        <x:f>IFERROR(INDEX('渠道成本'!$U$5:$U$1004,MATCH(C205,'渠道成本'!$A$5:$A$1004,0)),0)</x:f>
        <x:v>0.031506849315068496</x:v>
      </x:c>
      <x:c r="O205" s="26" t="n">
        <x:f>IFERROR(L205/'参数'!$B$8*INDEX('官方售价'!$M$5:$M$204,MATCH(B205,'官方售价'!$A$5:$A$204,0)),0)</x:f>
        <x:v>0.30819945205479454</x:v>
      </x:c>
      <x:c r="P205" s="26" t="n">
        <x:f>IF(M205="per_token",L205/'参数'!$B$8*N205,IF(M205="per_duration",F205*N205,IF(M205="per_request",N205,0)))</x:f>
        <x:v>0.15753424657534248</x:v>
      </x:c>
      <x:c r="Q205" s="26" t="n">
        <x:f>O205*D205</x:f>
        <x:v>0.30819945205479454</x:v>
      </x:c>
      <x:c r="R205" s="26" t="n">
        <x:f>Q205-P205</x:f>
        <x:v>0.15066520547945206</x:v>
      </x:c>
      <x:c r="S205" s="29" t="n">
        <x:f>IF(Q205=0,"",R205/Q205)</x:f>
        <x:v>0.48885617568413264</x:v>
      </x:c>
      <x:c r="T205" s="23" t="str">
        <x:f>IF(OR(B205="",C205=""),"pending",IF(OR(O205&lt;0,P205&lt;0),"settlement_failed","settled"))</x:f>
        <x:v>settled</x:v>
      </x:c>
      <x:c r="U205" s="7" t="str">
        <x:v>源行=sd!109；自动利润预览；分组倍率可改为用户折扣</x:v>
      </x:c>
    </x:row>
    <x:row r="206" ht="26.350000381469727" customHeight="1">
      <x:c r="A206" s="19" t="str">
        <x:v>CASE-MEGABYAI-R110-720-SEC-NOV</x:v>
      </x:c>
      <x:c r="B206" s="19" t="str">
        <x:v>SALE-SD20-STD-720-NOV</x:v>
      </x:c>
      <x:c r="C206" s="19" t="str">
        <x:v>COST-MEGABYAI-R110-720-SEC-NOV</x:v>
      </x:c>
      <x:c r="D206" s="28" t="n">
        <x:v>1</x:v>
      </x:c>
      <x:c r="E206" s="28" t="n">
        <x:v>0</x:v>
      </x:c>
      <x:c r="F206" s="28" t="n">
        <x:v>5</x:v>
      </x:c>
      <x:c r="G206" s="23" t="str">
        <x:f>IFERROR(INDEX('官方售价'!$C$5:$C$204,MATCH(B206,'官方售价'!$A$5:$A$204,0)),"")</x:f>
        <x:v>SKU-SD20-STD-720</x:v>
      </x:c>
      <x:c r="H206" s="23" t="str">
        <x:f>IFERROR(INDEX('官方售价'!$D$5:$D$204,MATCH(B206,'官方售价'!$A$5:$A$204,0)),"")</x:f>
        <x:v>no_video</x:v>
      </x:c>
      <x:c r="I206" s="23" t="n">
        <x:f>IFERROR(INDEX('官方售价'!$H$5:$H$204,MATCH(B206,'官方售价'!$A$5:$A$204,0)),0)</x:f>
        <x:v>1280</x:v>
      </x:c>
      <x:c r="J206" s="23" t="n">
        <x:f>IFERROR(INDEX('官方售价'!$I$5:$I$204,MATCH(B206,'官方售价'!$A$5:$A$204,0)),0)</x:f>
        <x:v>720</x:v>
      </x:c>
      <x:c r="K206" s="23" t="n">
        <x:f>IFERROR(INDEX('官方售价'!$J$5:$J$204,MATCH(B206,'官方售价'!$A$5:$A$204,0)),0)</x:f>
        <x:v>24</x:v>
      </x:c>
      <x:c r="L206" s="25" t="n">
        <x:f>(E206+F206)*I206*J206*K206/'参数'!$B$7</x:f>
        <x:v>108000</x:v>
      </x:c>
      <x:c r="M206" s="23" t="str">
        <x:f>IFERROR(INDEX('渠道成本'!$F$5:$F$1004,MATCH(C206,'渠道成本'!$A$5:$A$1004,0)),"")</x:f>
        <x:v>per_duration</x:v>
      </x:c>
      <x:c r="N206" s="26" t="n">
        <x:f>IFERROR(INDEX('渠道成本'!$U$5:$U$1004,MATCH(C206,'渠道成本'!$A$5:$A$1004,0)),0)</x:f>
        <x:v>0.045205479452054796</x:v>
      </x:c>
      <x:c r="O206" s="26" t="n">
        <x:f>IFERROR(L206/'参数'!$B$8*INDEX('官方售价'!$M$5:$M$204,MATCH(B206,'官方售价'!$A$5:$A$204,0)),0)</x:f>
        <x:v>0.6805479452054793</x:v>
      </x:c>
      <x:c r="P206" s="26" t="n">
        <x:f>IF(M206="per_token",L206/'参数'!$B$8*N206,IF(M206="per_duration",F206*N206,IF(M206="per_request",N206,0)))</x:f>
        <x:v>0.226027397260274</x:v>
      </x:c>
      <x:c r="Q206" s="26" t="n">
        <x:f>O206*D206</x:f>
        <x:v>0.6805479452054793</x:v>
      </x:c>
      <x:c r="R206" s="26" t="n">
        <x:f>Q206-P206</x:f>
        <x:v>0.45452054794520536</x:v>
      </x:c>
      <x:c r="S206" s="29" t="n">
        <x:f>IF(Q206=0,"",R206/Q206)</x:f>
        <x:v>0.6678743961352657</x:v>
      </x:c>
      <x:c r="T206" s="23" t="str">
        <x:f>IF(OR(B206="",C206=""),"pending",IF(OR(O206&lt;0,P206&lt;0),"settlement_failed","settled"))</x:f>
        <x:v>settled</x:v>
      </x:c>
      <x:c r="U206" s="7" t="str">
        <x:v>源行=sd!110；自动利润预览；分组倍率可改为用户折扣</x:v>
      </x:c>
    </x:row>
    <x:row r="207" ht="26.350000381469727" customHeight="1">
      <x:c r="A207" s="19" t="str">
        <x:v>CASE-MEGABYAI-R110-720-SEC-VID</x:v>
      </x:c>
      <x:c r="B207" s="19" t="str">
        <x:v>SALE-SD20-STD-720-VID</x:v>
      </x:c>
      <x:c r="C207" s="19" t="str">
        <x:v>COST-MEGABYAI-R110-720-SEC-VID</x:v>
      </x:c>
      <x:c r="D207" s="28" t="n">
        <x:v>1</x:v>
      </x:c>
      <x:c r="E207" s="28" t="n">
        <x:v>3</x:v>
      </x:c>
      <x:c r="F207" s="28" t="n">
        <x:v>5</x:v>
      </x:c>
      <x:c r="G207" s="23" t="str">
        <x:f>IFERROR(INDEX('官方售价'!$C$5:$C$204,MATCH(B207,'官方售价'!$A$5:$A$204,0)),"")</x:f>
        <x:v>SKU-SD20-STD-720</x:v>
      </x:c>
      <x:c r="H207" s="23" t="str">
        <x:f>IFERROR(INDEX('官方售价'!$D$5:$D$204,MATCH(B207,'官方售价'!$A$5:$A$204,0)),"")</x:f>
        <x:v>with_video</x:v>
      </x:c>
      <x:c r="I207" s="23" t="n">
        <x:f>IFERROR(INDEX('官方售价'!$H$5:$H$204,MATCH(B207,'官方售价'!$A$5:$A$204,0)),0)</x:f>
        <x:v>1280</x:v>
      </x:c>
      <x:c r="J207" s="23" t="n">
        <x:f>IFERROR(INDEX('官方售价'!$I$5:$I$204,MATCH(B207,'官方售价'!$A$5:$A$204,0)),0)</x:f>
        <x:v>720</x:v>
      </x:c>
      <x:c r="K207" s="23" t="n">
        <x:f>IFERROR(INDEX('官方售价'!$J$5:$J$204,MATCH(B207,'官方售价'!$A$5:$A$204,0)),0)</x:f>
        <x:v>24</x:v>
      </x:c>
      <x:c r="L207" s="25" t="n">
        <x:f>(E207+F207)*I207*J207*K207/'参数'!$B$7</x:f>
        <x:v>172800</x:v>
      </x:c>
      <x:c r="M207" s="23" t="str">
        <x:f>IFERROR(INDEX('渠道成本'!$F$5:$F$1004,MATCH(C207,'渠道成本'!$A$5:$A$1004,0)),"")</x:f>
        <x:v>per_duration</x:v>
      </x:c>
      <x:c r="N207" s="26" t="n">
        <x:f>IFERROR(INDEX('渠道成本'!$U$5:$U$1004,MATCH(C207,'渠道成本'!$A$5:$A$1004,0)),0)</x:f>
        <x:v>0.045205479452054796</x:v>
      </x:c>
      <x:c r="O207" s="26" t="n">
        <x:f>IFERROR(L207/'参数'!$B$8*INDEX('官方售价'!$M$5:$M$204,MATCH(B207,'官方售价'!$A$5:$A$204,0)),0)</x:f>
        <x:v>0.6627945205479452</x:v>
      </x:c>
      <x:c r="P207" s="26" t="n">
        <x:f>IF(M207="per_token",L207/'参数'!$B$8*N207,IF(M207="per_duration",F207*N207,IF(M207="per_request",N207,0)))</x:f>
        <x:v>0.226027397260274</x:v>
      </x:c>
      <x:c r="Q207" s="26" t="n">
        <x:f>O207*D207</x:f>
        <x:v>0.6627945205479452</x:v>
      </x:c>
      <x:c r="R207" s="26" t="n">
        <x:f>Q207-P207</x:f>
        <x:v>0.4367671232876712</x:v>
      </x:c>
      <x:c r="S207" s="29" t="n">
        <x:f>IF(Q207=0,"",R207/Q207)</x:f>
        <x:v>0.6589781746031745</x:v>
      </x:c>
      <x:c r="T207" s="23" t="str">
        <x:f>IF(OR(B207="",C207=""),"pending",IF(OR(O207&lt;0,P207&lt;0),"settlement_failed","settled"))</x:f>
        <x:v>settled</x:v>
      </x:c>
      <x:c r="U207" s="7" t="str">
        <x:v>源行=sd!110；自动利润预览；分组倍率可改为用户折扣</x:v>
      </x:c>
    </x:row>
    <x:row r="208" ht="26.350000381469727" customHeight="1">
      <x:c r="A208" s="19" t="str">
        <x:v>CASE-MEGABYAI-R111-480-SEC-NOV</x:v>
      </x:c>
      <x:c r="B208" s="19" t="str">
        <x:v>SALE-SD20-FAST-480-NOV</x:v>
      </x:c>
      <x:c r="C208" s="19" t="str">
        <x:v>COST-MEGABYAI-R111-480-SEC-NOV</x:v>
      </x:c>
      <x:c r="D208" s="28" t="n">
        <x:v>1</x:v>
      </x:c>
      <x:c r="E208" s="28" t="n">
        <x:v>0</x:v>
      </x:c>
      <x:c r="F208" s="28" t="n">
        <x:v>5</x:v>
      </x:c>
      <x:c r="G208" s="23" t="str">
        <x:f>IFERROR(INDEX('官方售价'!$C$5:$C$204,MATCH(B208,'官方售价'!$A$5:$A$204,0)),"")</x:f>
        <x:v>SKU-SD20-FAST-480</x:v>
      </x:c>
      <x:c r="H208" s="23" t="str">
        <x:f>IFERROR(INDEX('官方售价'!$D$5:$D$204,MATCH(B208,'官方售价'!$A$5:$A$204,0)),"")</x:f>
        <x:v>no_video</x:v>
      </x:c>
      <x:c r="I208" s="23" t="n">
        <x:f>IFERROR(INDEX('官方售价'!$H$5:$H$204,MATCH(B208,'官方售价'!$A$5:$A$204,0)),0)</x:f>
        <x:v>864</x:v>
      </x:c>
      <x:c r="J208" s="23" t="n">
        <x:f>IFERROR(INDEX('官方售价'!$I$5:$I$204,MATCH(B208,'官方售价'!$A$5:$A$204,0)),0)</x:f>
        <x:v>496</x:v>
      </x:c>
      <x:c r="K208" s="23" t="n">
        <x:f>IFERROR(INDEX('官方售价'!$J$5:$J$204,MATCH(B208,'官方售价'!$A$5:$A$204,0)),0)</x:f>
        <x:v>24</x:v>
      </x:c>
      <x:c r="L208" s="25" t="n">
        <x:f>(E208+F208)*I208*J208*K208/'参数'!$B$7</x:f>
        <x:v>50220</x:v>
      </x:c>
      <x:c r="M208" s="23" t="str">
        <x:f>IFERROR(INDEX('渠道成本'!$F$5:$F$1004,MATCH(C208,'渠道成本'!$A$5:$A$1004,0)),"")</x:f>
        <x:v>per_duration</x:v>
      </x:c>
      <x:c r="N208" s="26" t="n">
        <x:f>IFERROR(INDEX('渠道成本'!$U$5:$U$1004,MATCH(C208,'渠道成本'!$A$5:$A$1004,0)),0)</x:f>
        <x:v>0.01780821917808219</x:v>
      </x:c>
      <x:c r="O208" s="26" t="n">
        <x:f>IFERROR(L208/'参数'!$B$8*INDEX('官方售价'!$M$5:$M$204,MATCH(B208,'官方售价'!$A$5:$A$204,0)),0)</x:f>
        <x:v>0.2545397260273973</x:v>
      </x:c>
      <x:c r="P208" s="26" t="n">
        <x:f>IF(M208="per_token",L208/'参数'!$B$8*N208,IF(M208="per_duration",F208*N208,IF(M208="per_request",N208,0)))</x:f>
        <x:v>0.08904109589041095</x:v>
      </x:c>
      <x:c r="Q208" s="26" t="n">
        <x:f>O208*D208</x:f>
        <x:v>0.2545397260273973</x:v>
      </x:c>
      <x:c r="R208" s="26" t="n">
        <x:f>Q208-P208</x:f>
        <x:v>0.16549863013698632</x:v>
      </x:c>
      <x:c r="S208" s="29" t="n">
        <x:f>IF(Q208=0,"",R208/Q208)</x:f>
        <x:v>0.650187822230833</x:v>
      </x:c>
      <x:c r="T208" s="23" t="str">
        <x:f>IF(OR(B208="",C208=""),"pending",IF(OR(O208&lt;0,P208&lt;0),"settlement_failed","settled"))</x:f>
        <x:v>settled</x:v>
      </x:c>
      <x:c r="U208" s="7" t="str">
        <x:v>源行=sd!111；自动利润预览；分组倍率可改为用户折扣</x:v>
      </x:c>
    </x:row>
    <x:row r="209" ht="26.350000381469727" customHeight="1">
      <x:c r="A209" s="19" t="str">
        <x:v>CASE-MEGABYAI-R111-480-SEC-VID</x:v>
      </x:c>
      <x:c r="B209" s="19" t="str">
        <x:v>SALE-SD20-FAST-480-VID</x:v>
      </x:c>
      <x:c r="C209" s="19" t="str">
        <x:v>COST-MEGABYAI-R111-480-SEC-VID</x:v>
      </x:c>
      <x:c r="D209" s="28" t="n">
        <x:v>1</x:v>
      </x:c>
      <x:c r="E209" s="28" t="n">
        <x:v>3</x:v>
      </x:c>
      <x:c r="F209" s="28" t="n">
        <x:v>5</x:v>
      </x:c>
      <x:c r="G209" s="23" t="str">
        <x:f>IFERROR(INDEX('官方售价'!$C$5:$C$204,MATCH(B209,'官方售价'!$A$5:$A$204,0)),"")</x:f>
        <x:v>SKU-SD20-FAST-480</x:v>
      </x:c>
      <x:c r="H209" s="23" t="str">
        <x:f>IFERROR(INDEX('官方售价'!$D$5:$D$204,MATCH(B209,'官方售价'!$A$5:$A$204,0)),"")</x:f>
        <x:v>with_video</x:v>
      </x:c>
      <x:c r="I209" s="23" t="n">
        <x:f>IFERROR(INDEX('官方售价'!$H$5:$H$204,MATCH(B209,'官方售价'!$A$5:$A$204,0)),0)</x:f>
        <x:v>864</x:v>
      </x:c>
      <x:c r="J209" s="23" t="n">
        <x:f>IFERROR(INDEX('官方售价'!$I$5:$I$204,MATCH(B209,'官方售价'!$A$5:$A$204,0)),0)</x:f>
        <x:v>496</x:v>
      </x:c>
      <x:c r="K209" s="23" t="n">
        <x:f>IFERROR(INDEX('官方售价'!$J$5:$J$204,MATCH(B209,'官方售价'!$A$5:$A$204,0)),0)</x:f>
        <x:v>24</x:v>
      </x:c>
      <x:c r="L209" s="25" t="n">
        <x:f>(E209+F209)*I209*J209*K209/'参数'!$B$7</x:f>
        <x:v>80352</x:v>
      </x:c>
      <x:c r="M209" s="23" t="str">
        <x:f>IFERROR(INDEX('渠道成本'!$F$5:$F$1004,MATCH(C209,'渠道成本'!$A$5:$A$1004,0)),"")</x:f>
        <x:v>per_duration</x:v>
      </x:c>
      <x:c r="N209" s="26" t="n">
        <x:f>IFERROR(INDEX('渠道成本'!$U$5:$U$1004,MATCH(C209,'渠道成本'!$A$5:$A$1004,0)),0)</x:f>
        <x:v>0.01780821917808219</x:v>
      </x:c>
      <x:c r="O209" s="26" t="n">
        <x:f>IFERROR(L209/'参数'!$B$8*INDEX('官方售价'!$M$5:$M$204,MATCH(B209,'官方售价'!$A$5:$A$204,0)),0)</x:f>
        <x:v>0.24215671232876712</x:v>
      </x:c>
      <x:c r="P209" s="26" t="n">
        <x:f>IF(M209="per_token",L209/'参数'!$B$8*N209,IF(M209="per_duration",F209*N209,IF(M209="per_request",N209,0)))</x:f>
        <x:v>0.08904109589041095</x:v>
      </x:c>
      <x:c r="Q209" s="26" t="n">
        <x:f>O209*D209</x:f>
        <x:v>0.24215671232876712</x:v>
      </x:c>
      <x:c r="R209" s="26" t="n">
        <x:f>Q209-P209</x:f>
        <x:v>0.15311561643835617</x:v>
      </x:c>
      <x:c r="S209" s="29" t="n">
        <x:f>IF(Q209=0,"",R209/Q209)</x:f>
        <x:v>0.6322996995040006</x:v>
      </x:c>
      <x:c r="T209" s="23" t="str">
        <x:f>IF(OR(B209="",C209=""),"pending",IF(OR(O209&lt;0,P209&lt;0),"settlement_failed","settled"))</x:f>
        <x:v>settled</x:v>
      </x:c>
      <x:c r="U209" s="7" t="str">
        <x:v>源行=sd!111；自动利润预览；分组倍率可改为用户折扣</x:v>
      </x:c>
    </x:row>
    <x:row r="210" ht="26.350000381469727" customHeight="1">
      <x:c r="A210" s="19" t="str">
        <x:v>CASE-MEGABYAI-R112-720-SEC-NOV</x:v>
      </x:c>
      <x:c r="B210" s="19" t="str">
        <x:v>SALE-SD20-FAST-720-NOV</x:v>
      </x:c>
      <x:c r="C210" s="19" t="str">
        <x:v>COST-MEGABYAI-R112-720-SEC-NOV</x:v>
      </x:c>
      <x:c r="D210" s="28" t="n">
        <x:v>1</x:v>
      </x:c>
      <x:c r="E210" s="28" t="n">
        <x:v>0</x:v>
      </x:c>
      <x:c r="F210" s="28" t="n">
        <x:v>5</x:v>
      </x:c>
      <x:c r="G210" s="23" t="str">
        <x:f>IFERROR(INDEX('官方售价'!$C$5:$C$204,MATCH(B210,'官方售价'!$A$5:$A$204,0)),"")</x:f>
        <x:v>SKU-SD20-FAST-720</x:v>
      </x:c>
      <x:c r="H210" s="23" t="str">
        <x:f>IFERROR(INDEX('官方售价'!$D$5:$D$204,MATCH(B210,'官方售价'!$A$5:$A$204,0)),"")</x:f>
        <x:v>no_video</x:v>
      </x:c>
      <x:c r="I210" s="23" t="n">
        <x:f>IFERROR(INDEX('官方售价'!$H$5:$H$204,MATCH(B210,'官方售价'!$A$5:$A$204,0)),0)</x:f>
        <x:v>1280</x:v>
      </x:c>
      <x:c r="J210" s="23" t="n">
        <x:f>IFERROR(INDEX('官方售价'!$I$5:$I$204,MATCH(B210,'官方售价'!$A$5:$A$204,0)),0)</x:f>
        <x:v>720</x:v>
      </x:c>
      <x:c r="K210" s="23" t="n">
        <x:f>IFERROR(INDEX('官方售价'!$J$5:$J$204,MATCH(B210,'官方售价'!$A$5:$A$204,0)),0)</x:f>
        <x:v>24</x:v>
      </x:c>
      <x:c r="L210" s="25" t="n">
        <x:f>(E210+F210)*I210*J210*K210/'参数'!$B$7</x:f>
        <x:v>108000</x:v>
      </x:c>
      <x:c r="M210" s="23" t="str">
        <x:f>IFERROR(INDEX('渠道成本'!$F$5:$F$1004,MATCH(C210,'渠道成本'!$A$5:$A$1004,0)),"")</x:f>
        <x:v>per_duration</x:v>
      </x:c>
      <x:c r="N210" s="26" t="n">
        <x:f>IFERROR(INDEX('渠道成本'!$U$5:$U$1004,MATCH(C210,'渠道成本'!$A$5:$A$1004,0)),0)</x:f>
        <x:v>0.031506849315068496</x:v>
      </x:c>
      <x:c r="O210" s="26" t="n">
        <x:f>IFERROR(L210/'参数'!$B$8*INDEX('官方售价'!$M$5:$M$204,MATCH(B210,'官方售价'!$A$5:$A$204,0)),0)</x:f>
        <x:v>0.5473972602739726</x:v>
      </x:c>
      <x:c r="P210" s="26" t="n">
        <x:f>IF(M210="per_token",L210/'参数'!$B$8*N210,IF(M210="per_duration",F210*N210,IF(M210="per_request",N210,0)))</x:f>
        <x:v>0.15753424657534248</x:v>
      </x:c>
      <x:c r="Q210" s="26" t="n">
        <x:f>O210*D210</x:f>
        <x:v>0.5473972602739726</x:v>
      </x:c>
      <x:c r="R210" s="26" t="n">
        <x:f>Q210-P210</x:f>
        <x:v>0.38986301369863013</x:v>
      </x:c>
      <x:c r="S210" s="29" t="n">
        <x:f>IF(Q210=0,"",R210/Q210)</x:f>
        <x:v>0.7122122122122122</x:v>
      </x:c>
      <x:c r="T210" s="23" t="str">
        <x:f>IF(OR(B210="",C210=""),"pending",IF(OR(O210&lt;0,P210&lt;0),"settlement_failed","settled"))</x:f>
        <x:v>settled</x:v>
      </x:c>
      <x:c r="U210" s="7" t="str">
        <x:v>源行=sd!112；自动利润预览；分组倍率可改为用户折扣</x:v>
      </x:c>
    </x:row>
    <x:row r="211" ht="26.350000381469727" customHeight="1">
      <x:c r="A211" s="19" t="str">
        <x:v>CASE-MEGABYAI-R112-720-SEC-VID</x:v>
      </x:c>
      <x:c r="B211" s="19" t="str">
        <x:v>SALE-SD20-FAST-720-VID</x:v>
      </x:c>
      <x:c r="C211" s="19" t="str">
        <x:v>COST-MEGABYAI-R112-720-SEC-VID</x:v>
      </x:c>
      <x:c r="D211" s="28" t="n">
        <x:v>1</x:v>
      </x:c>
      <x:c r="E211" s="28" t="n">
        <x:v>3</x:v>
      </x:c>
      <x:c r="F211" s="28" t="n">
        <x:v>5</x:v>
      </x:c>
      <x:c r="G211" s="23" t="str">
        <x:f>IFERROR(INDEX('官方售价'!$C$5:$C$204,MATCH(B211,'官方售价'!$A$5:$A$204,0)),"")</x:f>
        <x:v>SKU-SD20-FAST-720</x:v>
      </x:c>
      <x:c r="H211" s="23" t="str">
        <x:f>IFERROR(INDEX('官方售价'!$D$5:$D$204,MATCH(B211,'官方售价'!$A$5:$A$204,0)),"")</x:f>
        <x:v>with_video</x:v>
      </x:c>
      <x:c r="I211" s="23" t="n">
        <x:f>IFERROR(INDEX('官方售价'!$H$5:$H$204,MATCH(B211,'官方售价'!$A$5:$A$204,0)),0)</x:f>
        <x:v>1280</x:v>
      </x:c>
      <x:c r="J211" s="23" t="n">
        <x:f>IFERROR(INDEX('官方售价'!$I$5:$I$204,MATCH(B211,'官方售价'!$A$5:$A$204,0)),0)</x:f>
        <x:v>720</x:v>
      </x:c>
      <x:c r="K211" s="23" t="n">
        <x:f>IFERROR(INDEX('官方售价'!$J$5:$J$204,MATCH(B211,'官方售价'!$A$5:$A$204,0)),0)</x:f>
        <x:v>24</x:v>
      </x:c>
      <x:c r="L211" s="25" t="n">
        <x:f>(E211+F211)*I211*J211*K211/'参数'!$B$7</x:f>
        <x:v>172800</x:v>
      </x:c>
      <x:c r="M211" s="23" t="str">
        <x:f>IFERROR(INDEX('渠道成本'!$F$5:$F$1004,MATCH(C211,'渠道成本'!$A$5:$A$1004,0)),"")</x:f>
        <x:v>per_duration</x:v>
      </x:c>
      <x:c r="N211" s="26" t="n">
        <x:f>IFERROR(INDEX('渠道成本'!$U$5:$U$1004,MATCH(C211,'渠道成本'!$A$5:$A$1004,0)),0)</x:f>
        <x:v>0.031506849315068496</x:v>
      </x:c>
      <x:c r="O211" s="26" t="n">
        <x:f>IFERROR(L211/'参数'!$B$8*INDEX('官方售价'!$M$5:$M$204,MATCH(B211,'官方售价'!$A$5:$A$204,0)),0)</x:f>
        <x:v>0.5207671232876712</x:v>
      </x:c>
      <x:c r="P211" s="26" t="n">
        <x:f>IF(M211="per_token",L211/'参数'!$B$8*N211,IF(M211="per_duration",F211*N211,IF(M211="per_request",N211,0)))</x:f>
        <x:v>0.15753424657534248</x:v>
      </x:c>
      <x:c r="Q211" s="26" t="n">
        <x:f>O211*D211</x:f>
        <x:v>0.5207671232876712</x:v>
      </x:c>
      <x:c r="R211" s="26" t="n">
        <x:f>Q211-P211</x:f>
        <x:v>0.3632328767123287</x:v>
      </x:c>
      <x:c r="S211" s="29" t="n">
        <x:f>IF(Q211=0,"",R211/Q211)</x:f>
        <x:v>0.6974957912457912</x:v>
      </x:c>
      <x:c r="T211" s="23" t="str">
        <x:f>IF(OR(B211="",C211=""),"pending",IF(OR(O211&lt;0,P211&lt;0),"settlement_failed","settled"))</x:f>
        <x:v>settled</x:v>
      </x:c>
      <x:c r="U211" s="7" t="str">
        <x:v>源行=sd!112；自动利润预览；分组倍率可改为用户折扣</x:v>
      </x:c>
    </x:row>
    <x:row r="212" ht="26.350000381469727" customHeight="1">
      <x:c r="A212" s="19" t="str">
        <x:v>CASE-MEGABYAI-R113-480-SEC-NOV</x:v>
      </x:c>
      <x:c r="B212" s="19" t="str">
        <x:v>SALE-SD20-MINI-480-NOV</x:v>
      </x:c>
      <x:c r="C212" s="19" t="str">
        <x:v>COST-MEGABYAI-R113-480-SEC-NOV</x:v>
      </x:c>
      <x:c r="D212" s="28" t="n">
        <x:v>1</x:v>
      </x:c>
      <x:c r="E212" s="28" t="n">
        <x:v>0</x:v>
      </x:c>
      <x:c r="F212" s="28" t="n">
        <x:v>5</x:v>
      </x:c>
      <x:c r="G212" s="23" t="str">
        <x:f>IFERROR(INDEX('官方售价'!$C$5:$C$204,MATCH(B212,'官方售价'!$A$5:$A$204,0)),"")</x:f>
        <x:v>SKU-SD20-MINI-480</x:v>
      </x:c>
      <x:c r="H212" s="23" t="str">
        <x:f>IFERROR(INDEX('官方售价'!$D$5:$D$204,MATCH(B212,'官方售价'!$A$5:$A$204,0)),"")</x:f>
        <x:v>no_video</x:v>
      </x:c>
      <x:c r="I212" s="23" t="n">
        <x:f>IFERROR(INDEX('官方售价'!$H$5:$H$204,MATCH(B212,'官方售价'!$A$5:$A$204,0)),0)</x:f>
        <x:v>864</x:v>
      </x:c>
      <x:c r="J212" s="23" t="n">
        <x:f>IFERROR(INDEX('官方售价'!$I$5:$I$204,MATCH(B212,'官方售价'!$A$5:$A$204,0)),0)</x:f>
        <x:v>496</x:v>
      </x:c>
      <x:c r="K212" s="23" t="n">
        <x:f>IFERROR(INDEX('官方售价'!$J$5:$J$204,MATCH(B212,'官方售价'!$A$5:$A$204,0)),0)</x:f>
        <x:v>24</x:v>
      </x:c>
      <x:c r="L212" s="25" t="n">
        <x:f>(E212+F212)*I212*J212*K212/'参数'!$B$7</x:f>
        <x:v>50220</x:v>
      </x:c>
      <x:c r="M212" s="23" t="str">
        <x:f>IFERROR(INDEX('渠道成本'!$F$5:$F$1004,MATCH(C212,'渠道成本'!$A$5:$A$1004,0)),"")</x:f>
        <x:v>per_duration</x:v>
      </x:c>
      <x:c r="N212" s="26" t="n">
        <x:f>IFERROR(INDEX('渠道成本'!$U$5:$U$1004,MATCH(C212,'渠道成本'!$A$5:$A$1004,0)),0)</x:f>
        <x:v>0.012328767123287671</x:v>
      </x:c>
      <x:c r="O212" s="26" t="n">
        <x:f>IFERROR(L212/'参数'!$B$8*INDEX('官方售价'!$M$5:$M$204,MATCH(B212,'官方售价'!$A$5:$A$204,0)),0)</x:f>
        <x:v>0.15822739726027396</x:v>
      </x:c>
      <x:c r="P212" s="26" t="n">
        <x:f>IF(M212="per_token",L212/'参数'!$B$8*N212,IF(M212="per_duration",F212*N212,IF(M212="per_request",N212,0)))</x:f>
        <x:v>0.06164383561643835</x:v>
      </x:c>
      <x:c r="Q212" s="26" t="n">
        <x:f>O212*D212</x:f>
        <x:v>0.15822739726027396</x:v>
      </x:c>
      <x:c r="R212" s="26" t="n">
        <x:f>Q212-P212</x:f>
        <x:v>0.09658356164383561</x:v>
      </x:c>
      <x:c r="S212" s="29" t="n">
        <x:f>IF(Q212=0,"",R212/Q212)</x:f>
        <x:v>0.6104098488390214</x:v>
      </x:c>
      <x:c r="T212" s="23" t="str">
        <x:f>IF(OR(B212="",C212=""),"pending",IF(OR(O212&lt;0,P212&lt;0),"settlement_failed","settled"))</x:f>
        <x:v>settled</x:v>
      </x:c>
      <x:c r="U212" s="7" t="str">
        <x:v>源行=sd!113；自动利润预览；分组倍率可改为用户折扣</x:v>
      </x:c>
    </x:row>
    <x:row r="213">
      <x:c r="A213" t="str">
        <x:v>CASE-MEGABYAI-R113-480-SEC-VID</x:v>
      </x:c>
      <x:c r="B213" t="str">
        <x:v>SALE-SD20-MINI-480-VID</x:v>
      </x:c>
      <x:c r="C213" t="str">
        <x:v>COST-MEGABYAI-R113-480-SEC-VID</x:v>
      </x:c>
      <x:c r="D213" t="n">
        <x:v>1</x:v>
      </x:c>
      <x:c r="E213" t="n">
        <x:v>3</x:v>
      </x:c>
      <x:c r="F213" t="n">
        <x:v>5</x:v>
      </x:c>
      <x:c r="G213" t="str">
        <x:f>IFERROR(INDEX('官方售价'!$C$5:$C$204,MATCH(B213,'官方售价'!$A$5:$A$204,0)),"")</x:f>
        <x:v>SKU-SD20-MINI-480</x:v>
      </x:c>
      <x:c r="H213" t="str">
        <x:f>IFERROR(INDEX('官方售价'!$D$5:$D$204,MATCH(B213,'官方售价'!$A$5:$A$204,0)),"")</x:f>
        <x:v>with_video</x:v>
      </x:c>
      <x:c r="I213" t="n">
        <x:f>IFERROR(INDEX('官方售价'!$H$5:$H$204,MATCH(B213,'官方售价'!$A$5:$A$204,0)),0)</x:f>
        <x:v>864</x:v>
      </x:c>
      <x:c r="J213" t="n">
        <x:f>IFERROR(INDEX('官方售价'!$I$5:$I$204,MATCH(B213,'官方售价'!$A$5:$A$204,0)),0)</x:f>
        <x:v>496</x:v>
      </x:c>
      <x:c r="K213" t="n">
        <x:f>IFERROR(INDEX('官方售价'!$J$5:$J$204,MATCH(B213,'官方售价'!$A$5:$A$204,0)),0)</x:f>
        <x:v>24</x:v>
      </x:c>
      <x:c r="L213" t="n">
        <x:f>(E213+F213)*I213*J213*K213/'参数'!$B$7</x:f>
        <x:v>80352</x:v>
      </x:c>
      <x:c r="M213" t="str">
        <x:f>IFERROR(INDEX('渠道成本'!$F$5:$F$1004,MATCH(C213,'渠道成本'!$A$5:$A$1004,0)),"")</x:f>
        <x:v>per_duration</x:v>
      </x:c>
      <x:c r="N213" t="n">
        <x:f>IFERROR(INDEX('渠道成本'!$U$5:$U$1004,MATCH(C213,'渠道成本'!$A$5:$A$1004,0)),0)</x:f>
        <x:v>0.012328767123287671</x:v>
      </x:c>
      <x:c r="O213" t="n">
        <x:f>IFERROR(L213/'参数'!$B$8*INDEX('官方售价'!$M$5:$M$204,MATCH(B213,'官方售价'!$A$5:$A$204,0)),0)</x:f>
        <x:v>0.15409972602739727</x:v>
      </x:c>
      <x:c r="P213" t="n">
        <x:f>IF(M213="per_token",L213/'参数'!$B$8*N213,IF(M213="per_duration",F213*N213,IF(M213="per_request",N213,0)))</x:f>
        <x:v>0.06164383561643835</x:v>
      </x:c>
      <x:c r="Q213" t="n">
        <x:f>O213*D213</x:f>
        <x:v>0.15409972602739727</x:v>
      </x:c>
      <x:c r="R213" t="n">
        <x:f>Q213-P213</x:f>
        <x:v>0.09245589041095892</x:v>
      </x:c>
      <x:c r="S213" t="n">
        <x:f>IF(Q213=0,"",R213/Q213)</x:f>
        <x:v>0.5999743983614951</x:v>
      </x:c>
      <x:c r="T213" t="str">
        <x:f>IF(OR(B213="",C213=""),"pending",IF(OR(O213&lt;0,P213&lt;0),"settlement_failed","settled"))</x:f>
        <x:v>settled</x:v>
      </x:c>
      <x:c r="U213" t="str">
        <x:v>源行=sd!113；自动利润预览；分组倍率可改为用户折扣</x:v>
      </x:c>
    </x:row>
    <x:row r="214">
      <x:c r="A214" t="str">
        <x:v>CASE-MEGABYAI-R114-720-SEC-NOV</x:v>
      </x:c>
      <x:c r="B214" t="str">
        <x:v>SALE-SD20-MINI-720-NOV</x:v>
      </x:c>
      <x:c r="C214" t="str">
        <x:v>COST-MEGABYAI-R114-720-SEC-NOV</x:v>
      </x:c>
      <x:c r="D214" t="n">
        <x:v>1</x:v>
      </x:c>
      <x:c r="E214" t="n">
        <x:v>0</x:v>
      </x:c>
      <x:c r="F214" t="n">
        <x:v>5</x:v>
      </x:c>
      <x:c r="G214" t="str">
        <x:f>IFERROR(INDEX('官方售价'!$C$5:$C$204,MATCH(B214,'官方售价'!$A$5:$A$204,0)),"")</x:f>
        <x:v>SKU-SD20-MINI-720</x:v>
      </x:c>
      <x:c r="H214" t="str">
        <x:f>IFERROR(INDEX('官方售价'!$D$5:$D$204,MATCH(B214,'官方售价'!$A$5:$A$204,0)),"")</x:f>
        <x:v>no_video</x:v>
      </x:c>
      <x:c r="I214" t="n">
        <x:f>IFERROR(INDEX('官方售价'!$H$5:$H$204,MATCH(B214,'官方售价'!$A$5:$A$204,0)),0)</x:f>
        <x:v>1280</x:v>
      </x:c>
      <x:c r="J214" t="n">
        <x:f>IFERROR(INDEX('官方售价'!$I$5:$I$204,MATCH(B214,'官方售价'!$A$5:$A$204,0)),0)</x:f>
        <x:v>720</x:v>
      </x:c>
      <x:c r="K214" t="n">
        <x:f>IFERROR(INDEX('官方售价'!$J$5:$J$204,MATCH(B214,'官方售价'!$A$5:$A$204,0)),0)</x:f>
        <x:v>24</x:v>
      </x:c>
      <x:c r="L214" t="n">
        <x:f>(E214+F214)*I214*J214*K214/'参数'!$B$7</x:f>
        <x:v>108000</x:v>
      </x:c>
      <x:c r="M214" t="str">
        <x:f>IFERROR(INDEX('渠道成本'!$F$5:$F$1004,MATCH(C214,'渠道成本'!$A$5:$A$1004,0)),"")</x:f>
        <x:v>per_duration</x:v>
      </x:c>
      <x:c r="N214" t="n">
        <x:f>IFERROR(INDEX('渠道成本'!$U$5:$U$1004,MATCH(C214,'渠道成本'!$A$5:$A$1004,0)),0)</x:f>
        <x:v>0.021917808219178082</x:v>
      </x:c>
      <x:c r="O214" t="n">
        <x:f>IFERROR(L214/'参数'!$B$8*INDEX('官方售价'!$M$5:$M$204,MATCH(B214,'官方售价'!$A$5:$A$204,0)),0)</x:f>
        <x:v>0.34027397260273967</x:v>
      </x:c>
      <x:c r="P214" t="n">
        <x:f>IF(M214="per_token",L214/'参数'!$B$8*N214,IF(M214="per_duration",F214*N214,IF(M214="per_request",N214,0)))</x:f>
        <x:v>0.1095890410958904</x:v>
      </x:c>
      <x:c r="Q214" t="n">
        <x:f>O214*D214</x:f>
        <x:v>0.34027397260273967</x:v>
      </x:c>
      <x:c r="R214" t="n">
        <x:f>Q214-P214</x:f>
        <x:v>0.23068493150684927</x:v>
      </x:c>
      <x:c r="S214" t="n">
        <x:f>IF(Q214=0,"",R214/Q214)</x:f>
        <x:v>0.677938808373591</x:v>
      </x:c>
      <x:c r="T214" t="str">
        <x:f>IF(OR(B214="",C214=""),"pending",IF(OR(O214&lt;0,P214&lt;0),"settlement_failed","settled"))</x:f>
        <x:v>settled</x:v>
      </x:c>
      <x:c r="U214" t="str">
        <x:v>源行=sd!114；自动利润预览；分组倍率可改为用户折扣</x:v>
      </x:c>
    </x:row>
    <x:row r="215">
      <x:c r="A215" t="str">
        <x:v>CASE-MEGABYAI-R114-720-SEC-VID</x:v>
      </x:c>
      <x:c r="B215" t="str">
        <x:v>SALE-SD20-MINI-720-VID</x:v>
      </x:c>
      <x:c r="C215" t="str">
        <x:v>COST-MEGABYAI-R114-720-SEC-VID</x:v>
      </x:c>
      <x:c r="D215" t="n">
        <x:v>1</x:v>
      </x:c>
      <x:c r="E215" t="n">
        <x:v>3</x:v>
      </x:c>
      <x:c r="F215" t="n">
        <x:v>5</x:v>
      </x:c>
      <x:c r="G215" t="str">
        <x:f>IFERROR(INDEX('官方售价'!$C$5:$C$204,MATCH(B215,'官方售价'!$A$5:$A$204,0)),"")</x:f>
        <x:v>SKU-SD20-MINI-720</x:v>
      </x:c>
      <x:c r="H215" t="str">
        <x:f>IFERROR(INDEX('官方售价'!$D$5:$D$204,MATCH(B215,'官方售价'!$A$5:$A$204,0)),"")</x:f>
        <x:v>with_video</x:v>
      </x:c>
      <x:c r="I215" t="n">
        <x:f>IFERROR(INDEX('官方售价'!$H$5:$H$204,MATCH(B215,'官方售价'!$A$5:$A$204,0)),0)</x:f>
        <x:v>1280</x:v>
      </x:c>
      <x:c r="J215" t="n">
        <x:f>IFERROR(INDEX('官方售价'!$I$5:$I$204,MATCH(B215,'官方售价'!$A$5:$A$204,0)),0)</x:f>
        <x:v>720</x:v>
      </x:c>
      <x:c r="K215" t="n">
        <x:f>IFERROR(INDEX('官方售价'!$J$5:$J$204,MATCH(B215,'官方售价'!$A$5:$A$204,0)),0)</x:f>
        <x:v>24</x:v>
      </x:c>
      <x:c r="L215" t="n">
        <x:f>(E215+F215)*I215*J215*K215/'参数'!$B$7</x:f>
        <x:v>172800</x:v>
      </x:c>
      <x:c r="M215" t="str">
        <x:f>IFERROR(INDEX('渠道成本'!$F$5:$F$1004,MATCH(C215,'渠道成本'!$A$5:$A$1004,0)),"")</x:f>
        <x:v>per_duration</x:v>
      </x:c>
      <x:c r="N215" t="n">
        <x:f>IFERROR(INDEX('渠道成本'!$U$5:$U$1004,MATCH(C215,'渠道成本'!$A$5:$A$1004,0)),0)</x:f>
        <x:v>0.021917808219178082</x:v>
      </x:c>
      <x:c r="O215" t="n">
        <x:f>IFERROR(L215/'参数'!$B$8*INDEX('官方售价'!$M$5:$M$204,MATCH(B215,'官方售价'!$A$5:$A$204,0)),0)</x:f>
        <x:v>0.3313972602739726</x:v>
      </x:c>
      <x:c r="P215" t="n">
        <x:f>IF(M215="per_token",L215/'参数'!$B$8*N215,IF(M215="per_duration",F215*N215,IF(M215="per_request",N215,0)))</x:f>
        <x:v>0.1095890410958904</x:v>
      </x:c>
      <x:c r="Q215" t="n">
        <x:f>O215*D215</x:f>
        <x:v>0.3313972602739726</x:v>
      </x:c>
      <x:c r="R215" t="n">
        <x:f>Q215-P215</x:f>
        <x:v>0.2218082191780822</x:v>
      </x:c>
      <x:c r="S215" t="n">
        <x:f>IF(Q215=0,"",R215/Q215)</x:f>
        <x:v>0.6693121693121693</x:v>
      </x:c>
      <x:c r="T215" t="str">
        <x:f>IF(OR(B215="",C215=""),"pending",IF(OR(O215&lt;0,P215&lt;0),"settlement_failed","settled"))</x:f>
        <x:v>settled</x:v>
      </x:c>
      <x:c r="U215" t="str">
        <x:v>源行=sd!114；自动利润预览；分组倍率可改为用户折扣</x:v>
      </x:c>
    </x:row>
    <x:row r="216">
      <x:c r="A216" t="str">
        <x:v>CASE-4STOKEN-R116-480-REQ-NOV</x:v>
      </x:c>
      <x:c r="B216" t="str">
        <x:v>SALE-SD20-FAST-480-NOV</x:v>
      </x:c>
      <x:c r="C216" t="str">
        <x:v>COST-4STOKEN-R116-480-REQ-NOV</x:v>
      </x:c>
      <x:c r="D216" t="n">
        <x:v>1</x:v>
      </x:c>
      <x:c r="E216" t="n">
        <x:v>0</x:v>
      </x:c>
      <x:c r="F216" t="n">
        <x:v>5</x:v>
      </x:c>
      <x:c r="G216" t="str">
        <x:f>IFERROR(INDEX('官方售价'!$C$5:$C$204,MATCH(B216,'官方售价'!$A$5:$A$204,0)),"")</x:f>
        <x:v>SKU-SD20-FAST-480</x:v>
      </x:c>
      <x:c r="H216" t="str">
        <x:f>IFERROR(INDEX('官方售价'!$D$5:$D$204,MATCH(B216,'官方售价'!$A$5:$A$204,0)),"")</x:f>
        <x:v>no_video</x:v>
      </x:c>
      <x:c r="I216" t="n">
        <x:f>IFERROR(INDEX('官方售价'!$H$5:$H$204,MATCH(B216,'官方售价'!$A$5:$A$204,0)),0)</x:f>
        <x:v>864</x:v>
      </x:c>
      <x:c r="J216" t="n">
        <x:f>IFERROR(INDEX('官方售价'!$I$5:$I$204,MATCH(B216,'官方售价'!$A$5:$A$204,0)),0)</x:f>
        <x:v>496</x:v>
      </x:c>
      <x:c r="K216" t="n">
        <x:f>IFERROR(INDEX('官方售价'!$J$5:$J$204,MATCH(B216,'官方售价'!$A$5:$A$204,0)),0)</x:f>
        <x:v>24</x:v>
      </x:c>
      <x:c r="L216" t="n">
        <x:f>(E216+F216)*I216*J216*K216/'参数'!$B$7</x:f>
        <x:v>50220</x:v>
      </x:c>
      <x:c r="M216" t="str">
        <x:f>IFERROR(INDEX('渠道成本'!$F$5:$F$1004,MATCH(C216,'渠道成本'!$A$5:$A$1004,0)),"")</x:f>
        <x:v>per_request</x:v>
      </x:c>
      <x:c r="N216" t="n">
        <x:f>IFERROR(INDEX('渠道成本'!$U$5:$U$1004,MATCH(C216,'渠道成本'!$A$5:$A$1004,0)),0)</x:f>
        <x:v>0.4589041095890411</x:v>
      </x:c>
      <x:c r="O216" t="n">
        <x:f>IFERROR(L216/'参数'!$B$8*INDEX('官方售价'!$M$5:$M$204,MATCH(B216,'官方售价'!$A$5:$A$204,0)),0)</x:f>
        <x:v>0.2545397260273973</x:v>
      </x:c>
      <x:c r="P216" t="n">
        <x:f>IF(M216="per_token",L216/'参数'!$B$8*N216,IF(M216="per_duration",F216*N216,IF(M216="per_request",N216,0)))</x:f>
        <x:v>0.4589041095890411</x:v>
      </x:c>
      <x:c r="Q216" t="n">
        <x:f>O216*D216</x:f>
        <x:v>0.2545397260273973</x:v>
      </x:c>
      <x:c r="R216" t="n">
        <x:f>Q216-P216</x:f>
        <x:v>-0.20436438356164383</x:v>
      </x:c>
      <x:c r="S216" t="n">
        <x:f>IF(Q216=0,"",R216/Q216)</x:f>
        <x:v>-0.8028781469641684</x:v>
      </x:c>
      <x:c r="T216" t="str">
        <x:f>IF(OR(B216="",C216=""),"pending",IF(OR(O216&lt;0,P216&lt;0),"settlement_failed","settled"))</x:f>
        <x:v>settled</x:v>
      </x:c>
      <x:c r="U216" t="str">
        <x:v>源行=sd!116；自动利润预览；分组倍率可改为用户折扣</x:v>
      </x:c>
    </x:row>
    <x:row r="217">
      <x:c r="A217" t="str">
        <x:v>CASE-4STOKEN-R116-480-REQ-VID</x:v>
      </x:c>
      <x:c r="B217" t="str">
        <x:v>SALE-SD20-FAST-480-VID</x:v>
      </x:c>
      <x:c r="C217" t="str">
        <x:v>COST-4STOKEN-R116-480-REQ-VID</x:v>
      </x:c>
      <x:c r="D217" t="n">
        <x:v>1</x:v>
      </x:c>
      <x:c r="E217" t="n">
        <x:v>3</x:v>
      </x:c>
      <x:c r="F217" t="n">
        <x:v>5</x:v>
      </x:c>
      <x:c r="G217" t="str">
        <x:f>IFERROR(INDEX('官方售价'!$C$5:$C$204,MATCH(B217,'官方售价'!$A$5:$A$204,0)),"")</x:f>
        <x:v>SKU-SD20-FAST-480</x:v>
      </x:c>
      <x:c r="H217" t="str">
        <x:f>IFERROR(INDEX('官方售价'!$D$5:$D$204,MATCH(B217,'官方售价'!$A$5:$A$204,0)),"")</x:f>
        <x:v>with_video</x:v>
      </x:c>
      <x:c r="I217" t="n">
        <x:f>IFERROR(INDEX('官方售价'!$H$5:$H$204,MATCH(B217,'官方售价'!$A$5:$A$204,0)),0)</x:f>
        <x:v>864</x:v>
      </x:c>
      <x:c r="J217" t="n">
        <x:f>IFERROR(INDEX('官方售价'!$I$5:$I$204,MATCH(B217,'官方售价'!$A$5:$A$204,0)),0)</x:f>
        <x:v>496</x:v>
      </x:c>
      <x:c r="K217" t="n">
        <x:f>IFERROR(INDEX('官方售价'!$J$5:$J$204,MATCH(B217,'官方售价'!$A$5:$A$204,0)),0)</x:f>
        <x:v>24</x:v>
      </x:c>
      <x:c r="L217" t="n">
        <x:f>(E217+F217)*I217*J217*K217/'参数'!$B$7</x:f>
        <x:v>80352</x:v>
      </x:c>
      <x:c r="M217" t="str">
        <x:f>IFERROR(INDEX('渠道成本'!$F$5:$F$1004,MATCH(C217,'渠道成本'!$A$5:$A$1004,0)),"")</x:f>
        <x:v>per_request</x:v>
      </x:c>
      <x:c r="N217" t="n">
        <x:f>IFERROR(INDEX('渠道成本'!$U$5:$U$1004,MATCH(C217,'渠道成本'!$A$5:$A$1004,0)),0)</x:f>
        <x:v>0.4589041095890411</x:v>
      </x:c>
      <x:c r="O217" t="n">
        <x:f>IFERROR(L217/'参数'!$B$8*INDEX('官方售价'!$M$5:$M$204,MATCH(B217,'官方售价'!$A$5:$A$204,0)),0)</x:f>
        <x:v>0.24215671232876712</x:v>
      </x:c>
      <x:c r="P217" t="n">
        <x:f>IF(M217="per_token",L217/'参数'!$B$8*N217,IF(M217="per_duration",F217*N217,IF(M217="per_request",N217,0)))</x:f>
        <x:v>0.4589041095890411</x:v>
      </x:c>
      <x:c r="Q217" t="n">
        <x:f>O217*D217</x:f>
        <x:v>0.24215671232876712</x:v>
      </x:c>
      <x:c r="R217" t="n">
        <x:f>Q217-P217</x:f>
        <x:v>-0.21674739726027398</x:v>
      </x:c>
      <x:c r="S217" t="n">
        <x:f>IF(Q217=0,"",R217/Q217)</x:f>
        <x:v>-0.8950707794793816</x:v>
      </x:c>
      <x:c r="T217" t="str">
        <x:f>IF(OR(B217="",C217=""),"pending",IF(OR(O217&lt;0,P217&lt;0),"settlement_failed","settled"))</x:f>
        <x:v>settled</x:v>
      </x:c>
      <x:c r="U217" t="str">
        <x:v>源行=sd!116；自动利润预览；分组倍率可改为用户折扣</x:v>
      </x:c>
    </x:row>
    <x:row r="218">
      <x:c r="A218" t="str">
        <x:v>CASE-4STOKEN-R117-720-REQ-NOV</x:v>
      </x:c>
      <x:c r="B218" t="str">
        <x:v>SALE-SD20-FAST-720-NOV</x:v>
      </x:c>
      <x:c r="C218" t="str">
        <x:v>COST-4STOKEN-R117-720-REQ-NOV</x:v>
      </x:c>
      <x:c r="D218" t="n">
        <x:v>1</x:v>
      </x:c>
      <x:c r="E218" t="n">
        <x:v>0</x:v>
      </x:c>
      <x:c r="F218" t="n">
        <x:v>5</x:v>
      </x:c>
      <x:c r="G218" t="str">
        <x:f>IFERROR(INDEX('官方售价'!$C$5:$C$204,MATCH(B218,'官方售价'!$A$5:$A$204,0)),"")</x:f>
        <x:v>SKU-SD20-FAST-720</x:v>
      </x:c>
      <x:c r="H218" t="str">
        <x:f>IFERROR(INDEX('官方售价'!$D$5:$D$204,MATCH(B218,'官方售价'!$A$5:$A$204,0)),"")</x:f>
        <x:v>no_video</x:v>
      </x:c>
      <x:c r="I218" t="n">
        <x:f>IFERROR(INDEX('官方售价'!$H$5:$H$204,MATCH(B218,'官方售价'!$A$5:$A$204,0)),0)</x:f>
        <x:v>1280</x:v>
      </x:c>
      <x:c r="J218" t="n">
        <x:f>IFERROR(INDEX('官方售价'!$I$5:$I$204,MATCH(B218,'官方售价'!$A$5:$A$204,0)),0)</x:f>
        <x:v>720</x:v>
      </x:c>
      <x:c r="K218" t="n">
        <x:f>IFERROR(INDEX('官方售价'!$J$5:$J$204,MATCH(B218,'官方售价'!$A$5:$A$204,0)),0)</x:f>
        <x:v>24</x:v>
      </x:c>
      <x:c r="L218" t="n">
        <x:f>(E218+F218)*I218*J218*K218/'参数'!$B$7</x:f>
        <x:v>108000</x:v>
      </x:c>
      <x:c r="M218" t="str">
        <x:f>IFERROR(INDEX('渠道成本'!$F$5:$F$1004,MATCH(C218,'渠道成本'!$A$5:$A$1004,0)),"")</x:f>
        <x:v>per_request</x:v>
      </x:c>
      <x:c r="N218" t="n">
        <x:f>IFERROR(INDEX('渠道成本'!$U$5:$U$1004,MATCH(C218,'渠道成本'!$A$5:$A$1004,0)),0)</x:f>
        <x:v>0.9863013698630136</x:v>
      </x:c>
      <x:c r="O218" t="n">
        <x:f>IFERROR(L218/'参数'!$B$8*INDEX('官方售价'!$M$5:$M$204,MATCH(B218,'官方售价'!$A$5:$A$204,0)),0)</x:f>
        <x:v>0.5473972602739726</x:v>
      </x:c>
      <x:c r="P218" t="n">
        <x:f>IF(M218="per_token",L218/'参数'!$B$8*N218,IF(M218="per_duration",F218*N218,IF(M218="per_request",N218,0)))</x:f>
        <x:v>0.9863013698630136</x:v>
      </x:c>
      <x:c r="Q218" t="n">
        <x:f>O218*D218</x:f>
        <x:v>0.5473972602739726</x:v>
      </x:c>
      <x:c r="R218" t="n">
        <x:f>Q218-P218</x:f>
        <x:v>-0.438904109589041</x:v>
      </x:c>
      <x:c r="S218" t="n">
        <x:f>IF(Q218=0,"",R218/Q218)</x:f>
        <x:v>-0.8018018018018016</x:v>
      </x:c>
      <x:c r="T218" t="str">
        <x:f>IF(OR(B218="",C218=""),"pending",IF(OR(O218&lt;0,P218&lt;0),"settlement_failed","settled"))</x:f>
        <x:v>settled</x:v>
      </x:c>
      <x:c r="U218" t="str">
        <x:v>源行=sd!117；自动利润预览；分组倍率可改为用户折扣</x:v>
      </x:c>
    </x:row>
    <x:row r="219">
      <x:c r="A219" t="str">
        <x:v>CASE-4STOKEN-R117-720-REQ-VID</x:v>
      </x:c>
      <x:c r="B219" t="str">
        <x:v>SALE-SD20-FAST-720-VID</x:v>
      </x:c>
      <x:c r="C219" t="str">
        <x:v>COST-4STOKEN-R117-720-REQ-VID</x:v>
      </x:c>
      <x:c r="D219" t="n">
        <x:v>1</x:v>
      </x:c>
      <x:c r="E219" t="n">
        <x:v>3</x:v>
      </x:c>
      <x:c r="F219" t="n">
        <x:v>5</x:v>
      </x:c>
      <x:c r="G219" t="str">
        <x:f>IFERROR(INDEX('官方售价'!$C$5:$C$204,MATCH(B219,'官方售价'!$A$5:$A$204,0)),"")</x:f>
        <x:v>SKU-SD20-FAST-720</x:v>
      </x:c>
      <x:c r="H219" t="str">
        <x:f>IFERROR(INDEX('官方售价'!$D$5:$D$204,MATCH(B219,'官方售价'!$A$5:$A$204,0)),"")</x:f>
        <x:v>with_video</x:v>
      </x:c>
      <x:c r="I219" t="n">
        <x:f>IFERROR(INDEX('官方售价'!$H$5:$H$204,MATCH(B219,'官方售价'!$A$5:$A$204,0)),0)</x:f>
        <x:v>1280</x:v>
      </x:c>
      <x:c r="J219" t="n">
        <x:f>IFERROR(INDEX('官方售价'!$I$5:$I$204,MATCH(B219,'官方售价'!$A$5:$A$204,0)),0)</x:f>
        <x:v>720</x:v>
      </x:c>
      <x:c r="K219" t="n">
        <x:f>IFERROR(INDEX('官方售价'!$J$5:$J$204,MATCH(B219,'官方售价'!$A$5:$A$204,0)),0)</x:f>
        <x:v>24</x:v>
      </x:c>
      <x:c r="L219" t="n">
        <x:f>(E219+F219)*I219*J219*K219/'参数'!$B$7</x:f>
        <x:v>172800</x:v>
      </x:c>
      <x:c r="M219" t="str">
        <x:f>IFERROR(INDEX('渠道成本'!$F$5:$F$1004,MATCH(C219,'渠道成本'!$A$5:$A$1004,0)),"")</x:f>
        <x:v>per_request</x:v>
      </x:c>
      <x:c r="N219" t="n">
        <x:f>IFERROR(INDEX('渠道成本'!$U$5:$U$1004,MATCH(C219,'渠道成本'!$A$5:$A$1004,0)),0)</x:f>
        <x:v>0.9863013698630136</x:v>
      </x:c>
      <x:c r="O219" t="n">
        <x:f>IFERROR(L219/'参数'!$B$8*INDEX('官方售价'!$M$5:$M$204,MATCH(B219,'官方售价'!$A$5:$A$204,0)),0)</x:f>
        <x:v>0.5207671232876712</x:v>
      </x:c>
      <x:c r="P219" t="n">
        <x:f>IF(M219="per_token",L219/'参数'!$B$8*N219,IF(M219="per_duration",F219*N219,IF(M219="per_request",N219,0)))</x:f>
        <x:v>0.9863013698630136</x:v>
      </x:c>
      <x:c r="Q219" t="n">
        <x:f>O219*D219</x:f>
        <x:v>0.5207671232876712</x:v>
      </x:c>
      <x:c r="R219" t="n">
        <x:f>Q219-P219</x:f>
        <x:v>-0.4655342465753425</x:v>
      </x:c>
      <x:c r="S219" t="n">
        <x:f>IF(Q219=0,"",R219/Q219)</x:f>
        <x:v>-0.893939393939394</x:v>
      </x:c>
      <x:c r="T219" t="str">
        <x:f>IF(OR(B219="",C219=""),"pending",IF(OR(O219&lt;0,P219&lt;0),"settlement_failed","settled"))</x:f>
        <x:v>settled</x:v>
      </x:c>
      <x:c r="U219" t="str">
        <x:v>源行=sd!117；自动利润预览；分组倍率可改为用户折扣</x:v>
      </x:c>
    </x:row>
    <x:row r="220">
      <x:c r="A220" t="str">
        <x:v>CASE-4STOKEN-R119-480-REQ-NOV</x:v>
      </x:c>
      <x:c r="B220" t="str">
        <x:v>SALE-SD20-STD-480-NOV</x:v>
      </x:c>
      <x:c r="C220" t="str">
        <x:v>COST-4STOKEN-R119-480-REQ-NOV</x:v>
      </x:c>
      <x:c r="D220" t="n">
        <x:v>1</x:v>
      </x:c>
      <x:c r="E220" t="n">
        <x:v>0</x:v>
      </x:c>
      <x:c r="F220" t="n">
        <x:v>5</x:v>
      </x:c>
      <x:c r="G220" t="str">
        <x:f>IFERROR(INDEX('官方售价'!$C$5:$C$204,MATCH(B220,'官方售价'!$A$5:$A$204,0)),"")</x:f>
        <x:v>SKU-SD20-STD-480</x:v>
      </x:c>
      <x:c r="H220" t="str">
        <x:f>IFERROR(INDEX('官方售价'!$D$5:$D$204,MATCH(B220,'官方售价'!$A$5:$A$204,0)),"")</x:f>
        <x:v>no_video</x:v>
      </x:c>
      <x:c r="I220" t="n">
        <x:f>IFERROR(INDEX('官方售价'!$H$5:$H$204,MATCH(B220,'官方售价'!$A$5:$A$204,0)),0)</x:f>
        <x:v>864</x:v>
      </x:c>
      <x:c r="J220" t="n">
        <x:f>IFERROR(INDEX('官方售价'!$I$5:$I$204,MATCH(B220,'官方售价'!$A$5:$A$204,0)),0)</x:f>
        <x:v>496</x:v>
      </x:c>
      <x:c r="K220" t="n">
        <x:f>IFERROR(INDEX('官方售价'!$J$5:$J$204,MATCH(B220,'官方售价'!$A$5:$A$204,0)),0)</x:f>
        <x:v>24</x:v>
      </x:c>
      <x:c r="L220" t="n">
        <x:f>(E220+F220)*I220*J220*K220/'参数'!$B$7</x:f>
        <x:v>50220</x:v>
      </x:c>
      <x:c r="M220" t="str">
        <x:f>IFERROR(INDEX('渠道成本'!$F$5:$F$1004,MATCH(C220,'渠道成本'!$A$5:$A$1004,0)),"")</x:f>
        <x:v>per_request</x:v>
      </x:c>
      <x:c r="N220" t="n">
        <x:f>IFERROR(INDEX('渠道成本'!$U$5:$U$1004,MATCH(C220,'渠道成本'!$A$5:$A$1004,0)),0)</x:f>
        <x:v>0.5616438356164383</x:v>
      </x:c>
      <x:c r="O220" t="n">
        <x:f>IFERROR(L220/'参数'!$B$8*INDEX('官方售价'!$M$5:$M$204,MATCH(B220,'官方售价'!$A$5:$A$204,0)),0)</x:f>
        <x:v>0.3164547945205479</x:v>
      </x:c>
      <x:c r="P220" t="n">
        <x:f>IF(M220="per_token",L220/'参数'!$B$8*N220,IF(M220="per_duration",F220*N220,IF(M220="per_request",N220,0)))</x:f>
        <x:v>0.5616438356164383</x:v>
      </x:c>
      <x:c r="Q220" t="n">
        <x:f>O220*D220</x:f>
        <x:v>0.3164547945205479</x:v>
      </x:c>
      <x:c r="R220" t="n">
        <x:f>Q220-P220</x:f>
        <x:v>-0.24518904109589035</x:v>
      </x:c>
      <x:c r="S220" t="n">
        <x:f>IF(Q220=0,"",R220/Q220)</x:f>
        <x:v>-0.7747995775111248</x:v>
      </x:c>
      <x:c r="T220" t="str">
        <x:f>IF(OR(B220="",C220=""),"pending",IF(OR(O220&lt;0,P220&lt;0),"settlement_failed","settled"))</x:f>
        <x:v>settled</x:v>
      </x:c>
      <x:c r="U220" t="str">
        <x:v>源行=sd!119；自动利润预览；分组倍率可改为用户折扣</x:v>
      </x:c>
    </x:row>
    <x:row r="221">
      <x:c r="A221" t="str">
        <x:v>CASE-4STOKEN-R119-480-REQ-VID</x:v>
      </x:c>
      <x:c r="B221" t="str">
        <x:v>SALE-SD20-STD-480-VID</x:v>
      </x:c>
      <x:c r="C221" t="str">
        <x:v>COST-4STOKEN-R119-480-REQ-VID</x:v>
      </x:c>
      <x:c r="D221" t="n">
        <x:v>1</x:v>
      </x:c>
      <x:c r="E221" t="n">
        <x:v>3</x:v>
      </x:c>
      <x:c r="F221" t="n">
        <x:v>5</x:v>
      </x:c>
      <x:c r="G221" t="str">
        <x:f>IFERROR(INDEX('官方售价'!$C$5:$C$204,MATCH(B221,'官方售价'!$A$5:$A$204,0)),"")</x:f>
        <x:v>SKU-SD20-STD-480</x:v>
      </x:c>
      <x:c r="H221" t="str">
        <x:f>IFERROR(INDEX('官方售价'!$D$5:$D$204,MATCH(B221,'官方售价'!$A$5:$A$204,0)),"")</x:f>
        <x:v>with_video</x:v>
      </x:c>
      <x:c r="I221" t="n">
        <x:f>IFERROR(INDEX('官方售价'!$H$5:$H$204,MATCH(B221,'官方售价'!$A$5:$A$204,0)),0)</x:f>
        <x:v>864</x:v>
      </x:c>
      <x:c r="J221" t="n">
        <x:f>IFERROR(INDEX('官方售价'!$I$5:$I$204,MATCH(B221,'官方售价'!$A$5:$A$204,0)),0)</x:f>
        <x:v>496</x:v>
      </x:c>
      <x:c r="K221" t="n">
        <x:f>IFERROR(INDEX('官方售价'!$J$5:$J$204,MATCH(B221,'官方售价'!$A$5:$A$204,0)),0)</x:f>
        <x:v>24</x:v>
      </x:c>
      <x:c r="L221" t="n">
        <x:f>(E221+F221)*I221*J221*K221/'参数'!$B$7</x:f>
        <x:v>80352</x:v>
      </x:c>
      <x:c r="M221" t="str">
        <x:f>IFERROR(INDEX('渠道成本'!$F$5:$F$1004,MATCH(C221,'渠道成本'!$A$5:$A$1004,0)),"")</x:f>
        <x:v>per_request</x:v>
      </x:c>
      <x:c r="N221" t="n">
        <x:f>IFERROR(INDEX('渠道成本'!$U$5:$U$1004,MATCH(C221,'渠道成本'!$A$5:$A$1004,0)),0)</x:f>
        <x:v>0.5616438356164383</x:v>
      </x:c>
      <x:c r="O221" t="n">
        <x:f>IFERROR(L221/'参数'!$B$8*INDEX('官方售价'!$M$5:$M$204,MATCH(B221,'官方售价'!$A$5:$A$204,0)),0)</x:f>
        <x:v>0.30819945205479454</x:v>
      </x:c>
      <x:c r="P221" t="n">
        <x:f>IF(M221="per_token",L221/'参数'!$B$8*N221,IF(M221="per_duration",F221*N221,IF(M221="per_request",N221,0)))</x:f>
        <x:v>0.5616438356164383</x:v>
      </x:c>
      <x:c r="Q221" t="n">
        <x:f>O221*D221</x:f>
        <x:v>0.30819945205479454</x:v>
      </x:c>
      <x:c r="R221" t="n">
        <x:f>Q221-P221</x:f>
        <x:v>-0.2534443835616437</x:v>
      </x:c>
      <x:c r="S221" t="n">
        <x:f>IF(Q221=0,"",R221/Q221)</x:f>
        <x:v>-0.822338851908744</x:v>
      </x:c>
      <x:c r="T221" t="str">
        <x:f>IF(OR(B221="",C221=""),"pending",IF(OR(O221&lt;0,P221&lt;0),"settlement_failed","settled"))</x:f>
        <x:v>settled</x:v>
      </x:c>
      <x:c r="U221" t="str">
        <x:v>源行=sd!119；自动利润预览；分组倍率可改为用户折扣</x:v>
      </x:c>
    </x:row>
    <x:row r="222">
      <x:c r="A222" t="str">
        <x:v>CASE-4STOKEN-R120-720-REQ-NOV</x:v>
      </x:c>
      <x:c r="B222" t="str">
        <x:v>SALE-SD20-STD-720-NOV</x:v>
      </x:c>
      <x:c r="C222" t="str">
        <x:v>COST-4STOKEN-R120-720-REQ-NOV</x:v>
      </x:c>
      <x:c r="D222" t="n">
        <x:v>1</x:v>
      </x:c>
      <x:c r="E222" t="n">
        <x:v>0</x:v>
      </x:c>
      <x:c r="F222" t="n">
        <x:v>5</x:v>
      </x:c>
      <x:c r="G222" t="str">
        <x:f>IFERROR(INDEX('官方售价'!$C$5:$C$204,MATCH(B222,'官方售价'!$A$5:$A$204,0)),"")</x:f>
        <x:v>SKU-SD20-STD-720</x:v>
      </x:c>
      <x:c r="H222" t="str">
        <x:f>IFERROR(INDEX('官方售价'!$D$5:$D$204,MATCH(B222,'官方售价'!$A$5:$A$204,0)),"")</x:f>
        <x:v>no_video</x:v>
      </x:c>
      <x:c r="I222" t="n">
        <x:f>IFERROR(INDEX('官方售价'!$H$5:$H$204,MATCH(B222,'官方售价'!$A$5:$A$204,0)),0)</x:f>
        <x:v>1280</x:v>
      </x:c>
      <x:c r="J222" t="n">
        <x:f>IFERROR(INDEX('官方售价'!$I$5:$I$204,MATCH(B222,'官方售价'!$A$5:$A$204,0)),0)</x:f>
        <x:v>720</x:v>
      </x:c>
      <x:c r="K222" t="n">
        <x:f>IFERROR(INDEX('官方售价'!$J$5:$J$204,MATCH(B222,'官方售价'!$A$5:$A$204,0)),0)</x:f>
        <x:v>24</x:v>
      </x:c>
      <x:c r="L222" t="n">
        <x:f>(E222+F222)*I222*J222*K222/'参数'!$B$7</x:f>
        <x:v>108000</x:v>
      </x:c>
      <x:c r="M222" t="str">
        <x:f>IFERROR(INDEX('渠道成本'!$F$5:$F$1004,MATCH(C222,'渠道成本'!$A$5:$A$1004,0)),"")</x:f>
        <x:v>per_request</x:v>
      </x:c>
      <x:c r="N222" t="n">
        <x:f>IFERROR(INDEX('渠道成本'!$U$5:$U$1004,MATCH(C222,'渠道成本'!$A$5:$A$1004,0)),0)</x:f>
        <x:v>1.2191780821917808</x:v>
      </x:c>
      <x:c r="O222" t="n">
        <x:f>IFERROR(L222/'参数'!$B$8*INDEX('官方售价'!$M$5:$M$204,MATCH(B222,'官方售价'!$A$5:$A$204,0)),0)</x:f>
        <x:v>0.6805479452054793</x:v>
      </x:c>
      <x:c r="P222" t="n">
        <x:f>IF(M222="per_token",L222/'参数'!$B$8*N222,IF(M222="per_duration",F222*N222,IF(M222="per_request",N222,0)))</x:f>
        <x:v>1.2191780821917808</x:v>
      </x:c>
      <x:c r="Q222" t="n">
        <x:f>O222*D222</x:f>
        <x:v>0.6805479452054793</x:v>
      </x:c>
      <x:c r="R222" t="n">
        <x:f>Q222-P222</x:f>
        <x:v>-0.5386301369863015</x:v>
      </x:c>
      <x:c r="S222" t="n">
        <x:f>IF(Q222=0,"",R222/Q222)</x:f>
        <x:v>-0.7914653784219005</x:v>
      </x:c>
      <x:c r="T222" t="str">
        <x:f>IF(OR(B222="",C222=""),"pending",IF(OR(O222&lt;0,P222&lt;0),"settlement_failed","settled"))</x:f>
        <x:v>settled</x:v>
      </x:c>
      <x:c r="U222" t="str">
        <x:v>源行=sd!120；自动利润预览；分组倍率可改为用户折扣</x:v>
      </x:c>
    </x:row>
    <x:row r="223">
      <x:c r="A223" t="str">
        <x:v>CASE-4STOKEN-R120-720-REQ-VID</x:v>
      </x:c>
      <x:c r="B223" t="str">
        <x:v>SALE-SD20-STD-720-VID</x:v>
      </x:c>
      <x:c r="C223" t="str">
        <x:v>COST-4STOKEN-R120-720-REQ-VID</x:v>
      </x:c>
      <x:c r="D223" t="n">
        <x:v>1</x:v>
      </x:c>
      <x:c r="E223" t="n">
        <x:v>3</x:v>
      </x:c>
      <x:c r="F223" t="n">
        <x:v>5</x:v>
      </x:c>
      <x:c r="G223" t="str">
        <x:f>IFERROR(INDEX('官方售价'!$C$5:$C$204,MATCH(B223,'官方售价'!$A$5:$A$204,0)),"")</x:f>
        <x:v>SKU-SD20-STD-720</x:v>
      </x:c>
      <x:c r="H223" t="str">
        <x:f>IFERROR(INDEX('官方售价'!$D$5:$D$204,MATCH(B223,'官方售价'!$A$5:$A$204,0)),"")</x:f>
        <x:v>with_video</x:v>
      </x:c>
      <x:c r="I223" t="n">
        <x:f>IFERROR(INDEX('官方售价'!$H$5:$H$204,MATCH(B223,'官方售价'!$A$5:$A$204,0)),0)</x:f>
        <x:v>1280</x:v>
      </x:c>
      <x:c r="J223" t="n">
        <x:f>IFERROR(INDEX('官方售价'!$I$5:$I$204,MATCH(B223,'官方售价'!$A$5:$A$204,0)),0)</x:f>
        <x:v>720</x:v>
      </x:c>
      <x:c r="K223" t="n">
        <x:f>IFERROR(INDEX('官方售价'!$J$5:$J$204,MATCH(B223,'官方售价'!$A$5:$A$204,0)),0)</x:f>
        <x:v>24</x:v>
      </x:c>
      <x:c r="L223" t="n">
        <x:f>(E223+F223)*I223*J223*K223/'参数'!$B$7</x:f>
        <x:v>172800</x:v>
      </x:c>
      <x:c r="M223" t="str">
        <x:f>IFERROR(INDEX('渠道成本'!$F$5:$F$1004,MATCH(C223,'渠道成本'!$A$5:$A$1004,0)),"")</x:f>
        <x:v>per_request</x:v>
      </x:c>
      <x:c r="N223" t="n">
        <x:f>IFERROR(INDEX('渠道成本'!$U$5:$U$1004,MATCH(C223,'渠道成本'!$A$5:$A$1004,0)),0)</x:f>
        <x:v>1.2191780821917808</x:v>
      </x:c>
      <x:c r="O223" t="n">
        <x:f>IFERROR(L223/'参数'!$B$8*INDEX('官方售价'!$M$5:$M$204,MATCH(B223,'官方售价'!$A$5:$A$204,0)),0)</x:f>
        <x:v>0.6627945205479452</x:v>
      </x:c>
      <x:c r="P223" t="n">
        <x:f>IF(M223="per_token",L223/'参数'!$B$8*N223,IF(M223="per_duration",F223*N223,IF(M223="per_request",N223,0)))</x:f>
        <x:v>1.2191780821917808</x:v>
      </x:c>
      <x:c r="Q223" t="n">
        <x:f>O223*D223</x:f>
        <x:v>0.6627945205479452</x:v>
      </x:c>
      <x:c r="R223" t="n">
        <x:f>Q223-P223</x:f>
        <x:v>-0.5563835616438356</x:v>
      </x:c>
      <x:c r="S223" t="n">
        <x:f>IF(Q223=0,"",R223/Q223)</x:f>
        <x:v>-0.8394510582010583</x:v>
      </x:c>
      <x:c r="T223" t="str">
        <x:f>IF(OR(B223="",C223=""),"pending",IF(OR(O223&lt;0,P223&lt;0),"settlement_failed","settled"))</x:f>
        <x:v>settled</x:v>
      </x:c>
      <x:c r="U223" t="str">
        <x:v>源行=sd!120；自动利润预览；分组倍率可改为用户折扣</x:v>
      </x:c>
    </x:row>
    <x:row r="224">
      <x:c r="A224" t="str">
        <x:v>CASE-4STOKEN-R121-720-REQ-NOV</x:v>
      </x:c>
      <x:c r="B224" t="str">
        <x:v>SALE-SD20-STD-720-NOV</x:v>
      </x:c>
      <x:c r="C224" t="str">
        <x:v>COST-4STOKEN-R121-720-REQ-NOV</x:v>
      </x:c>
      <x:c r="D224" t="n">
        <x:v>1</x:v>
      </x:c>
      <x:c r="E224" t="n">
        <x:v>0</x:v>
      </x:c>
      <x:c r="F224" t="n">
        <x:v>5</x:v>
      </x:c>
      <x:c r="G224" t="str">
        <x:f>IFERROR(INDEX('官方售价'!$C$5:$C$204,MATCH(B224,'官方售价'!$A$5:$A$204,0)),"")</x:f>
        <x:v>SKU-SD20-STD-720</x:v>
      </x:c>
      <x:c r="H224" t="str">
        <x:f>IFERROR(INDEX('官方售价'!$D$5:$D$204,MATCH(B224,'官方售价'!$A$5:$A$204,0)),"")</x:f>
        <x:v>no_video</x:v>
      </x:c>
      <x:c r="I224" t="n">
        <x:f>IFERROR(INDEX('官方售价'!$H$5:$H$204,MATCH(B224,'官方售价'!$A$5:$A$204,0)),0)</x:f>
        <x:v>1280</x:v>
      </x:c>
      <x:c r="J224" t="n">
        <x:f>IFERROR(INDEX('官方售价'!$I$5:$I$204,MATCH(B224,'官方售价'!$A$5:$A$204,0)),0)</x:f>
        <x:v>720</x:v>
      </x:c>
      <x:c r="K224" t="n">
        <x:f>IFERROR(INDEX('官方售价'!$J$5:$J$204,MATCH(B224,'官方售价'!$A$5:$A$204,0)),0)</x:f>
        <x:v>24</x:v>
      </x:c>
      <x:c r="L224" t="n">
        <x:f>(E224+F224)*I224*J224*K224/'参数'!$B$7</x:f>
        <x:v>108000</x:v>
      </x:c>
      <x:c r="M224" t="str">
        <x:f>IFERROR(INDEX('渠道成本'!$F$5:$F$1004,MATCH(C224,'渠道成本'!$A$5:$A$1004,0)),"")</x:f>
        <x:v>per_request</x:v>
      </x:c>
      <x:c r="N224" t="n">
        <x:f>IFERROR(INDEX('渠道成本'!$U$5:$U$1004,MATCH(C224,'渠道成本'!$A$5:$A$1004,0)),0)</x:f>
        <x:v>0.821917808219178</x:v>
      </x:c>
      <x:c r="O224" t="n">
        <x:f>IFERROR(L224/'参数'!$B$8*INDEX('官方售价'!$M$5:$M$204,MATCH(B224,'官方售价'!$A$5:$A$204,0)),0)</x:f>
        <x:v>0.6805479452054793</x:v>
      </x:c>
      <x:c r="P224" t="n">
        <x:f>IF(M224="per_token",L224/'参数'!$B$8*N224,IF(M224="per_duration",F224*N224,IF(M224="per_request",N224,0)))</x:f>
        <x:v>0.821917808219178</x:v>
      </x:c>
      <x:c r="Q224" t="n">
        <x:f>O224*D224</x:f>
        <x:v>0.6805479452054793</x:v>
      </x:c>
      <x:c r="R224" t="n">
        <x:f>Q224-P224</x:f>
        <x:v>-0.1413698630136987</x:v>
      </x:c>
      <x:c r="S224" t="n">
        <x:f>IF(Q224=0,"",R224/Q224)</x:f>
        <x:v>-0.20772946859903393</x:v>
      </x:c>
      <x:c r="T224" t="str">
        <x:f>IF(OR(B224="",C224=""),"pending",IF(OR(O224&lt;0,P224&lt;0),"settlement_failed","settled"))</x:f>
        <x:v>settled</x:v>
      </x:c>
      <x:c r="U224" t="str">
        <x:v>源行=sd!121；自动利润预览；分组倍率可改为用户折扣</x:v>
      </x:c>
    </x:row>
    <x:row r="225">
      <x:c r="A225" t="str">
        <x:v>CASE-4STOKEN-R122-720-SEC-NOV</x:v>
      </x:c>
      <x:c r="B225" t="str">
        <x:v>SALE-SD20-FAST-720-NOV</x:v>
      </x:c>
      <x:c r="C225" t="str">
        <x:v>COST-4STOKEN-R122-720-SEC-NOV</x:v>
      </x:c>
      <x:c r="D225" t="n">
        <x:v>1</x:v>
      </x:c>
      <x:c r="E225" t="n">
        <x:v>0</x:v>
      </x:c>
      <x:c r="F225" t="n">
        <x:v>5</x:v>
      </x:c>
      <x:c r="G225" t="str">
        <x:f>IFERROR(INDEX('官方售价'!$C$5:$C$204,MATCH(B225,'官方售价'!$A$5:$A$204,0)),"")</x:f>
        <x:v>SKU-SD20-FAST-720</x:v>
      </x:c>
      <x:c r="H225" t="str">
        <x:f>IFERROR(INDEX('官方售价'!$D$5:$D$204,MATCH(B225,'官方售价'!$A$5:$A$204,0)),"")</x:f>
        <x:v>no_video</x:v>
      </x:c>
      <x:c r="I225" t="n">
        <x:f>IFERROR(INDEX('官方售价'!$H$5:$H$204,MATCH(B225,'官方售价'!$A$5:$A$204,0)),0)</x:f>
        <x:v>1280</x:v>
      </x:c>
      <x:c r="J225" t="n">
        <x:f>IFERROR(INDEX('官方售价'!$I$5:$I$204,MATCH(B225,'官方售价'!$A$5:$A$204,0)),0)</x:f>
        <x:v>720</x:v>
      </x:c>
      <x:c r="K225" t="n">
        <x:f>IFERROR(INDEX('官方售价'!$J$5:$J$204,MATCH(B225,'官方售价'!$A$5:$A$204,0)),0)</x:f>
        <x:v>24</x:v>
      </x:c>
      <x:c r="L225" t="n">
        <x:f>(E225+F225)*I225*J225*K225/'参数'!$B$7</x:f>
        <x:v>108000</x:v>
      </x:c>
      <x:c r="M225" t="str">
        <x:f>IFERROR(INDEX('渠道成本'!$F$5:$F$1004,MATCH(C225,'渠道成本'!$A$5:$A$1004,0)),"")</x:f>
        <x:v>per_duration</x:v>
      </x:c>
      <x:c r="N225" t="n">
        <x:f>IFERROR(INDEX('渠道成本'!$U$5:$U$1004,MATCH(C225,'渠道成本'!$A$5:$A$1004,0)),0)</x:f>
        <x:v>0.06575342465753424</x:v>
      </x:c>
      <x:c r="O225" t="n">
        <x:f>IFERROR(L225/'参数'!$B$8*INDEX('官方售价'!$M$5:$M$204,MATCH(B225,'官方售价'!$A$5:$A$204,0)),0)</x:f>
        <x:v>0.5473972602739726</x:v>
      </x:c>
      <x:c r="P225" t="n">
        <x:f>IF(M225="per_token",L225/'参数'!$B$8*N225,IF(M225="per_duration",F225*N225,IF(M225="per_request",N225,0)))</x:f>
        <x:v>0.3287671232876712</x:v>
      </x:c>
      <x:c r="Q225" t="n">
        <x:f>O225*D225</x:f>
        <x:v>0.5473972602739726</x:v>
      </x:c>
      <x:c r="R225" t="n">
        <x:f>Q225-P225</x:f>
        <x:v>0.2186301369863014</x:v>
      </x:c>
      <x:c r="S225" t="n">
        <x:f>IF(Q225=0,"",R225/Q225)</x:f>
        <x:v>0.39939939939939945</x:v>
      </x:c>
      <x:c r="T225" t="str">
        <x:f>IF(OR(B225="",C225=""),"pending",IF(OR(O225&lt;0,P225&lt;0),"settlement_failed","settled"))</x:f>
        <x:v>settled</x:v>
      </x:c>
      <x:c r="U225" t="str">
        <x:v>源行=sd!122；自动利润预览；分组倍率可改为用户折扣</x:v>
      </x:c>
    </x:row>
    <x:row r="226">
      <x:c r="A226" t="str">
        <x:v>CASE-4STOKEN-R122-720-SEC-VID</x:v>
      </x:c>
      <x:c r="B226" t="str">
        <x:v>SALE-SD20-FAST-720-VID</x:v>
      </x:c>
      <x:c r="C226" t="str">
        <x:v>COST-4STOKEN-R122-720-SEC-VID</x:v>
      </x:c>
      <x:c r="D226" t="n">
        <x:v>1</x:v>
      </x:c>
      <x:c r="E226" t="n">
        <x:v>3</x:v>
      </x:c>
      <x:c r="F226" t="n">
        <x:v>5</x:v>
      </x:c>
      <x:c r="G226" t="str">
        <x:f>IFERROR(INDEX('官方售价'!$C$5:$C$204,MATCH(B226,'官方售价'!$A$5:$A$204,0)),"")</x:f>
        <x:v>SKU-SD20-FAST-720</x:v>
      </x:c>
      <x:c r="H226" t="str">
        <x:f>IFERROR(INDEX('官方售价'!$D$5:$D$204,MATCH(B226,'官方售价'!$A$5:$A$204,0)),"")</x:f>
        <x:v>with_video</x:v>
      </x:c>
      <x:c r="I226" t="n">
        <x:f>IFERROR(INDEX('官方售价'!$H$5:$H$204,MATCH(B226,'官方售价'!$A$5:$A$204,0)),0)</x:f>
        <x:v>1280</x:v>
      </x:c>
      <x:c r="J226" t="n">
        <x:f>IFERROR(INDEX('官方售价'!$I$5:$I$204,MATCH(B226,'官方售价'!$A$5:$A$204,0)),0)</x:f>
        <x:v>720</x:v>
      </x:c>
      <x:c r="K226" t="n">
        <x:f>IFERROR(INDEX('官方售价'!$J$5:$J$204,MATCH(B226,'官方售价'!$A$5:$A$204,0)),0)</x:f>
        <x:v>24</x:v>
      </x:c>
      <x:c r="L226" t="n">
        <x:f>(E226+F226)*I226*J226*K226/'参数'!$B$7</x:f>
        <x:v>172800</x:v>
      </x:c>
      <x:c r="M226" t="str">
        <x:f>IFERROR(INDEX('渠道成本'!$F$5:$F$1004,MATCH(C226,'渠道成本'!$A$5:$A$1004,0)),"")</x:f>
        <x:v>per_duration</x:v>
      </x:c>
      <x:c r="N226" t="n">
        <x:f>IFERROR(INDEX('渠道成本'!$U$5:$U$1004,MATCH(C226,'渠道成本'!$A$5:$A$1004,0)),0)</x:f>
        <x:v>0.06575342465753424</x:v>
      </x:c>
      <x:c r="O226" t="n">
        <x:f>IFERROR(L226/'参数'!$B$8*INDEX('官方售价'!$M$5:$M$204,MATCH(B226,'官方售价'!$A$5:$A$204,0)),0)</x:f>
        <x:v>0.5207671232876712</x:v>
      </x:c>
      <x:c r="P226" t="n">
        <x:f>IF(M226="per_token",L226/'参数'!$B$8*N226,IF(M226="per_duration",F226*N226,IF(M226="per_request",N226,0)))</x:f>
        <x:v>0.3287671232876712</x:v>
      </x:c>
      <x:c r="Q226" t="n">
        <x:f>O226*D226</x:f>
        <x:v>0.5207671232876712</x:v>
      </x:c>
      <x:c r="R226" t="n">
        <x:f>Q226-P226</x:f>
        <x:v>0.19199999999999995</x:v>
      </x:c>
      <x:c r="S226" t="n">
        <x:f>IF(Q226=0,"",R226/Q226)</x:f>
        <x:v>0.3686868686868686</x:v>
      </x:c>
      <x:c r="T226" t="str">
        <x:f>IF(OR(B226="",C226=""),"pending",IF(OR(O226&lt;0,P226&lt;0),"settlement_failed","settled"))</x:f>
        <x:v>settled</x:v>
      </x:c>
      <x:c r="U226" t="str">
        <x:v>源行=sd!122；自动利润预览；分组倍率可改为用户折扣</x:v>
      </x:c>
    </x:row>
    <x:row r="227">
      <x:c r="A227" t="str">
        <x:v>CASE-4STOKEN-R123-720-SEC-NOV</x:v>
      </x:c>
      <x:c r="B227" t="str">
        <x:v>SALE-SD20-FAST-720-NOV</x:v>
      </x:c>
      <x:c r="C227" t="str">
        <x:v>COST-4STOKEN-R123-720-SEC-NOV</x:v>
      </x:c>
      <x:c r="D227" t="n">
        <x:v>1</x:v>
      </x:c>
      <x:c r="E227" t="n">
        <x:v>0</x:v>
      </x:c>
      <x:c r="F227" t="n">
        <x:v>5</x:v>
      </x:c>
      <x:c r="G227" t="str">
        <x:f>IFERROR(INDEX('官方售价'!$C$5:$C$204,MATCH(B227,'官方售价'!$A$5:$A$204,0)),"")</x:f>
        <x:v>SKU-SD20-FAST-720</x:v>
      </x:c>
      <x:c r="H227" t="str">
        <x:f>IFERROR(INDEX('官方售价'!$D$5:$D$204,MATCH(B227,'官方售价'!$A$5:$A$204,0)),"")</x:f>
        <x:v>no_video</x:v>
      </x:c>
      <x:c r="I227" t="n">
        <x:f>IFERROR(INDEX('官方售价'!$H$5:$H$204,MATCH(B227,'官方售价'!$A$5:$A$204,0)),0)</x:f>
        <x:v>1280</x:v>
      </x:c>
      <x:c r="J227" t="n">
        <x:f>IFERROR(INDEX('官方售价'!$I$5:$I$204,MATCH(B227,'官方售价'!$A$5:$A$204,0)),0)</x:f>
        <x:v>720</x:v>
      </x:c>
      <x:c r="K227" t="n">
        <x:f>IFERROR(INDEX('官方售价'!$J$5:$J$204,MATCH(B227,'官方售价'!$A$5:$A$204,0)),0)</x:f>
        <x:v>24</x:v>
      </x:c>
      <x:c r="L227" t="n">
        <x:f>(E227+F227)*I227*J227*K227/'参数'!$B$7</x:f>
        <x:v>108000</x:v>
      </x:c>
      <x:c r="M227" t="str">
        <x:f>IFERROR(INDEX('渠道成本'!$F$5:$F$1004,MATCH(C227,'渠道成本'!$A$5:$A$1004,0)),"")</x:f>
        <x:v>per_duration</x:v>
      </x:c>
      <x:c r="N227" t="n">
        <x:f>IFERROR(INDEX('渠道成本'!$U$5:$U$1004,MATCH(C227,'渠道成本'!$A$5:$A$1004,0)),0)</x:f>
        <x:v>0.06575342465753424</x:v>
      </x:c>
      <x:c r="O227" t="n">
        <x:f>IFERROR(L227/'参数'!$B$8*INDEX('官方售价'!$M$5:$M$204,MATCH(B227,'官方售价'!$A$5:$A$204,0)),0)</x:f>
        <x:v>0.5473972602739726</x:v>
      </x:c>
      <x:c r="P227" t="n">
        <x:f>IF(M227="per_token",L227/'参数'!$B$8*N227,IF(M227="per_duration",F227*N227,IF(M227="per_request",N227,0)))</x:f>
        <x:v>0.3287671232876712</x:v>
      </x:c>
      <x:c r="Q227" t="n">
        <x:f>O227*D227</x:f>
        <x:v>0.5473972602739726</x:v>
      </x:c>
      <x:c r="R227" t="n">
        <x:f>Q227-P227</x:f>
        <x:v>0.2186301369863014</x:v>
      </x:c>
      <x:c r="S227" t="n">
        <x:f>IF(Q227=0,"",R227/Q227)</x:f>
        <x:v>0.39939939939939945</x:v>
      </x:c>
      <x:c r="T227" t="str">
        <x:f>IF(OR(B227="",C227=""),"pending",IF(OR(O227&lt;0,P227&lt;0),"settlement_failed","settled"))</x:f>
        <x:v>settled</x:v>
      </x:c>
      <x:c r="U227" t="str">
        <x:v>源行=sd!123；自动利润预览；分组倍率可改为用户折扣</x:v>
      </x:c>
    </x:row>
    <x:row r="228">
      <x:c r="A228" t="str">
        <x:v>CASE-4STOKEN-R123-720-SEC-VID</x:v>
      </x:c>
      <x:c r="B228" t="str">
        <x:v>SALE-SD20-FAST-720-VID</x:v>
      </x:c>
      <x:c r="C228" t="str">
        <x:v>COST-4STOKEN-R123-720-SEC-VID</x:v>
      </x:c>
      <x:c r="D228" t="n">
        <x:v>1</x:v>
      </x:c>
      <x:c r="E228" t="n">
        <x:v>3</x:v>
      </x:c>
      <x:c r="F228" t="n">
        <x:v>5</x:v>
      </x:c>
      <x:c r="G228" t="str">
        <x:f>IFERROR(INDEX('官方售价'!$C$5:$C$204,MATCH(B228,'官方售价'!$A$5:$A$204,0)),"")</x:f>
        <x:v>SKU-SD20-FAST-720</x:v>
      </x:c>
      <x:c r="H228" t="str">
        <x:f>IFERROR(INDEX('官方售价'!$D$5:$D$204,MATCH(B228,'官方售价'!$A$5:$A$204,0)),"")</x:f>
        <x:v>with_video</x:v>
      </x:c>
      <x:c r="I228" t="n">
        <x:f>IFERROR(INDEX('官方售价'!$H$5:$H$204,MATCH(B228,'官方售价'!$A$5:$A$204,0)),0)</x:f>
        <x:v>1280</x:v>
      </x:c>
      <x:c r="J228" t="n">
        <x:f>IFERROR(INDEX('官方售价'!$I$5:$I$204,MATCH(B228,'官方售价'!$A$5:$A$204,0)),0)</x:f>
        <x:v>720</x:v>
      </x:c>
      <x:c r="K228" t="n">
        <x:f>IFERROR(INDEX('官方售价'!$J$5:$J$204,MATCH(B228,'官方售价'!$A$5:$A$204,0)),0)</x:f>
        <x:v>24</x:v>
      </x:c>
      <x:c r="L228" t="n">
        <x:f>(E228+F228)*I228*J228*K228/'参数'!$B$7</x:f>
        <x:v>172800</x:v>
      </x:c>
      <x:c r="M228" t="str">
        <x:f>IFERROR(INDEX('渠道成本'!$F$5:$F$1004,MATCH(C228,'渠道成本'!$A$5:$A$1004,0)),"")</x:f>
        <x:v>per_duration</x:v>
      </x:c>
      <x:c r="N228" t="n">
        <x:f>IFERROR(INDEX('渠道成本'!$U$5:$U$1004,MATCH(C228,'渠道成本'!$A$5:$A$1004,0)),0)</x:f>
        <x:v>0.06575342465753424</x:v>
      </x:c>
      <x:c r="O228" t="n">
        <x:f>IFERROR(L228/'参数'!$B$8*INDEX('官方售价'!$M$5:$M$204,MATCH(B228,'官方售价'!$A$5:$A$204,0)),0)</x:f>
        <x:v>0.5207671232876712</x:v>
      </x:c>
      <x:c r="P228" t="n">
        <x:f>IF(M228="per_token",L228/'参数'!$B$8*N228,IF(M228="per_duration",F228*N228,IF(M228="per_request",N228,0)))</x:f>
        <x:v>0.3287671232876712</x:v>
      </x:c>
      <x:c r="Q228" t="n">
        <x:f>O228*D228</x:f>
        <x:v>0.5207671232876712</x:v>
      </x:c>
      <x:c r="R228" t="n">
        <x:f>Q228-P228</x:f>
        <x:v>0.19199999999999995</x:v>
      </x:c>
      <x:c r="S228" t="n">
        <x:f>IF(Q228=0,"",R228/Q228)</x:f>
        <x:v>0.3686868686868686</x:v>
      </x:c>
      <x:c r="T228" t="str">
        <x:f>IF(OR(B228="",C228=""),"pending",IF(OR(O228&lt;0,P228&lt;0),"settlement_failed","settled"))</x:f>
        <x:v>settled</x:v>
      </x:c>
      <x:c r="U228" t="str">
        <x:v>源行=sd!123；自动利润预览；分组倍率可改为用户折扣</x:v>
      </x:c>
    </x:row>
    <x:row r="229">
      <x:c r="A229" t="str">
        <x:v>CASE-4STOKEN-R124-720-SEC-NOV</x:v>
      </x:c>
      <x:c r="B229" t="str">
        <x:v>SALE-SD20-STD-720-NOV</x:v>
      </x:c>
      <x:c r="C229" t="str">
        <x:v>COST-4STOKEN-R124-720-SEC-NOV</x:v>
      </x:c>
      <x:c r="D229" t="n">
        <x:v>1</x:v>
      </x:c>
      <x:c r="E229" t="n">
        <x:v>0</x:v>
      </x:c>
      <x:c r="F229" t="n">
        <x:v>5</x:v>
      </x:c>
      <x:c r="G229" t="str">
        <x:f>IFERROR(INDEX('官方售价'!$C$5:$C$204,MATCH(B229,'官方售价'!$A$5:$A$204,0)),"")</x:f>
        <x:v>SKU-SD20-STD-720</x:v>
      </x:c>
      <x:c r="H229" t="str">
        <x:f>IFERROR(INDEX('官方售价'!$D$5:$D$204,MATCH(B229,'官方售价'!$A$5:$A$204,0)),"")</x:f>
        <x:v>no_video</x:v>
      </x:c>
      <x:c r="I229" t="n">
        <x:f>IFERROR(INDEX('官方售价'!$H$5:$H$204,MATCH(B229,'官方售价'!$A$5:$A$204,0)),0)</x:f>
        <x:v>1280</x:v>
      </x:c>
      <x:c r="J229" t="n">
        <x:f>IFERROR(INDEX('官方售价'!$I$5:$I$204,MATCH(B229,'官方售价'!$A$5:$A$204,0)),0)</x:f>
        <x:v>720</x:v>
      </x:c>
      <x:c r="K229" t="n">
        <x:f>IFERROR(INDEX('官方售价'!$J$5:$J$204,MATCH(B229,'官方售价'!$A$5:$A$204,0)),0)</x:f>
        <x:v>24</x:v>
      </x:c>
      <x:c r="L229" t="n">
        <x:f>(E229+F229)*I229*J229*K229/'参数'!$B$7</x:f>
        <x:v>108000</x:v>
      </x:c>
      <x:c r="M229" t="str">
        <x:f>IFERROR(INDEX('渠道成本'!$F$5:$F$1004,MATCH(C229,'渠道成本'!$A$5:$A$1004,0)),"")</x:f>
        <x:v>per_duration</x:v>
      </x:c>
      <x:c r="N229" t="n">
        <x:f>IFERROR(INDEX('渠道成本'!$U$5:$U$1004,MATCH(C229,'渠道成本'!$A$5:$A$1004,0)),0)</x:f>
        <x:v>0.0821917808219178</x:v>
      </x:c>
      <x:c r="O229" t="n">
        <x:f>IFERROR(L229/'参数'!$B$8*INDEX('官方售价'!$M$5:$M$204,MATCH(B229,'官方售价'!$A$5:$A$204,0)),0)</x:f>
        <x:v>0.6805479452054793</x:v>
      </x:c>
      <x:c r="P229" t="n">
        <x:f>IF(M229="per_token",L229/'参数'!$B$8*N229,IF(M229="per_duration",F229*N229,IF(M229="per_request",N229,0)))</x:f>
        <x:v>0.410958904109589</x:v>
      </x:c>
      <x:c r="Q229" t="n">
        <x:f>O229*D229</x:f>
        <x:v>0.6805479452054793</x:v>
      </x:c>
      <x:c r="R229" t="n">
        <x:f>Q229-P229</x:f>
        <x:v>0.2695890410958903</x:v>
      </x:c>
      <x:c r="S229" t="n">
        <x:f>IF(Q229=0,"",R229/Q229)</x:f>
        <x:v>0.396135265700483</x:v>
      </x:c>
      <x:c r="T229" t="str">
        <x:f>IF(OR(B229="",C229=""),"pending",IF(OR(O229&lt;0,P229&lt;0),"settlement_failed","settled"))</x:f>
        <x:v>settled</x:v>
      </x:c>
      <x:c r="U229" t="str">
        <x:v>源行=sd!124；自动利润预览；分组倍率可改为用户折扣</x:v>
      </x:c>
    </x:row>
    <x:row r="230">
      <x:c r="A230" t="str">
        <x:v>CASE-4STOKEN-R124-720-SEC-VID</x:v>
      </x:c>
      <x:c r="B230" t="str">
        <x:v>SALE-SD20-STD-720-VID</x:v>
      </x:c>
      <x:c r="C230" t="str">
        <x:v>COST-4STOKEN-R124-720-SEC-VID</x:v>
      </x:c>
      <x:c r="D230" t="n">
        <x:v>1</x:v>
      </x:c>
      <x:c r="E230" t="n">
        <x:v>3</x:v>
      </x:c>
      <x:c r="F230" t="n">
        <x:v>5</x:v>
      </x:c>
      <x:c r="G230" t="str">
        <x:f>IFERROR(INDEX('官方售价'!$C$5:$C$204,MATCH(B230,'官方售价'!$A$5:$A$204,0)),"")</x:f>
        <x:v>SKU-SD20-STD-720</x:v>
      </x:c>
      <x:c r="H230" t="str">
        <x:f>IFERROR(INDEX('官方售价'!$D$5:$D$204,MATCH(B230,'官方售价'!$A$5:$A$204,0)),"")</x:f>
        <x:v>with_video</x:v>
      </x:c>
      <x:c r="I230" t="n">
        <x:f>IFERROR(INDEX('官方售价'!$H$5:$H$204,MATCH(B230,'官方售价'!$A$5:$A$204,0)),0)</x:f>
        <x:v>1280</x:v>
      </x:c>
      <x:c r="J230" t="n">
        <x:f>IFERROR(INDEX('官方售价'!$I$5:$I$204,MATCH(B230,'官方售价'!$A$5:$A$204,0)),0)</x:f>
        <x:v>720</x:v>
      </x:c>
      <x:c r="K230" t="n">
        <x:f>IFERROR(INDEX('官方售价'!$J$5:$J$204,MATCH(B230,'官方售价'!$A$5:$A$204,0)),0)</x:f>
        <x:v>24</x:v>
      </x:c>
      <x:c r="L230" t="n">
        <x:f>(E230+F230)*I230*J230*K230/'参数'!$B$7</x:f>
        <x:v>172800</x:v>
      </x:c>
      <x:c r="M230" t="str">
        <x:f>IFERROR(INDEX('渠道成本'!$F$5:$F$1004,MATCH(C230,'渠道成本'!$A$5:$A$1004,0)),"")</x:f>
        <x:v>per_duration</x:v>
      </x:c>
      <x:c r="N230" t="n">
        <x:f>IFERROR(INDEX('渠道成本'!$U$5:$U$1004,MATCH(C230,'渠道成本'!$A$5:$A$1004,0)),0)</x:f>
        <x:v>0.0821917808219178</x:v>
      </x:c>
      <x:c r="O230" t="n">
        <x:f>IFERROR(L230/'参数'!$B$8*INDEX('官方售价'!$M$5:$M$204,MATCH(B230,'官方售价'!$A$5:$A$204,0)),0)</x:f>
        <x:v>0.6627945205479452</x:v>
      </x:c>
      <x:c r="P230" t="n">
        <x:f>IF(M230="per_token",L230/'参数'!$B$8*N230,IF(M230="per_duration",F230*N230,IF(M230="per_request",N230,0)))</x:f>
        <x:v>0.410958904109589</x:v>
      </x:c>
      <x:c r="Q230" t="n">
        <x:f>O230*D230</x:f>
        <x:v>0.6627945205479452</x:v>
      </x:c>
      <x:c r="R230" t="n">
        <x:f>Q230-P230</x:f>
        <x:v>0.25183561643835617</x:v>
      </x:c>
      <x:c r="S230" t="n">
        <x:f>IF(Q230=0,"",R230/Q230)</x:f>
        <x:v>0.3799603174603175</x:v>
      </x:c>
      <x:c r="T230" t="str">
        <x:f>IF(OR(B230="",C230=""),"pending",IF(OR(O230&lt;0,P230&lt;0),"settlement_failed","settled"))</x:f>
        <x:v>settled</x:v>
      </x:c>
      <x:c r="U230" t="str">
        <x:v>源行=sd!124；自动利润预览；分组倍率可改为用户折扣</x:v>
      </x:c>
    </x:row>
    <x:row r="231">
      <x:c r="A231" t="str">
        <x:v>CASE-4STOKEN-R125-480-REQ-NOV</x:v>
      </x:c>
      <x:c r="B231" t="str">
        <x:v>SALE-SD20-STD-480-NOV</x:v>
      </x:c>
      <x:c r="C231" t="str">
        <x:v>COST-4STOKEN-R125-480-REQ-NOV</x:v>
      </x:c>
      <x:c r="D231" t="n">
        <x:v>1</x:v>
      </x:c>
      <x:c r="E231" t="n">
        <x:v>0</x:v>
      </x:c>
      <x:c r="F231" t="n">
        <x:v>5</x:v>
      </x:c>
      <x:c r="G231" t="str">
        <x:f>IFERROR(INDEX('官方售价'!$C$5:$C$204,MATCH(B231,'官方售价'!$A$5:$A$204,0)),"")</x:f>
        <x:v>SKU-SD20-STD-480</x:v>
      </x:c>
      <x:c r="H231" t="str">
        <x:f>IFERROR(INDEX('官方售价'!$D$5:$D$204,MATCH(B231,'官方售价'!$A$5:$A$204,0)),"")</x:f>
        <x:v>no_video</x:v>
      </x:c>
      <x:c r="I231" t="n">
        <x:f>IFERROR(INDEX('官方售价'!$H$5:$H$204,MATCH(B231,'官方售价'!$A$5:$A$204,0)),0)</x:f>
        <x:v>864</x:v>
      </x:c>
      <x:c r="J231" t="n">
        <x:f>IFERROR(INDEX('官方售价'!$I$5:$I$204,MATCH(B231,'官方售价'!$A$5:$A$204,0)),0)</x:f>
        <x:v>496</x:v>
      </x:c>
      <x:c r="K231" t="n">
        <x:f>IFERROR(INDEX('官方售价'!$J$5:$J$204,MATCH(B231,'官方售价'!$A$5:$A$204,0)),0)</x:f>
        <x:v>24</x:v>
      </x:c>
      <x:c r="L231" t="n">
        <x:f>(E231+F231)*I231*J231*K231/'参数'!$B$7</x:f>
        <x:v>50220</x:v>
      </x:c>
      <x:c r="M231" t="str">
        <x:f>IFERROR(INDEX('渠道成本'!$F$5:$F$1004,MATCH(C231,'渠道成本'!$A$5:$A$1004,0)),"")</x:f>
        <x:v>per_request</x:v>
      </x:c>
      <x:c r="N231" t="n">
        <x:f>IFERROR(INDEX('渠道成本'!$U$5:$U$1004,MATCH(C231,'渠道成本'!$A$5:$A$1004,0)),0)</x:f>
        <x:v>0.5616438356164383</x:v>
      </x:c>
      <x:c r="O231" t="n">
        <x:f>IFERROR(L231/'参数'!$B$8*INDEX('官方售价'!$M$5:$M$204,MATCH(B231,'官方售价'!$A$5:$A$204,0)),0)</x:f>
        <x:v>0.3164547945205479</x:v>
      </x:c>
      <x:c r="P231" t="n">
        <x:f>IF(M231="per_token",L231/'参数'!$B$8*N231,IF(M231="per_duration",F231*N231,IF(M231="per_request",N231,0)))</x:f>
        <x:v>0.5616438356164383</x:v>
      </x:c>
      <x:c r="Q231" t="n">
        <x:f>O231*D231</x:f>
        <x:v>0.3164547945205479</x:v>
      </x:c>
      <x:c r="R231" t="n">
        <x:f>Q231-P231</x:f>
        <x:v>-0.24518904109589035</x:v>
      </x:c>
      <x:c r="S231" t="n">
        <x:f>IF(Q231=0,"",R231/Q231)</x:f>
        <x:v>-0.7747995775111248</x:v>
      </x:c>
      <x:c r="T231" t="str">
        <x:f>IF(OR(B231="",C231=""),"pending",IF(OR(O231&lt;0,P231&lt;0),"settlement_failed","settled"))</x:f>
        <x:v>settled</x:v>
      </x:c>
      <x:c r="U231" t="str">
        <x:v>源行=sd!125；自动利润预览；分组倍率可改为用户折扣</x:v>
      </x:c>
    </x:row>
    <x:row r="232">
      <x:c r="A232" t="str">
        <x:v>CASE-4STOKEN-R125-480-REQ-VID</x:v>
      </x:c>
      <x:c r="B232" t="str">
        <x:v>SALE-SD20-STD-480-VID</x:v>
      </x:c>
      <x:c r="C232" t="str">
        <x:v>COST-4STOKEN-R125-480-REQ-VID</x:v>
      </x:c>
      <x:c r="D232" t="n">
        <x:v>1</x:v>
      </x:c>
      <x:c r="E232" t="n">
        <x:v>3</x:v>
      </x:c>
      <x:c r="F232" t="n">
        <x:v>5</x:v>
      </x:c>
      <x:c r="G232" t="str">
        <x:f>IFERROR(INDEX('官方售价'!$C$5:$C$204,MATCH(B232,'官方售价'!$A$5:$A$204,0)),"")</x:f>
        <x:v>SKU-SD20-STD-480</x:v>
      </x:c>
      <x:c r="H232" t="str">
        <x:f>IFERROR(INDEX('官方售价'!$D$5:$D$204,MATCH(B232,'官方售价'!$A$5:$A$204,0)),"")</x:f>
        <x:v>with_video</x:v>
      </x:c>
      <x:c r="I232" t="n">
        <x:f>IFERROR(INDEX('官方售价'!$H$5:$H$204,MATCH(B232,'官方售价'!$A$5:$A$204,0)),0)</x:f>
        <x:v>864</x:v>
      </x:c>
      <x:c r="J232" t="n">
        <x:f>IFERROR(INDEX('官方售价'!$I$5:$I$204,MATCH(B232,'官方售价'!$A$5:$A$204,0)),0)</x:f>
        <x:v>496</x:v>
      </x:c>
      <x:c r="K232" t="n">
        <x:f>IFERROR(INDEX('官方售价'!$J$5:$J$204,MATCH(B232,'官方售价'!$A$5:$A$204,0)),0)</x:f>
        <x:v>24</x:v>
      </x:c>
      <x:c r="L232" t="n">
        <x:f>(E232+F232)*I232*J232*K232/'参数'!$B$7</x:f>
        <x:v>80352</x:v>
      </x:c>
      <x:c r="M232" t="str">
        <x:f>IFERROR(INDEX('渠道成本'!$F$5:$F$1004,MATCH(C232,'渠道成本'!$A$5:$A$1004,0)),"")</x:f>
        <x:v>per_request</x:v>
      </x:c>
      <x:c r="N232" t="n">
        <x:f>IFERROR(INDEX('渠道成本'!$U$5:$U$1004,MATCH(C232,'渠道成本'!$A$5:$A$1004,0)),0)</x:f>
        <x:v>0.5616438356164383</x:v>
      </x:c>
      <x:c r="O232" t="n">
        <x:f>IFERROR(L232/'参数'!$B$8*INDEX('官方售价'!$M$5:$M$204,MATCH(B232,'官方售价'!$A$5:$A$204,0)),0)</x:f>
        <x:v>0.30819945205479454</x:v>
      </x:c>
      <x:c r="P232" t="n">
        <x:f>IF(M232="per_token",L232/'参数'!$B$8*N232,IF(M232="per_duration",F232*N232,IF(M232="per_request",N232,0)))</x:f>
        <x:v>0.5616438356164383</x:v>
      </x:c>
      <x:c r="Q232" t="n">
        <x:f>O232*D232</x:f>
        <x:v>0.30819945205479454</x:v>
      </x:c>
      <x:c r="R232" t="n">
        <x:f>Q232-P232</x:f>
        <x:v>-0.2534443835616437</x:v>
      </x:c>
      <x:c r="S232" t="n">
        <x:f>IF(Q232=0,"",R232/Q232)</x:f>
        <x:v>-0.822338851908744</x:v>
      </x:c>
      <x:c r="T232" t="str">
        <x:f>IF(OR(B232="",C232=""),"pending",IF(OR(O232&lt;0,P232&lt;0),"settlement_failed","settled"))</x:f>
        <x:v>settled</x:v>
      </x:c>
      <x:c r="U232" t="str">
        <x:v>源行=sd!125；自动利润预览；分组倍率可改为用户折扣</x:v>
      </x:c>
    </x:row>
  </x:sheetData>
  <x:mergeCells>
    <x:mergeCell ref="A1:U1"/>
    <x:mergeCell ref="A2:U2"/>
  </x:mergeCells>
  <x:conditionalFormatting sqref="R5:S212">
    <x:cfRule type="cellIs" dxfId="6" priority="1" operator="lessThan">
      <x:formula>0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0000000000000023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3.5"/>
  <x:cols>
    <x:col min="1" max="1" width="14" customWidth="1"/>
    <x:col min="2" max="2" width="30" customWidth="1"/>
    <x:col min="3" max="3" width="32" customWidth="1"/>
    <x:col min="4" max="4" width="18" customWidth="1"/>
    <x:col min="5" max="5" width="14" customWidth="1"/>
    <x:col min="6" max="6" width="16" customWidth="1"/>
    <x:col min="7" max="7" width="28" customWidth="1"/>
    <x:col min="8" max="8" width="48" customWidth="1"/>
    <x:col min="9" max="9" width="14" customWidth="1"/>
    <x:col min="10" max="10" width="46" customWidth="1"/>
    <x:col min="11" max="11" width="14" customWidth="1"/>
    <x:col min="12" max="12" width="22" customWidth="1"/>
  </x:cols>
  <x:sheetData>
    <x:row r="1" ht="34.04999923706055" customHeight="1">
      <x:c r="A1" s="33" t="s">
        <x:v>60</x:v>
      </x:c>
      <x:c r="B1" s="33"/>
      <x:c r="C1" s="33"/>
      <x:c r="D1" s="33"/>
      <x:c r="E1" s="33"/>
      <x:c r="F1" s="33"/>
      <x:c r="G1" s="33"/>
      <x:c r="H1" s="33"/>
      <x:c r="I1" s="33"/>
      <x:c r="J1" s="33"/>
      <x:c r="K1" s="33"/>
      <x:c r="L1" s="33"/>
    </x:row>
    <x:row r="2" ht="32" customHeight="1">
      <x:c r="A2" s="34" t="s">
        <x:v>199</x:v>
      </x:c>
      <x:c r="B2" s="34"/>
      <x:c r="C2" s="34"/>
      <x:c r="D2" s="34"/>
      <x:c r="E2" s="34"/>
      <x:c r="F2" s="34"/>
      <x:c r="G2" s="34"/>
      <x:c r="H2" s="34"/>
      <x:c r="I2" s="34"/>
      <x:c r="J2" s="34"/>
      <x:c r="K2" s="34"/>
      <x:c r="L2" s="34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 ht="34.04999923706055" customHeight="1">
      <x:c r="A4" s="1" t="s">
        <x:v>62</x:v>
      </x:c>
      <x:c r="B4" s="1" t="s">
        <x:v>91</x:v>
      </x:c>
      <x:c r="C4" s="1" t="s">
        <x:v>200</x:v>
      </x:c>
      <x:c r="D4" s="1" t="s">
        <x:v>112</x:v>
      </x:c>
      <x:c r="E4" s="1" t="s">
        <x:v>201</x:v>
      </x:c>
      <x:c r="F4" s="1" t="s">
        <x:v>202</x:v>
      </x:c>
      <x:c r="G4" s="1" t="s">
        <x:v>203</x:v>
      </x:c>
      <x:c r="H4" s="1" t="s">
        <x:v>204</x:v>
      </x:c>
      <x:c r="I4" s="1" t="s">
        <x:v>205</x:v>
      </x:c>
      <x:c r="J4" s="1" t="s">
        <x:v>9</x:v>
      </x:c>
      <x:c r="K4" s="1" t="s">
        <x:v>206</x:v>
      </x:c>
      <x:c r="L4" s="1" t="s">
        <x:v>67</x:v>
      </x:c>
    </x:row>
    <x:row r="5" ht="26.350000381469727" customHeight="1">
      <x:c r="A5" s="2" t="str">
        <x:v>SRC-SD-IMPORT</x:v>
      </x:c>
      <x:c r="B5" s="7" t="str">
        <x:v>渠道模型收录快照</x:v>
      </x:c>
      <x:c r="C5" s="7" t="str">
        <x:v>115条原始渠道模型记录</x:v>
      </x:c>
      <x:c r="D5" s="7" t="str">
        <x:v>行</x:v>
      </x:c>
      <x:c r="E5" s="30" t="n">
        <x:v>46229.393565162034</x:v>
      </x:c>
      <x:c r="F5" s="7" t="str">
        <x:v>本地工作簿</x:v>
      </x:c>
      <x:c r="G5" s="7" t="str">
        <x:v>sd收录.xlsx</x:v>
      </x:c>
      <x:c r="H5" s="7" t="str">
        <x:v>sd!A2:AF125</x:v>
      </x:c>
      <x:c r="I5" s="7" t="str">
        <x:v>User</x:v>
      </x:c>
      <x:c r="J5" s="7" t="str">
        <x:v>原文件：C:/Users/880pro/Downloads/sd收录.xlsx；时长日期序号已恢复为月-日范围文本</x:v>
      </x:c>
      <x:c r="K5" s="20" t="n">
        <x:v>46229.393565162034</x:v>
      </x:c>
      <x:c r="L5" s="23" t="str">
        <x:f t="shared" ref="L5:L16" si="0">IF(A5="","",IF(COUNTIF($A$5:$A$204,A5)&gt;1,"错误:重复来源ID",IF(OR(B5="",E5="",F5="",G5=""),"错误:必填项","OK")))</x:f>
        <x:v>OK</x:v>
      </x:c>
    </x:row>
    <x:row r="6" ht="15" customHeight="1">
      <x:c r="A6" s="2" t="str">
        <x:v>SRC-OFFICIAL</x:v>
      </x:c>
      <x:c r="B6" s="7" t="str">
        <x:v>Seedance 2.0官方视频价格矩阵</x:v>
      </x:c>
      <x:c r="C6" s="7" t="str">
        <x:v>标准/fast/mini；480p至4k</x:v>
      </x:c>
      <x:c r="D6" s="7" t="str">
        <x:v>CNY/1M Token</x:v>
      </x:c>
      <x:c r="E6" s="30" t="n">
        <x:v>46229.393565162034</x:v>
      </x:c>
      <x:c r="F6" s="7" t="str">
        <x:v>本地工作簿</x:v>
      </x:c>
      <x:c r="G6" s="7" t="str">
        <x:v>sd收录.xlsx</x:v>
      </x:c>
      <x:c r="H6" s="7" t="str">
        <x:v>sd官价!A5:K14</x:v>
      </x:c>
      <x:c r="I6" s="7" t="str">
        <x:v>User</x:v>
      </x:c>
      <x:c r="J6" s="7" t="str">
        <x:v>视频Token=(输入秒+输出秒)×宽×高×fps÷1024</x:v>
      </x:c>
      <x:c r="K6" s="20" t="n">
        <x:v>46229.393565162034</x:v>
      </x:c>
      <x:c r="L6" s="23" t="str">
        <x:f t="shared" si="0">IF(A6="","",IF(COUNTIF($A$5:$A$204,A6)&gt;1,"错误:重复来源ID",IF(OR(B6="",E6="",F6="",G6=""),"错误:必填项","OK")))</x:f>
        <x:v>OK</x:v>
      </x:c>
    </x:row>
    <x:row r="7" ht="26.350000381469727" customHeight="1">
      <x:c r="A7" s="2" t="str">
        <x:v>SRC-DESIGN</x:v>
      </x:c>
      <x:c r="B7" s="7" t="str">
        <x:v>渠道成本与毛利润设计</x:v>
      </x:c>
      <x:c r="C7" s="7" t="str">
        <x:v>三种成本模式与利润快照</x:v>
      </x:c>
      <x:c r="D7" s="7" t="str">
        <x:v>设计规格</x:v>
      </x:c>
      <x:c r="E7" s="30" t="n">
        <x:v>46229.393565162034</x:v>
      </x:c>
      <x:c r="F7" s="7" t="str">
        <x:v>本地文档</x:v>
      </x:c>
      <x:c r="G7" s="7" t="str">
        <x:v>渠道模型成本与毛利润设计</x:v>
      </x:c>
      <x:c r="H7" s="7" t="str">
        <x:v>docs/superpowers/specs/2026-07-24-channel-model-cost-profit-design.md</x:v>
      </x:c>
      <x:c r="I7" s="7" t="str">
        <x:v>User</x:v>
      </x:c>
      <x:c r="J7" s="7" t="str">
        <x:v>用于字段、状态和计算定义</x:v>
      </x:c>
      <x:c r="K7" s="20" t="n">
        <x:v>46229.393565162034</x:v>
      </x:c>
      <x:c r="L7" s="23" t="str">
        <x:f t="shared" si="0">IF(A7="","",IF(COUNTIF($A$5:$A$204,A7)&gt;1,"错误:重复来源ID",IF(OR(B7="",E7="",F7="",G7=""),"错误:必填项","OK")))</x:f>
        <x:v>OK</x:v>
      </x:c>
    </x:row>
    <x:row r="8" ht="15" customHeight="1">
      <x:c r="A8" s="2" t="str">
        <x:v>SRC-FX</x:v>
      </x:c>
      <x:c r="B8" s="7" t="str">
        <x:v>USD/CNY汇率假设</x:v>
      </x:c>
      <x:c r="C8" s="7" t="n">
        <x:v>7.3</x:v>
      </x:c>
      <x:c r="D8" s="7" t="str">
        <x:v>CNY/USD</x:v>
      </x:c>
      <x:c r="E8" s="30" t="n">
        <x:v>46229.393565162034</x:v>
      </x:c>
      <x:c r="F8" s="7" t="str">
        <x:v>假设</x:v>
      </x:c>
      <x:c r="G8" s="7" t="str">
        <x:v>模板参数</x:v>
      </x:c>
      <x:c r="H8" s="7" t="str">
        <x:v>参数!B5</x:v>
      </x:c>
      <x:c r="I8" s="7" t="str">
        <x:v>User</x:v>
      </x:c>
      <x:c r="J8" s="7" t="str">
        <x:v>正式结算时替换为实际汇率并快照</x:v>
      </x:c>
      <x:c r="K8" s="20" t="n">
        <x:v>46229.393565162034</x:v>
      </x:c>
      <x:c r="L8" s="23" t="str">
        <x:f t="shared" si="0">IF(A8="","",IF(COUNTIF($A$5:$A$204,A8)&gt;1,"错误:重复来源ID",IF(OR(B8="",E8="",F8="",G8=""),"错误:必填项","OK")))</x:f>
        <x:v>OK</x:v>
      </x:c>
    </x:row>
    <x:row r="9" ht="39.599998474121094" customHeight="1">
      <x:c r="A9" s="2" t="str">
        <x:v>SRC-CH-01</x:v>
      </x:c>
      <x:c r="B9" s="7" t="str">
        <x:v>clmm渠道模型报价</x:v>
      </x:c>
      <x:c r="C9" s="7" t="str">
        <x:v>10条原始记录</x:v>
      </x:c>
      <x:c r="D9" s="7" t="str">
        <x:v>CNY</x:v>
      </x:c>
      <x:c r="E9" s="30" t="n">
        <x:v>46229.393565162034</x:v>
      </x:c>
      <x:c r="F9" s="7" t="str">
        <x:v>渠道价格页及本地快照</x:v>
      </x:c>
      <x:c r="G9" s="7" t="str">
        <x:v>clmm</x:v>
      </x:c>
      <x:c r="H9" s="7" t="str">
        <x:v>https://clmm-mall.top/pricing</x:v>
      </x:c>
      <x:c r="I9" s="7" t="str">
        <x:v>User</x:v>
      </x:c>
      <x:c r="J9" s="7" t="str">
        <x:v>Base URL=https://clmm-mall.top；具体字段来自sd收录.xlsx的sd工作表</x:v>
      </x:c>
      <x:c r="K9" s="20" t="n">
        <x:v>46229.393565162034</x:v>
      </x:c>
      <x:c r="L9" s="23" t="str">
        <x:f t="shared" si="0">IF(A9="","",IF(COUNTIF($A$5:$A$204,A9)&gt;1,"错误:重复来源ID",IF(OR(B9="",E9="",F9="",G9=""),"错误:必填项","OK")))</x:f>
        <x:v>OK</x:v>
      </x:c>
    </x:row>
    <x:row r="10" ht="39.599998474121094" customHeight="1">
      <x:c r="A10" s="2" t="str">
        <x:v>SRC-CH-02</x:v>
      </x:c>
      <x:c r="B10" s="7" t="str">
        <x:v>paipu渠道模型报价</x:v>
      </x:c>
      <x:c r="C10" s="7" t="str">
        <x:v>32条原始记录</x:v>
      </x:c>
      <x:c r="D10" s="7" t="str">
        <x:v>CNY</x:v>
      </x:c>
      <x:c r="E10" s="30" t="n">
        <x:v>46229.393565162034</x:v>
      </x:c>
      <x:c r="F10" s="7" t="str">
        <x:v>渠道价格页及本地快照</x:v>
      </x:c>
      <x:c r="G10" s="7" t="str">
        <x:v>paipu</x:v>
      </x:c>
      <x:c r="H10" s="7" t="str">
        <x:v>https://api.paipu.net/pricing</x:v>
      </x:c>
      <x:c r="I10" s="7" t="str">
        <x:v>User</x:v>
      </x:c>
      <x:c r="J10" s="7" t="str">
        <x:v>Base URL=https://api.paipu.net；具体字段来自sd收录.xlsx的sd工作表</x:v>
      </x:c>
      <x:c r="K10" s="20" t="n">
        <x:v>46229.393565162034</x:v>
      </x:c>
      <x:c r="L10" s="23" t="str">
        <x:f t="shared" si="0">IF(A10="","",IF(COUNTIF($A$5:$A$204,A10)&gt;1,"错误:重复来源ID",IF(OR(B10="",E10="",F10="",G10=""),"错误:必填项","OK")))</x:f>
        <x:v>OK</x:v>
      </x:c>
    </x:row>
    <x:row r="11" ht="39.599998474121094" customHeight="1">
      <x:c r="A11" s="2" t="str">
        <x:v>SRC-CH-03</x:v>
      </x:c>
      <x:c r="B11" s="7" t="str">
        <x:v>lucen渠道模型报价</x:v>
      </x:c>
      <x:c r="C11" s="7" t="str">
        <x:v>12条原始记录</x:v>
      </x:c>
      <x:c r="D11" s="7" t="str">
        <x:v>CNY</x:v>
      </x:c>
      <x:c r="E11" s="30" t="n">
        <x:v>46229.393565162034</x:v>
      </x:c>
      <x:c r="F11" s="7" t="str">
        <x:v>渠道价格页及本地快照</x:v>
      </x:c>
      <x:c r="G11" s="7" t="str">
        <x:v>lucen</x:v>
      </x:c>
      <x:c r="H11" s="7" t="str">
        <x:v>https://lucen.asia/pricing</x:v>
      </x:c>
      <x:c r="I11" s="7" t="str">
        <x:v>User</x:v>
      </x:c>
      <x:c r="J11" s="7" t="str">
        <x:v>Base URL=https://lucen.asia；具体字段来自sd收录.xlsx的sd工作表</x:v>
      </x:c>
      <x:c r="K11" s="20" t="n">
        <x:v>46229.393565162034</x:v>
      </x:c>
      <x:c r="L11" s="23" t="str">
        <x:f t="shared" si="0">IF(A11="","",IF(COUNTIF($A$5:$A$204,A11)&gt;1,"错误:重复来源ID",IF(OR(B11="",E11="",F11="",G11=""),"错误:必填项","OK")))</x:f>
        <x:v>OK</x:v>
      </x:c>
    </x:row>
    <x:row r="12" ht="26.350000381469727" customHeight="1">
      <x:c r="A12" s="2" t="str">
        <x:v>SRC-CH-04</x:v>
      </x:c>
      <x:c r="B12" s="7" t="str">
        <x:v>8yes渠道模型报价</x:v>
      </x:c>
      <x:c r="C12" s="7" t="str">
        <x:v>5条原始记录</x:v>
      </x:c>
      <x:c r="D12" s="7" t="str">
        <x:v>CNY</x:v>
      </x:c>
      <x:c r="E12" s="30" t="n">
        <x:v>46229.393565162034</x:v>
      </x:c>
      <x:c r="F12" s="7" t="str">
        <x:v>渠道价格页及本地快照</x:v>
      </x:c>
      <x:c r="G12" s="7" t="str">
        <x:v>8yes</x:v>
      </x:c>
      <x:c r="H12" s="7" t="str">
        <x:v>https://8yes.cc/pricing</x:v>
      </x:c>
      <x:c r="I12" s="7" t="str">
        <x:v>User</x:v>
      </x:c>
      <x:c r="J12" s="7" t="str">
        <x:v>Base URL=https://8yes.cc；具体字段来自sd收录.xlsx的sd工作表</x:v>
      </x:c>
      <x:c r="K12" s="20" t="n">
        <x:v>46229.393565162034</x:v>
      </x:c>
      <x:c r="L12" s="23" t="str">
        <x:f t="shared" si="0">IF(A12="","",IF(COUNTIF($A$5:$A$204,A12)&gt;1,"错误:重复来源ID",IF(OR(B12="",E12="",F12="",G12=""),"错误:必填项","OK")))</x:f>
        <x:v>OK</x:v>
      </x:c>
    </x:row>
    <x:row r="13" ht="39.599998474121094" customHeight="1">
      <x:c r="A13" s="2" t="str">
        <x:v>SRC-CH-05</x:v>
      </x:c>
      <x:c r="B13" s="7" t="str">
        <x:v>secure渠道模型报价</x:v>
      </x:c>
      <x:c r="C13" s="7" t="str">
        <x:v>10条原始记录</x:v>
      </x:c>
      <x:c r="D13" s="7" t="str">
        <x:v>CNY</x:v>
      </x:c>
      <x:c r="E13" s="30" t="n">
        <x:v>46229.393565162034</x:v>
      </x:c>
      <x:c r="F13" s="7" t="str">
        <x:v>渠道价格页及本地快照</x:v>
      </x:c>
      <x:c r="G13" s="7" t="str">
        <x:v>secure</x:v>
      </x:c>
      <x:c r="H13" s="7" t="str">
        <x:v>https://token.secure-skill.com/pricing</x:v>
      </x:c>
      <x:c r="I13" s="7" t="str">
        <x:v>User</x:v>
      </x:c>
      <x:c r="J13" s="7" t="str">
        <x:v>Base URL=https://token.secure-skill.com；具体字段来自sd收录.xlsx的sd工作表</x:v>
      </x:c>
      <x:c r="K13" s="20" t="n">
        <x:v>46229.393565162034</x:v>
      </x:c>
      <x:c r="L13" s="23" t="str">
        <x:f t="shared" si="0">IF(A13="","",IF(COUNTIF($A$5:$A$204,A13)&gt;1,"错误:重复来源ID",IF(OR(B13="",E13="",F13="",G13=""),"错误:必填项","OK")))</x:f>
        <x:v>OK</x:v>
      </x:c>
    </x:row>
    <x:row r="14" ht="39.599998474121094" customHeight="1">
      <x:c r="A14" s="2" t="str">
        <x:v>SRC-CH-06</x:v>
      </x:c>
      <x:c r="B14" s="7" t="str">
        <x:v>cangyuansuanli渠道模型报价</x:v>
      </x:c>
      <x:c r="C14" s="7" t="str">
        <x:v>5条原始记录</x:v>
      </x:c>
      <x:c r="D14" s="7" t="str">
        <x:v>CNY</x:v>
      </x:c>
      <x:c r="E14" s="30" t="n">
        <x:v>46229.393565162034</x:v>
      </x:c>
      <x:c r="F14" s="7" t="str">
        <x:v>渠道价格页及本地快照</x:v>
      </x:c>
      <x:c r="G14" s="7" t="str">
        <x:v>cangyuansuanli</x:v>
      </x:c>
      <x:c r="H14" s="7" t="str">
        <x:v>https://ai.cangyuansuanli.cn/pricing</x:v>
      </x:c>
      <x:c r="I14" s="7" t="str">
        <x:v>User</x:v>
      </x:c>
      <x:c r="J14" s="7" t="str">
        <x:v>Base URL=https://ai.cangyuansuanli.cn；具体字段来自sd收录.xlsx的sd工作表</x:v>
      </x:c>
      <x:c r="K14" s="20" t="n">
        <x:v>46229.393565162034</x:v>
      </x:c>
      <x:c r="L14" s="23" t="str">
        <x:f t="shared" si="0">IF(A14="","",IF(COUNTIF($A$5:$A$204,A14)&gt;1,"错误:重复来源ID",IF(OR(B14="",E14="",F14="",G14=""),"错误:必填项","OK")))</x:f>
        <x:v>OK</x:v>
      </x:c>
    </x:row>
    <x:row r="15" ht="39.599998474121094" customHeight="1">
      <x:c r="A15" s="2" t="str">
        <x:v>SRC-CH-07</x:v>
      </x:c>
      <x:c r="B15" s="7" t="str">
        <x:v>dimensio渠道模型报价</x:v>
      </x:c>
      <x:c r="C15" s="7" t="str">
        <x:v>10条原始记录</x:v>
      </x:c>
      <x:c r="D15" s="7" t="str">
        <x:v>CNY</x:v>
      </x:c>
      <x:c r="E15" s="30" t="n">
        <x:v>46229.393565162034</x:v>
      </x:c>
      <x:c r="F15" s="7" t="str">
        <x:v>渠道价格页及本地快照</x:v>
      </x:c>
      <x:c r="G15" s="7" t="str">
        <x:v>dimensio</x:v>
      </x:c>
      <x:c r="H15" s="7" t="str">
        <x:v>https://jimeng.dimensio.cn/</x:v>
      </x:c>
      <x:c r="I15" s="7" t="str">
        <x:v>User</x:v>
      </x:c>
      <x:c r="J15" s="7" t="str">
        <x:v>Base URL=https://jimeng.dimensio.cn；具体字段来自sd收录.xlsx的sd工作表</x:v>
      </x:c>
      <x:c r="K15" s="20" t="n">
        <x:v>46229.393565162034</x:v>
      </x:c>
      <x:c r="L15" s="23" t="str">
        <x:f t="shared" si="0">IF(A15="","",IF(COUNTIF($A$5:$A$204,A15)&gt;1,"错误:重复来源ID",IF(OR(B15="",E15="",F15="",G15=""),"错误:必填项","OK")))</x:f>
        <x:v>OK</x:v>
      </x:c>
    </x:row>
    <x:row r="16" ht="39.599998474121094" customHeight="1">
      <x:c r="A16" s="2" t="str">
        <x:v>SRC-CH-08</x:v>
      </x:c>
      <x:c r="B16" s="7" t="str">
        <x:v>megabyai渠道模型报价</x:v>
      </x:c>
      <x:c r="C16" s="7" t="str">
        <x:v>21条原始记录</x:v>
      </x:c>
      <x:c r="D16" s="7" t="str">
        <x:v>CNY</x:v>
      </x:c>
      <x:c r="E16" s="30" t="n">
        <x:v>46229.393565162034</x:v>
      </x:c>
      <x:c r="F16" s="7" t="str">
        <x:v>渠道价格页及本地快照</x:v>
      </x:c>
      <x:c r="G16" s="7" t="str">
        <x:v>megabyai</x:v>
      </x:c>
      <x:c r="H16" s="7" t="str">
        <x:v>https://newapi.megabyai.cc/pricing</x:v>
      </x:c>
      <x:c r="I16" s="7" t="str">
        <x:v>User</x:v>
      </x:c>
      <x:c r="J16" s="7" t="str">
        <x:v>Base URL=https://newapi.megabyai.cc；具体字段来自sd收录.xlsx的sd工作表</x:v>
      </x:c>
      <x:c r="K16" s="20" t="n">
        <x:v>46229.393565162034</x:v>
      </x:c>
      <x:c r="L16" s="23" t="str">
        <x:f t="shared" si="0">IF(A16="","",IF(COUNTIF($A$5:$A$204,A16)&gt;1,"错误:重复来源ID",IF(OR(B16="",E16="",F16="",G16=""),"错误:必填项","OK")))</x:f>
        <x:v>OK</x:v>
      </x:c>
    </x:row>
    <x:row r="17" ht="39.599998474121094" customHeight="1">
      <x:c r="A17" s="2" t="str">
        <x:v>SRC-CH-09</x:v>
      </x:c>
      <x:c r="B17" s="7" t="str">
        <x:v>4stoken渠道模型报价</x:v>
      </x:c>
      <x:c r="C17" s="7" t="str">
        <x:v>10条原始记录</x:v>
      </x:c>
      <x:c r="D17" s="7" t="str">
        <x:v>CNY</x:v>
      </x:c>
      <x:c r="E17" s="30" t="n">
        <x:v>46229.393565162034</x:v>
      </x:c>
      <x:c r="F17" s="7" t="str">
        <x:v>渠道价格页及本地快照</x:v>
      </x:c>
      <x:c r="G17" s="7" t="str">
        <x:v>4stoken</x:v>
      </x:c>
      <x:c r="H17" s="7" t="str">
        <x:v>https://www.4stoken.cn/models</x:v>
      </x:c>
      <x:c r="I17" s="7" t="str">
        <x:v>User</x:v>
      </x:c>
      <x:c r="J17" s="7" t="str">
        <x:v>Base URL=https://api.4stoken.cn；具体字段来自sd收录.xlsx的sd工作表</x:v>
      </x:c>
      <x:c r="K17" s="30" t="n">
        <x:v>46229.393565162034</x:v>
      </x:c>
      <x:c r="L17" s="23" t="str">
        <x:f>IF(A17="","",IF(COUNTIF($A$5:$A$204,A17)&gt;1,"错误:重复来源ID",IF(OR(B17="",E17="",F17="",G17=""),"错误:必填项","OK")))</x:f>
        <x:v>OK</x:v>
      </x:c>
    </x:row>
    <x:row r="18">
      <x:c r="A18" s="2"/>
      <x:c r="B18" s="7"/>
      <x:c r="C18" s="7"/>
      <x:c r="D18" s="7"/>
      <x:c r="E18" s="30"/>
      <x:c r="F18" s="7"/>
      <x:c r="G18" s="7"/>
      <x:c r="H18" s="7"/>
      <x:c r="I18" s="7"/>
      <x:c r="J18" s="7"/>
      <x:c r="K18" s="20"/>
      <x:c r="L18" s="23"/>
    </x:row>
    <x:row r="19">
      <x:c r="A19" s="2"/>
      <x:c r="B19" s="7"/>
      <x:c r="C19" s="7"/>
      <x:c r="D19" s="7"/>
      <x:c r="E19" s="30"/>
      <x:c r="F19" s="7"/>
      <x:c r="G19" s="7"/>
      <x:c r="H19" s="7"/>
      <x:c r="I19" s="7"/>
      <x:c r="J19" s="7"/>
      <x:c r="K19" s="20"/>
      <x:c r="L19" s="23"/>
    </x:row>
    <x:row r="20">
      <x:c r="A20" s="2"/>
      <x:c r="B20" s="7"/>
      <x:c r="C20" s="7"/>
      <x:c r="D20" s="7"/>
      <x:c r="E20" s="30"/>
      <x:c r="F20" s="7"/>
      <x:c r="G20" s="7"/>
      <x:c r="H20" s="7"/>
      <x:c r="I20" s="7"/>
      <x:c r="J20" s="7"/>
      <x:c r="K20" s="20"/>
      <x:c r="L20" s="23"/>
    </x:row>
    <x:row r="21">
      <x:c r="A21" s="2"/>
      <x:c r="B21" s="7"/>
      <x:c r="C21" s="7"/>
      <x:c r="D21" s="7"/>
      <x:c r="E21" s="30"/>
      <x:c r="F21" s="7"/>
      <x:c r="G21" s="7"/>
      <x:c r="H21" s="7"/>
      <x:c r="I21" s="7"/>
      <x:c r="J21" s="7"/>
      <x:c r="K21" s="20"/>
      <x:c r="L21" s="23"/>
    </x:row>
    <x:row r="22">
      <x:c r="A22" s="2"/>
      <x:c r="B22" s="7"/>
      <x:c r="C22" s="7"/>
      <x:c r="D22" s="7"/>
      <x:c r="E22" s="30"/>
      <x:c r="F22" s="7"/>
      <x:c r="G22" s="7"/>
      <x:c r="H22" s="7"/>
      <x:c r="I22" s="7"/>
      <x:c r="J22" s="7"/>
      <x:c r="K22" s="20"/>
      <x:c r="L22" s="23"/>
    </x:row>
    <x:row r="23">
      <x:c r="A23" s="2"/>
      <x:c r="B23" s="7"/>
      <x:c r="C23" s="7"/>
      <x:c r="D23" s="7"/>
      <x:c r="E23" s="30"/>
      <x:c r="F23" s="7"/>
      <x:c r="G23" s="7"/>
      <x:c r="H23" s="7"/>
      <x:c r="I23" s="7"/>
      <x:c r="J23" s="7"/>
      <x:c r="K23" s="20"/>
      <x:c r="L23" s="23"/>
    </x:row>
    <x:row r="24">
      <x:c r="A24" s="2"/>
      <x:c r="B24" s="7"/>
      <x:c r="C24" s="7"/>
      <x:c r="D24" s="7"/>
      <x:c r="E24" s="30"/>
      <x:c r="F24" s="7"/>
      <x:c r="G24" s="7"/>
      <x:c r="H24" s="7"/>
      <x:c r="I24" s="7"/>
      <x:c r="J24" s="7"/>
      <x:c r="K24" s="20"/>
      <x:c r="L24" s="23"/>
    </x:row>
    <x:row r="25">
      <x:c r="A25" s="2"/>
      <x:c r="B25" s="7"/>
      <x:c r="C25" s="7"/>
      <x:c r="D25" s="7"/>
      <x:c r="E25" s="30"/>
      <x:c r="F25" s="7"/>
      <x:c r="G25" s="7"/>
      <x:c r="H25" s="7"/>
      <x:c r="I25" s="7"/>
      <x:c r="J25" s="7"/>
      <x:c r="K25" s="20"/>
      <x:c r="L25" s="23"/>
    </x:row>
    <x:row r="26">
      <x:c r="A26" s="2"/>
      <x:c r="B26" s="7"/>
      <x:c r="C26" s="7"/>
      <x:c r="D26" s="7"/>
      <x:c r="E26" s="30"/>
      <x:c r="F26" s="7"/>
      <x:c r="G26" s="7"/>
      <x:c r="H26" s="7"/>
      <x:c r="I26" s="7"/>
      <x:c r="J26" s="7"/>
      <x:c r="K26" s="20"/>
      <x:c r="L26" s="23"/>
    </x:row>
    <x:row r="27">
      <x:c r="A27" s="2"/>
      <x:c r="B27" s="7"/>
      <x:c r="C27" s="7"/>
      <x:c r="D27" s="7"/>
      <x:c r="E27" s="30"/>
      <x:c r="F27" s="7"/>
      <x:c r="G27" s="7"/>
      <x:c r="H27" s="7"/>
      <x:c r="I27" s="7"/>
      <x:c r="J27" s="7"/>
      <x:c r="K27" s="20"/>
      <x:c r="L27" s="23"/>
    </x:row>
    <x:row r="28">
      <x:c r="A28" s="2"/>
      <x:c r="B28" s="7"/>
      <x:c r="C28" s="7"/>
      <x:c r="D28" s="7"/>
      <x:c r="E28" s="30"/>
      <x:c r="F28" s="7"/>
      <x:c r="G28" s="7"/>
      <x:c r="H28" s="7"/>
      <x:c r="I28" s="7"/>
      <x:c r="J28" s="7"/>
      <x:c r="K28" s="20"/>
      <x:c r="L28" s="23"/>
    </x:row>
    <x:row r="29">
      <x:c r="A29" s="2"/>
      <x:c r="B29" s="7"/>
      <x:c r="C29" s="7"/>
      <x:c r="D29" s="7"/>
      <x:c r="E29" s="30"/>
      <x:c r="F29" s="7"/>
      <x:c r="G29" s="7"/>
      <x:c r="H29" s="7"/>
      <x:c r="I29" s="7"/>
      <x:c r="J29" s="7"/>
      <x:c r="K29" s="20"/>
      <x:c r="L29" s="23"/>
    </x:row>
    <x:row r="30">
      <x:c r="A30" s="2"/>
      <x:c r="B30" s="7"/>
      <x:c r="C30" s="7"/>
      <x:c r="D30" s="7"/>
      <x:c r="E30" s="30"/>
      <x:c r="F30" s="7"/>
      <x:c r="G30" s="7"/>
      <x:c r="H30" s="7"/>
      <x:c r="I30" s="7"/>
      <x:c r="J30" s="7"/>
      <x:c r="K30" s="20"/>
      <x:c r="L30" s="23"/>
    </x:row>
    <x:row r="31">
      <x:c r="A31" s="2"/>
      <x:c r="B31" s="7"/>
      <x:c r="C31" s="7"/>
      <x:c r="D31" s="7"/>
      <x:c r="E31" s="30"/>
      <x:c r="F31" s="7"/>
      <x:c r="G31" s="7"/>
      <x:c r="H31" s="7"/>
      <x:c r="I31" s="7"/>
      <x:c r="J31" s="7"/>
      <x:c r="K31" s="20"/>
      <x:c r="L31" s="23"/>
    </x:row>
    <x:row r="32">
      <x:c r="A32" s="2"/>
      <x:c r="B32" s="7"/>
      <x:c r="C32" s="7"/>
      <x:c r="D32" s="7"/>
      <x:c r="E32" s="30"/>
      <x:c r="F32" s="7"/>
      <x:c r="G32" s="7"/>
      <x:c r="H32" s="7"/>
      <x:c r="I32" s="7"/>
      <x:c r="J32" s="7"/>
      <x:c r="K32" s="20"/>
      <x:c r="L32" s="23"/>
    </x:row>
    <x:row r="33">
      <x:c r="A33" s="2"/>
      <x:c r="B33" s="7"/>
      <x:c r="C33" s="7"/>
      <x:c r="D33" s="7"/>
      <x:c r="E33" s="30"/>
      <x:c r="F33" s="7"/>
      <x:c r="G33" s="7"/>
      <x:c r="H33" s="7"/>
      <x:c r="I33" s="7"/>
      <x:c r="J33" s="7"/>
      <x:c r="K33" s="20"/>
      <x:c r="L33" s="23"/>
    </x:row>
    <x:row r="34">
      <x:c r="A34" s="2"/>
      <x:c r="B34" s="7"/>
      <x:c r="C34" s="7"/>
      <x:c r="D34" s="7"/>
      <x:c r="E34" s="30"/>
      <x:c r="F34" s="7"/>
      <x:c r="G34" s="7"/>
      <x:c r="H34" s="7"/>
      <x:c r="I34" s="7"/>
      <x:c r="J34" s="7"/>
      <x:c r="K34" s="20"/>
      <x:c r="L34" s="23"/>
    </x:row>
    <x:row r="35">
      <x:c r="A35" s="2"/>
      <x:c r="B35" s="7"/>
      <x:c r="C35" s="7"/>
      <x:c r="D35" s="7"/>
      <x:c r="E35" s="30"/>
      <x:c r="F35" s="7"/>
      <x:c r="G35" s="7"/>
      <x:c r="H35" s="7"/>
      <x:c r="I35" s="7"/>
      <x:c r="J35" s="7"/>
      <x:c r="K35" s="20"/>
      <x:c r="L35" s="23"/>
    </x:row>
    <x:row r="36">
      <x:c r="A36" s="2"/>
      <x:c r="B36" s="7"/>
      <x:c r="C36" s="7"/>
      <x:c r="D36" s="7"/>
      <x:c r="E36" s="30"/>
      <x:c r="F36" s="7"/>
      <x:c r="G36" s="7"/>
      <x:c r="H36" s="7"/>
      <x:c r="I36" s="7"/>
      <x:c r="J36" s="7"/>
      <x:c r="K36" s="20"/>
      <x:c r="L36" s="23"/>
    </x:row>
    <x:row r="37">
      <x:c r="A37" s="2"/>
      <x:c r="B37" s="7"/>
      <x:c r="C37" s="7"/>
      <x:c r="D37" s="7"/>
      <x:c r="E37" s="30"/>
      <x:c r="F37" s="7"/>
      <x:c r="G37" s="7"/>
      <x:c r="H37" s="7"/>
      <x:c r="I37" s="7"/>
      <x:c r="J37" s="7"/>
      <x:c r="K37" s="20"/>
      <x:c r="L37" s="23"/>
    </x:row>
    <x:row r="38">
      <x:c r="A38" s="2"/>
      <x:c r="B38" s="7"/>
      <x:c r="C38" s="7"/>
      <x:c r="D38" s="7"/>
      <x:c r="E38" s="30"/>
      <x:c r="F38" s="7"/>
      <x:c r="G38" s="7"/>
      <x:c r="H38" s="7"/>
      <x:c r="I38" s="7"/>
      <x:c r="J38" s="7"/>
      <x:c r="K38" s="20"/>
      <x:c r="L38" s="23"/>
    </x:row>
    <x:row r="39">
      <x:c r="A39" s="2"/>
      <x:c r="B39" s="7"/>
      <x:c r="C39" s="7"/>
      <x:c r="D39" s="7"/>
      <x:c r="E39" s="30"/>
      <x:c r="F39" s="7"/>
      <x:c r="G39" s="7"/>
      <x:c r="H39" s="7"/>
      <x:c r="I39" s="7"/>
      <x:c r="J39" s="7"/>
      <x:c r="K39" s="20"/>
      <x:c r="L39" s="23"/>
    </x:row>
    <x:row r="40">
      <x:c r="A40" s="2"/>
      <x:c r="B40" s="7"/>
      <x:c r="C40" s="7"/>
      <x:c r="D40" s="7"/>
      <x:c r="E40" s="30"/>
      <x:c r="F40" s="7"/>
      <x:c r="G40" s="7"/>
      <x:c r="H40" s="7"/>
      <x:c r="I40" s="7"/>
      <x:c r="J40" s="7"/>
      <x:c r="K40" s="20"/>
      <x:c r="L40" s="23"/>
    </x:row>
    <x:row r="41">
      <x:c r="A41" s="2"/>
      <x:c r="B41" s="7"/>
      <x:c r="C41" s="7"/>
      <x:c r="D41" s="7"/>
      <x:c r="E41" s="30"/>
      <x:c r="F41" s="7"/>
      <x:c r="G41" s="7"/>
      <x:c r="H41" s="7"/>
      <x:c r="I41" s="7"/>
      <x:c r="J41" s="7"/>
      <x:c r="K41" s="20"/>
      <x:c r="L41" s="23"/>
    </x:row>
    <x:row r="42">
      <x:c r="A42" s="2"/>
      <x:c r="B42" s="7"/>
      <x:c r="C42" s="7"/>
      <x:c r="D42" s="7"/>
      <x:c r="E42" s="30"/>
      <x:c r="F42" s="7"/>
      <x:c r="G42" s="7"/>
      <x:c r="H42" s="7"/>
      <x:c r="I42" s="7"/>
      <x:c r="J42" s="7"/>
      <x:c r="K42" s="20"/>
      <x:c r="L42" s="23"/>
    </x:row>
    <x:row r="43">
      <x:c r="A43" s="2"/>
      <x:c r="B43" s="7"/>
      <x:c r="C43" s="7"/>
      <x:c r="D43" s="7"/>
      <x:c r="E43" s="30"/>
      <x:c r="F43" s="7"/>
      <x:c r="G43" s="7"/>
      <x:c r="H43" s="7"/>
      <x:c r="I43" s="7"/>
      <x:c r="J43" s="7"/>
      <x:c r="K43" s="20"/>
      <x:c r="L43" s="23"/>
    </x:row>
    <x:row r="44">
      <x:c r="A44" s="2"/>
      <x:c r="B44" s="7"/>
      <x:c r="C44" s="7"/>
      <x:c r="D44" s="7"/>
      <x:c r="E44" s="30"/>
      <x:c r="F44" s="7"/>
      <x:c r="G44" s="7"/>
      <x:c r="H44" s="7"/>
      <x:c r="I44" s="7"/>
      <x:c r="J44" s="7"/>
      <x:c r="K44" s="20"/>
      <x:c r="L44" s="23"/>
    </x:row>
    <x:row r="45">
      <x:c r="A45" s="2"/>
      <x:c r="B45" s="7"/>
      <x:c r="C45" s="7"/>
      <x:c r="D45" s="7"/>
      <x:c r="E45" s="30"/>
      <x:c r="F45" s="7"/>
      <x:c r="G45" s="7"/>
      <x:c r="H45" s="7"/>
      <x:c r="I45" s="7"/>
      <x:c r="J45" s="7"/>
      <x:c r="K45" s="20"/>
      <x:c r="L45" s="23"/>
    </x:row>
    <x:row r="46">
      <x:c r="A46" s="2"/>
      <x:c r="B46" s="7"/>
      <x:c r="C46" s="7"/>
      <x:c r="D46" s="7"/>
      <x:c r="E46" s="30"/>
      <x:c r="F46" s="7"/>
      <x:c r="G46" s="7"/>
      <x:c r="H46" s="7"/>
      <x:c r="I46" s="7"/>
      <x:c r="J46" s="7"/>
      <x:c r="K46" s="20"/>
      <x:c r="L46" s="23"/>
    </x:row>
    <x:row r="47">
      <x:c r="A47" s="2"/>
      <x:c r="B47" s="7"/>
      <x:c r="C47" s="7"/>
      <x:c r="D47" s="7"/>
      <x:c r="E47" s="30"/>
      <x:c r="F47" s="7"/>
      <x:c r="G47" s="7"/>
      <x:c r="H47" s="7"/>
      <x:c r="I47" s="7"/>
      <x:c r="J47" s="7"/>
      <x:c r="K47" s="20"/>
      <x:c r="L47" s="23"/>
    </x:row>
    <x:row r="48">
      <x:c r="A48" s="2"/>
      <x:c r="B48" s="7"/>
      <x:c r="C48" s="7"/>
      <x:c r="D48" s="7"/>
      <x:c r="E48" s="30"/>
      <x:c r="F48" s="7"/>
      <x:c r="G48" s="7"/>
      <x:c r="H48" s="7"/>
      <x:c r="I48" s="7"/>
      <x:c r="J48" s="7"/>
      <x:c r="K48" s="20"/>
      <x:c r="L48" s="23"/>
    </x:row>
    <x:row r="49">
      <x:c r="A49" s="2"/>
      <x:c r="B49" s="7"/>
      <x:c r="C49" s="7"/>
      <x:c r="D49" s="7"/>
      <x:c r="E49" s="30"/>
      <x:c r="F49" s="7"/>
      <x:c r="G49" s="7"/>
      <x:c r="H49" s="7"/>
      <x:c r="I49" s="7"/>
      <x:c r="J49" s="7"/>
      <x:c r="K49" s="20"/>
      <x:c r="L49" s="23"/>
    </x:row>
    <x:row r="50">
      <x:c r="A50" s="2"/>
      <x:c r="B50" s="7"/>
      <x:c r="C50" s="7"/>
      <x:c r="D50" s="7"/>
      <x:c r="E50" s="30"/>
      <x:c r="F50" s="7"/>
      <x:c r="G50" s="7"/>
      <x:c r="H50" s="7"/>
      <x:c r="I50" s="7"/>
      <x:c r="J50" s="7"/>
      <x:c r="K50" s="20"/>
      <x:c r="L50" s="23"/>
    </x:row>
    <x:row r="51">
      <x:c r="A51" s="2"/>
      <x:c r="B51" s="7"/>
      <x:c r="C51" s="7"/>
      <x:c r="D51" s="7"/>
      <x:c r="E51" s="30"/>
      <x:c r="F51" s="7"/>
      <x:c r="G51" s="7"/>
      <x:c r="H51" s="7"/>
      <x:c r="I51" s="7"/>
      <x:c r="J51" s="7"/>
      <x:c r="K51" s="20"/>
      <x:c r="L51" s="23"/>
    </x:row>
    <x:row r="52">
      <x:c r="A52" s="2"/>
      <x:c r="B52" s="7"/>
      <x:c r="C52" s="7"/>
      <x:c r="D52" s="7"/>
      <x:c r="E52" s="30"/>
      <x:c r="F52" s="7"/>
      <x:c r="G52" s="7"/>
      <x:c r="H52" s="7"/>
      <x:c r="I52" s="7"/>
      <x:c r="J52" s="7"/>
      <x:c r="K52" s="20"/>
      <x:c r="L52" s="23"/>
    </x:row>
    <x:row r="53">
      <x:c r="A53" s="2"/>
      <x:c r="B53" s="7"/>
      <x:c r="C53" s="7"/>
      <x:c r="D53" s="7"/>
      <x:c r="E53" s="30"/>
      <x:c r="F53" s="7"/>
      <x:c r="G53" s="7"/>
      <x:c r="H53" s="7"/>
      <x:c r="I53" s="7"/>
      <x:c r="J53" s="7"/>
      <x:c r="K53" s="20"/>
      <x:c r="L53" s="23"/>
    </x:row>
    <x:row r="54">
      <x:c r="A54" s="2"/>
      <x:c r="B54" s="7"/>
      <x:c r="C54" s="7"/>
      <x:c r="D54" s="7"/>
      <x:c r="E54" s="30"/>
      <x:c r="F54" s="7"/>
      <x:c r="G54" s="7"/>
      <x:c r="H54" s="7"/>
      <x:c r="I54" s="7"/>
      <x:c r="J54" s="7"/>
      <x:c r="K54" s="20"/>
      <x:c r="L54" s="23"/>
    </x:row>
    <x:row r="55">
      <x:c r="A55" s="2"/>
      <x:c r="B55" s="7"/>
      <x:c r="C55" s="7"/>
      <x:c r="D55" s="7"/>
      <x:c r="E55" s="30"/>
      <x:c r="F55" s="7"/>
      <x:c r="G55" s="7"/>
      <x:c r="H55" s="7"/>
      <x:c r="I55" s="7"/>
      <x:c r="J55" s="7"/>
      <x:c r="K55" s="20"/>
      <x:c r="L55" s="23"/>
    </x:row>
    <x:row r="56">
      <x:c r="A56" s="2"/>
      <x:c r="B56" s="7"/>
      <x:c r="C56" s="7"/>
      <x:c r="D56" s="7"/>
      <x:c r="E56" s="30"/>
      <x:c r="F56" s="7"/>
      <x:c r="G56" s="7"/>
      <x:c r="H56" s="7"/>
      <x:c r="I56" s="7"/>
      <x:c r="J56" s="7"/>
      <x:c r="K56" s="20"/>
      <x:c r="L56" s="23"/>
    </x:row>
    <x:row r="57">
      <x:c r="A57" s="2"/>
      <x:c r="B57" s="7"/>
      <x:c r="C57" s="7"/>
      <x:c r="D57" s="7"/>
      <x:c r="E57" s="30"/>
      <x:c r="F57" s="7"/>
      <x:c r="G57" s="7"/>
      <x:c r="H57" s="7"/>
      <x:c r="I57" s="7"/>
      <x:c r="J57" s="7"/>
      <x:c r="K57" s="20"/>
      <x:c r="L57" s="23"/>
    </x:row>
    <x:row r="58">
      <x:c r="A58" s="2"/>
      <x:c r="B58" s="7"/>
      <x:c r="C58" s="7"/>
      <x:c r="D58" s="7"/>
      <x:c r="E58" s="30"/>
      <x:c r="F58" s="7"/>
      <x:c r="G58" s="7"/>
      <x:c r="H58" s="7"/>
      <x:c r="I58" s="7"/>
      <x:c r="J58" s="7"/>
      <x:c r="K58" s="20"/>
      <x:c r="L58" s="23"/>
    </x:row>
    <x:row r="59">
      <x:c r="A59" s="2"/>
      <x:c r="B59" s="7"/>
      <x:c r="C59" s="7"/>
      <x:c r="D59" s="7"/>
      <x:c r="E59" s="30"/>
      <x:c r="F59" s="7"/>
      <x:c r="G59" s="7"/>
      <x:c r="H59" s="7"/>
      <x:c r="I59" s="7"/>
      <x:c r="J59" s="7"/>
      <x:c r="K59" s="20"/>
      <x:c r="L59" s="23"/>
    </x:row>
    <x:row r="60">
      <x:c r="A60" s="2"/>
      <x:c r="B60" s="7"/>
      <x:c r="C60" s="7"/>
      <x:c r="D60" s="7"/>
      <x:c r="E60" s="30"/>
      <x:c r="F60" s="7"/>
      <x:c r="G60" s="7"/>
      <x:c r="H60" s="7"/>
      <x:c r="I60" s="7"/>
      <x:c r="J60" s="7"/>
      <x:c r="K60" s="20"/>
      <x:c r="L60" s="23"/>
    </x:row>
    <x:row r="61">
      <x:c r="A61" s="2"/>
      <x:c r="B61" s="7"/>
      <x:c r="C61" s="7"/>
      <x:c r="D61" s="7"/>
      <x:c r="E61" s="30"/>
      <x:c r="F61" s="7"/>
      <x:c r="G61" s="7"/>
      <x:c r="H61" s="7"/>
      <x:c r="I61" s="7"/>
      <x:c r="J61" s="7"/>
      <x:c r="K61" s="20"/>
      <x:c r="L61" s="23"/>
    </x:row>
    <x:row r="62">
      <x:c r="A62" s="2"/>
      <x:c r="B62" s="7"/>
      <x:c r="C62" s="7"/>
      <x:c r="D62" s="7"/>
      <x:c r="E62" s="30"/>
      <x:c r="F62" s="7"/>
      <x:c r="G62" s="7"/>
      <x:c r="H62" s="7"/>
      <x:c r="I62" s="7"/>
      <x:c r="J62" s="7"/>
      <x:c r="K62" s="20"/>
      <x:c r="L62" s="23"/>
    </x:row>
    <x:row r="63">
      <x:c r="A63" s="2"/>
      <x:c r="B63" s="7"/>
      <x:c r="C63" s="7"/>
      <x:c r="D63" s="7"/>
      <x:c r="E63" s="30"/>
      <x:c r="F63" s="7"/>
      <x:c r="G63" s="7"/>
      <x:c r="H63" s="7"/>
      <x:c r="I63" s="7"/>
      <x:c r="J63" s="7"/>
      <x:c r="K63" s="20"/>
      <x:c r="L63" s="23"/>
    </x:row>
    <x:row r="64">
      <x:c r="A64" s="2"/>
      <x:c r="B64" s="7"/>
      <x:c r="C64" s="7"/>
      <x:c r="D64" s="7"/>
      <x:c r="E64" s="30"/>
      <x:c r="F64" s="7"/>
      <x:c r="G64" s="7"/>
      <x:c r="H64" s="7"/>
      <x:c r="I64" s="7"/>
      <x:c r="J64" s="7"/>
      <x:c r="K64" s="20"/>
      <x:c r="L64" s="23"/>
    </x:row>
    <x:row r="65">
      <x:c r="A65" s="2"/>
      <x:c r="B65" s="7"/>
      <x:c r="C65" s="7"/>
      <x:c r="D65" s="7"/>
      <x:c r="E65" s="30"/>
      <x:c r="F65" s="7"/>
      <x:c r="G65" s="7"/>
      <x:c r="H65" s="7"/>
      <x:c r="I65" s="7"/>
      <x:c r="J65" s="7"/>
      <x:c r="K65" s="20"/>
      <x:c r="L65" s="23"/>
    </x:row>
    <x:row r="66">
      <x:c r="A66" s="2"/>
      <x:c r="B66" s="7"/>
      <x:c r="C66" s="7"/>
      <x:c r="D66" s="7"/>
      <x:c r="E66" s="30"/>
      <x:c r="F66" s="7"/>
      <x:c r="G66" s="7"/>
      <x:c r="H66" s="7"/>
      <x:c r="I66" s="7"/>
      <x:c r="J66" s="7"/>
      <x:c r="K66" s="20"/>
      <x:c r="L66" s="23"/>
    </x:row>
    <x:row r="67">
      <x:c r="A67" s="2"/>
      <x:c r="B67" s="7"/>
      <x:c r="C67" s="7"/>
      <x:c r="D67" s="7"/>
      <x:c r="E67" s="30"/>
      <x:c r="F67" s="7"/>
      <x:c r="G67" s="7"/>
      <x:c r="H67" s="7"/>
      <x:c r="I67" s="7"/>
      <x:c r="J67" s="7"/>
      <x:c r="K67" s="20"/>
      <x:c r="L67" s="23"/>
    </x:row>
    <x:row r="68">
      <x:c r="A68" s="2"/>
      <x:c r="B68" s="7"/>
      <x:c r="C68" s="7"/>
      <x:c r="D68" s="7"/>
      <x:c r="E68" s="30"/>
      <x:c r="F68" s="7"/>
      <x:c r="G68" s="7"/>
      <x:c r="H68" s="7"/>
      <x:c r="I68" s="7"/>
      <x:c r="J68" s="7"/>
      <x:c r="K68" s="20"/>
      <x:c r="L68" s="23"/>
    </x:row>
    <x:row r="69">
      <x:c r="A69" s="2"/>
      <x:c r="B69" s="7"/>
      <x:c r="C69" s="7"/>
      <x:c r="D69" s="7"/>
      <x:c r="E69" s="30"/>
      <x:c r="F69" s="7"/>
      <x:c r="G69" s="7"/>
      <x:c r="H69" s="7"/>
      <x:c r="I69" s="7"/>
      <x:c r="J69" s="7"/>
      <x:c r="K69" s="20"/>
      <x:c r="L69" s="23"/>
    </x:row>
    <x:row r="70">
      <x:c r="A70" s="2"/>
      <x:c r="B70" s="7"/>
      <x:c r="C70" s="7"/>
      <x:c r="D70" s="7"/>
      <x:c r="E70" s="30"/>
      <x:c r="F70" s="7"/>
      <x:c r="G70" s="7"/>
      <x:c r="H70" s="7"/>
      <x:c r="I70" s="7"/>
      <x:c r="J70" s="7"/>
      <x:c r="K70" s="20"/>
      <x:c r="L70" s="23"/>
    </x:row>
    <x:row r="71">
      <x:c r="A71" s="2"/>
      <x:c r="B71" s="7"/>
      <x:c r="C71" s="7"/>
      <x:c r="D71" s="7"/>
      <x:c r="E71" s="30"/>
      <x:c r="F71" s="7"/>
      <x:c r="G71" s="7"/>
      <x:c r="H71" s="7"/>
      <x:c r="I71" s="7"/>
      <x:c r="J71" s="7"/>
      <x:c r="K71" s="20"/>
      <x:c r="L71" s="23"/>
    </x:row>
    <x:row r="72">
      <x:c r="A72" s="2"/>
      <x:c r="B72" s="7"/>
      <x:c r="C72" s="7"/>
      <x:c r="D72" s="7"/>
      <x:c r="E72" s="30"/>
      <x:c r="F72" s="7"/>
      <x:c r="G72" s="7"/>
      <x:c r="H72" s="7"/>
      <x:c r="I72" s="7"/>
      <x:c r="J72" s="7"/>
      <x:c r="K72" s="20"/>
      <x:c r="L72" s="23"/>
    </x:row>
    <x:row r="73">
      <x:c r="A73" s="2"/>
      <x:c r="B73" s="7"/>
      <x:c r="C73" s="7"/>
      <x:c r="D73" s="7"/>
      <x:c r="E73" s="30"/>
      <x:c r="F73" s="7"/>
      <x:c r="G73" s="7"/>
      <x:c r="H73" s="7"/>
      <x:c r="I73" s="7"/>
      <x:c r="J73" s="7"/>
      <x:c r="K73" s="20"/>
      <x:c r="L73" s="23"/>
    </x:row>
    <x:row r="74">
      <x:c r="A74" s="2"/>
      <x:c r="B74" s="7"/>
      <x:c r="C74" s="7"/>
      <x:c r="D74" s="7"/>
      <x:c r="E74" s="30"/>
      <x:c r="F74" s="7"/>
      <x:c r="G74" s="7"/>
      <x:c r="H74" s="7"/>
      <x:c r="I74" s="7"/>
      <x:c r="J74" s="7"/>
      <x:c r="K74" s="20"/>
      <x:c r="L74" s="23"/>
    </x:row>
    <x:row r="75">
      <x:c r="A75" s="2"/>
      <x:c r="B75" s="7"/>
      <x:c r="C75" s="7"/>
      <x:c r="D75" s="7"/>
      <x:c r="E75" s="30"/>
      <x:c r="F75" s="7"/>
      <x:c r="G75" s="7"/>
      <x:c r="H75" s="7"/>
      <x:c r="I75" s="7"/>
      <x:c r="J75" s="7"/>
      <x:c r="K75" s="20"/>
      <x:c r="L75" s="23"/>
    </x:row>
    <x:row r="76">
      <x:c r="A76" s="2"/>
      <x:c r="B76" s="7"/>
      <x:c r="C76" s="7"/>
      <x:c r="D76" s="7"/>
      <x:c r="E76" s="30"/>
      <x:c r="F76" s="7"/>
      <x:c r="G76" s="7"/>
      <x:c r="H76" s="7"/>
      <x:c r="I76" s="7"/>
      <x:c r="J76" s="7"/>
      <x:c r="K76" s="20"/>
      <x:c r="L76" s="23"/>
    </x:row>
    <x:row r="77">
      <x:c r="A77" s="2"/>
      <x:c r="B77" s="7"/>
      <x:c r="C77" s="7"/>
      <x:c r="D77" s="7"/>
      <x:c r="E77" s="30"/>
      <x:c r="F77" s="7"/>
      <x:c r="G77" s="7"/>
      <x:c r="H77" s="7"/>
      <x:c r="I77" s="7"/>
      <x:c r="J77" s="7"/>
      <x:c r="K77" s="20"/>
      <x:c r="L77" s="23"/>
    </x:row>
    <x:row r="78">
      <x:c r="A78" s="2"/>
      <x:c r="B78" s="7"/>
      <x:c r="C78" s="7"/>
      <x:c r="D78" s="7"/>
      <x:c r="E78" s="30"/>
      <x:c r="F78" s="7"/>
      <x:c r="G78" s="7"/>
      <x:c r="H78" s="7"/>
      <x:c r="I78" s="7"/>
      <x:c r="J78" s="7"/>
      <x:c r="K78" s="20"/>
      <x:c r="L78" s="23"/>
    </x:row>
    <x:row r="79">
      <x:c r="A79" s="2"/>
      <x:c r="B79" s="7"/>
      <x:c r="C79" s="7"/>
      <x:c r="D79" s="7"/>
      <x:c r="E79" s="30"/>
      <x:c r="F79" s="7"/>
      <x:c r="G79" s="7"/>
      <x:c r="H79" s="7"/>
      <x:c r="I79" s="7"/>
      <x:c r="J79" s="7"/>
      <x:c r="K79" s="20"/>
      <x:c r="L79" s="23"/>
    </x:row>
    <x:row r="80">
      <x:c r="A80" s="2"/>
      <x:c r="B80" s="7"/>
      <x:c r="C80" s="7"/>
      <x:c r="D80" s="7"/>
      <x:c r="E80" s="30"/>
      <x:c r="F80" s="7"/>
      <x:c r="G80" s="7"/>
      <x:c r="H80" s="7"/>
      <x:c r="I80" s="7"/>
      <x:c r="J80" s="7"/>
      <x:c r="K80" s="20"/>
      <x:c r="L80" s="23"/>
    </x:row>
    <x:row r="81">
      <x:c r="A81" s="2"/>
      <x:c r="B81" s="7"/>
      <x:c r="C81" s="7"/>
      <x:c r="D81" s="7"/>
      <x:c r="E81" s="30"/>
      <x:c r="F81" s="7"/>
      <x:c r="G81" s="7"/>
      <x:c r="H81" s="7"/>
      <x:c r="I81" s="7"/>
      <x:c r="J81" s="7"/>
      <x:c r="K81" s="20"/>
      <x:c r="L81" s="23"/>
    </x:row>
    <x:row r="82">
      <x:c r="A82" s="2"/>
      <x:c r="B82" s="7"/>
      <x:c r="C82" s="7"/>
      <x:c r="D82" s="7"/>
      <x:c r="E82" s="30"/>
      <x:c r="F82" s="7"/>
      <x:c r="G82" s="7"/>
      <x:c r="H82" s="7"/>
      <x:c r="I82" s="7"/>
      <x:c r="J82" s="7"/>
      <x:c r="K82" s="20"/>
      <x:c r="L82" s="23"/>
    </x:row>
    <x:row r="83">
      <x:c r="A83" s="2"/>
      <x:c r="B83" s="7"/>
      <x:c r="C83" s="7"/>
      <x:c r="D83" s="7"/>
      <x:c r="E83" s="30"/>
      <x:c r="F83" s="7"/>
      <x:c r="G83" s="7"/>
      <x:c r="H83" s="7"/>
      <x:c r="I83" s="7"/>
      <x:c r="J83" s="7"/>
      <x:c r="K83" s="20"/>
      <x:c r="L83" s="23"/>
    </x:row>
    <x:row r="84">
      <x:c r="A84" s="2"/>
      <x:c r="B84" s="7"/>
      <x:c r="C84" s="7"/>
      <x:c r="D84" s="7"/>
      <x:c r="E84" s="30"/>
      <x:c r="F84" s="7"/>
      <x:c r="G84" s="7"/>
      <x:c r="H84" s="7"/>
      <x:c r="I84" s="7"/>
      <x:c r="J84" s="7"/>
      <x:c r="K84" s="20"/>
      <x:c r="L84" s="23"/>
    </x:row>
    <x:row r="85">
      <x:c r="A85" s="2"/>
      <x:c r="B85" s="7"/>
      <x:c r="C85" s="7"/>
      <x:c r="D85" s="7"/>
      <x:c r="E85" s="30"/>
      <x:c r="F85" s="7"/>
      <x:c r="G85" s="7"/>
      <x:c r="H85" s="7"/>
      <x:c r="I85" s="7"/>
      <x:c r="J85" s="7"/>
      <x:c r="K85" s="20"/>
      <x:c r="L85" s="23"/>
    </x:row>
    <x:row r="86">
      <x:c r="A86" s="2"/>
      <x:c r="B86" s="7"/>
      <x:c r="C86" s="7"/>
      <x:c r="D86" s="7"/>
      <x:c r="E86" s="30"/>
      <x:c r="F86" s="7"/>
      <x:c r="G86" s="7"/>
      <x:c r="H86" s="7"/>
      <x:c r="I86" s="7"/>
      <x:c r="J86" s="7"/>
      <x:c r="K86" s="20"/>
      <x:c r="L86" s="23"/>
    </x:row>
    <x:row r="87">
      <x:c r="A87" s="2"/>
      <x:c r="B87" s="7"/>
      <x:c r="C87" s="7"/>
      <x:c r="D87" s="7"/>
      <x:c r="E87" s="30"/>
      <x:c r="F87" s="7"/>
      <x:c r="G87" s="7"/>
      <x:c r="H87" s="7"/>
      <x:c r="I87" s="7"/>
      <x:c r="J87" s="7"/>
      <x:c r="K87" s="20"/>
      <x:c r="L87" s="23"/>
    </x:row>
    <x:row r="88">
      <x:c r="A88" s="2"/>
      <x:c r="B88" s="7"/>
      <x:c r="C88" s="7"/>
      <x:c r="D88" s="7"/>
      <x:c r="E88" s="30"/>
      <x:c r="F88" s="7"/>
      <x:c r="G88" s="7"/>
      <x:c r="H88" s="7"/>
      <x:c r="I88" s="7"/>
      <x:c r="J88" s="7"/>
      <x:c r="K88" s="20"/>
      <x:c r="L88" s="23"/>
    </x:row>
    <x:row r="89">
      <x:c r="A89" s="2"/>
      <x:c r="B89" s="7"/>
      <x:c r="C89" s="7"/>
      <x:c r="D89" s="7"/>
      <x:c r="E89" s="30"/>
      <x:c r="F89" s="7"/>
      <x:c r="G89" s="7"/>
      <x:c r="H89" s="7"/>
      <x:c r="I89" s="7"/>
      <x:c r="J89" s="7"/>
      <x:c r="K89" s="20"/>
      <x:c r="L89" s="23"/>
    </x:row>
    <x:row r="90">
      <x:c r="A90" s="2"/>
      <x:c r="B90" s="7"/>
      <x:c r="C90" s="7"/>
      <x:c r="D90" s="7"/>
      <x:c r="E90" s="30"/>
      <x:c r="F90" s="7"/>
      <x:c r="G90" s="7"/>
      <x:c r="H90" s="7"/>
      <x:c r="I90" s="7"/>
      <x:c r="J90" s="7"/>
      <x:c r="K90" s="20"/>
      <x:c r="L90" s="23"/>
    </x:row>
    <x:row r="91">
      <x:c r="A91" s="2"/>
      <x:c r="B91" s="7"/>
      <x:c r="C91" s="7"/>
      <x:c r="D91" s="7"/>
      <x:c r="E91" s="30"/>
      <x:c r="F91" s="7"/>
      <x:c r="G91" s="7"/>
      <x:c r="H91" s="7"/>
      <x:c r="I91" s="7"/>
      <x:c r="J91" s="7"/>
      <x:c r="K91" s="20"/>
      <x:c r="L91" s="23"/>
    </x:row>
    <x:row r="92">
      <x:c r="A92" s="2"/>
      <x:c r="B92" s="7"/>
      <x:c r="C92" s="7"/>
      <x:c r="D92" s="7"/>
      <x:c r="E92" s="30"/>
      <x:c r="F92" s="7"/>
      <x:c r="G92" s="7"/>
      <x:c r="H92" s="7"/>
      <x:c r="I92" s="7"/>
      <x:c r="J92" s="7"/>
      <x:c r="K92" s="20"/>
      <x:c r="L92" s="23"/>
    </x:row>
    <x:row r="93">
      <x:c r="A93" s="2"/>
      <x:c r="B93" s="7"/>
      <x:c r="C93" s="7"/>
      <x:c r="D93" s="7"/>
      <x:c r="E93" s="30"/>
      <x:c r="F93" s="7"/>
      <x:c r="G93" s="7"/>
      <x:c r="H93" s="7"/>
      <x:c r="I93" s="7"/>
      <x:c r="J93" s="7"/>
      <x:c r="K93" s="20"/>
      <x:c r="L93" s="23"/>
    </x:row>
    <x:row r="94">
      <x:c r="A94" s="2"/>
      <x:c r="B94" s="7"/>
      <x:c r="C94" s="7"/>
      <x:c r="D94" s="7"/>
      <x:c r="E94" s="30"/>
      <x:c r="F94" s="7"/>
      <x:c r="G94" s="7"/>
      <x:c r="H94" s="7"/>
      <x:c r="I94" s="7"/>
      <x:c r="J94" s="7"/>
      <x:c r="K94" s="20"/>
      <x:c r="L94" s="23"/>
    </x:row>
    <x:row r="95">
      <x:c r="A95" s="2"/>
      <x:c r="B95" s="7"/>
      <x:c r="C95" s="7"/>
      <x:c r="D95" s="7"/>
      <x:c r="E95" s="30"/>
      <x:c r="F95" s="7"/>
      <x:c r="G95" s="7"/>
      <x:c r="H95" s="7"/>
      <x:c r="I95" s="7"/>
      <x:c r="J95" s="7"/>
      <x:c r="K95" s="20"/>
      <x:c r="L95" s="23"/>
    </x:row>
    <x:row r="96">
      <x:c r="A96" s="2"/>
      <x:c r="B96" s="7"/>
      <x:c r="C96" s="7"/>
      <x:c r="D96" s="7"/>
      <x:c r="E96" s="30"/>
      <x:c r="F96" s="7"/>
      <x:c r="G96" s="7"/>
      <x:c r="H96" s="7"/>
      <x:c r="I96" s="7"/>
      <x:c r="J96" s="7"/>
      <x:c r="K96" s="20"/>
      <x:c r="L96" s="23"/>
    </x:row>
    <x:row r="97">
      <x:c r="A97" s="2"/>
      <x:c r="B97" s="7"/>
      <x:c r="C97" s="7"/>
      <x:c r="D97" s="7"/>
      <x:c r="E97" s="30"/>
      <x:c r="F97" s="7"/>
      <x:c r="G97" s="7"/>
      <x:c r="H97" s="7"/>
      <x:c r="I97" s="7"/>
      <x:c r="J97" s="7"/>
      <x:c r="K97" s="20"/>
      <x:c r="L97" s="23"/>
    </x:row>
    <x:row r="98">
      <x:c r="A98" s="2"/>
      <x:c r="B98" s="7"/>
      <x:c r="C98" s="7"/>
      <x:c r="D98" s="7"/>
      <x:c r="E98" s="30"/>
      <x:c r="F98" s="7"/>
      <x:c r="G98" s="7"/>
      <x:c r="H98" s="7"/>
      <x:c r="I98" s="7"/>
      <x:c r="J98" s="7"/>
      <x:c r="K98" s="20"/>
      <x:c r="L98" s="23"/>
    </x:row>
    <x:row r="99">
      <x:c r="A99" s="2"/>
      <x:c r="B99" s="7"/>
      <x:c r="C99" s="7"/>
      <x:c r="D99" s="7"/>
      <x:c r="E99" s="30"/>
      <x:c r="F99" s="7"/>
      <x:c r="G99" s="7"/>
      <x:c r="H99" s="7"/>
      <x:c r="I99" s="7"/>
      <x:c r="J99" s="7"/>
      <x:c r="K99" s="20"/>
      <x:c r="L99" s="23"/>
    </x:row>
    <x:row r="100">
      <x:c r="A100" s="2"/>
      <x:c r="B100" s="7"/>
      <x:c r="C100" s="7"/>
      <x:c r="D100" s="7"/>
      <x:c r="E100" s="30"/>
      <x:c r="F100" s="7"/>
      <x:c r="G100" s="7"/>
      <x:c r="H100" s="7"/>
      <x:c r="I100" s="7"/>
      <x:c r="J100" s="7"/>
      <x:c r="K100" s="20"/>
      <x:c r="L100" s="23"/>
    </x:row>
    <x:row r="101">
      <x:c r="A101" s="2"/>
      <x:c r="B101" s="7"/>
      <x:c r="C101" s="7"/>
      <x:c r="D101" s="7"/>
      <x:c r="E101" s="30"/>
      <x:c r="F101" s="7"/>
      <x:c r="G101" s="7"/>
      <x:c r="H101" s="7"/>
      <x:c r="I101" s="7"/>
      <x:c r="J101" s="7"/>
      <x:c r="K101" s="20"/>
      <x:c r="L101" s="23"/>
    </x:row>
    <x:row r="102">
      <x:c r="A102" s="2"/>
      <x:c r="B102" s="7"/>
      <x:c r="C102" s="7"/>
      <x:c r="D102" s="7"/>
      <x:c r="E102" s="30"/>
      <x:c r="F102" s="7"/>
      <x:c r="G102" s="7"/>
      <x:c r="H102" s="7"/>
      <x:c r="I102" s="7"/>
      <x:c r="J102" s="7"/>
      <x:c r="K102" s="20"/>
      <x:c r="L102" s="23"/>
    </x:row>
    <x:row r="103">
      <x:c r="A103" s="2"/>
      <x:c r="B103" s="7"/>
      <x:c r="C103" s="7"/>
      <x:c r="D103" s="7"/>
      <x:c r="E103" s="30"/>
      <x:c r="F103" s="7"/>
      <x:c r="G103" s="7"/>
      <x:c r="H103" s="7"/>
      <x:c r="I103" s="7"/>
      <x:c r="J103" s="7"/>
      <x:c r="K103" s="20"/>
      <x:c r="L103" s="23"/>
    </x:row>
    <x:row r="104">
      <x:c r="A104" s="2"/>
      <x:c r="B104" s="7"/>
      <x:c r="C104" s="7"/>
      <x:c r="D104" s="7"/>
      <x:c r="E104" s="30"/>
      <x:c r="F104" s="7"/>
      <x:c r="G104" s="7"/>
      <x:c r="H104" s="7"/>
      <x:c r="I104" s="7"/>
      <x:c r="J104" s="7"/>
      <x:c r="K104" s="20"/>
      <x:c r="L104" s="23"/>
    </x:row>
    <x:row r="105">
      <x:c r="A105" s="2"/>
      <x:c r="B105" s="7"/>
      <x:c r="C105" s="7"/>
      <x:c r="D105" s="7"/>
      <x:c r="E105" s="30"/>
      <x:c r="F105" s="7"/>
      <x:c r="G105" s="7"/>
      <x:c r="H105" s="7"/>
      <x:c r="I105" s="7"/>
      <x:c r="J105" s="7"/>
      <x:c r="K105" s="20"/>
      <x:c r="L105" s="23"/>
    </x:row>
    <x:row r="106">
      <x:c r="A106" s="2"/>
      <x:c r="B106" s="7"/>
      <x:c r="C106" s="7"/>
      <x:c r="D106" s="7"/>
      <x:c r="E106" s="30"/>
      <x:c r="F106" s="7"/>
      <x:c r="G106" s="7"/>
      <x:c r="H106" s="7"/>
      <x:c r="I106" s="7"/>
      <x:c r="J106" s="7"/>
      <x:c r="K106" s="20"/>
      <x:c r="L106" s="23"/>
    </x:row>
    <x:row r="107">
      <x:c r="A107" s="2"/>
      <x:c r="B107" s="7"/>
      <x:c r="C107" s="7"/>
      <x:c r="D107" s="7"/>
      <x:c r="E107" s="30"/>
      <x:c r="F107" s="7"/>
      <x:c r="G107" s="7"/>
      <x:c r="H107" s="7"/>
      <x:c r="I107" s="7"/>
      <x:c r="J107" s="7"/>
      <x:c r="K107" s="20"/>
      <x:c r="L107" s="23"/>
    </x:row>
    <x:row r="108">
      <x:c r="A108" s="2"/>
      <x:c r="B108" s="7"/>
      <x:c r="C108" s="7"/>
      <x:c r="D108" s="7"/>
      <x:c r="E108" s="30"/>
      <x:c r="F108" s="7"/>
      <x:c r="G108" s="7"/>
      <x:c r="H108" s="7"/>
      <x:c r="I108" s="7"/>
      <x:c r="J108" s="7"/>
      <x:c r="K108" s="20"/>
      <x:c r="L108" s="23"/>
    </x:row>
    <x:row r="109">
      <x:c r="A109" s="2"/>
      <x:c r="B109" s="7"/>
      <x:c r="C109" s="7"/>
      <x:c r="D109" s="7"/>
      <x:c r="E109" s="30"/>
      <x:c r="F109" s="7"/>
      <x:c r="G109" s="7"/>
      <x:c r="H109" s="7"/>
      <x:c r="I109" s="7"/>
      <x:c r="J109" s="7"/>
      <x:c r="K109" s="20"/>
      <x:c r="L109" s="23"/>
    </x:row>
    <x:row r="110">
      <x:c r="A110" s="2"/>
      <x:c r="B110" s="7"/>
      <x:c r="C110" s="7"/>
      <x:c r="D110" s="7"/>
      <x:c r="E110" s="30"/>
      <x:c r="F110" s="7"/>
      <x:c r="G110" s="7"/>
      <x:c r="H110" s="7"/>
      <x:c r="I110" s="7"/>
      <x:c r="J110" s="7"/>
      <x:c r="K110" s="20"/>
      <x:c r="L110" s="23"/>
    </x:row>
    <x:row r="111">
      <x:c r="A111" s="2"/>
      <x:c r="B111" s="7"/>
      <x:c r="C111" s="7"/>
      <x:c r="D111" s="7"/>
      <x:c r="E111" s="30"/>
      <x:c r="F111" s="7"/>
      <x:c r="G111" s="7"/>
      <x:c r="H111" s="7"/>
      <x:c r="I111" s="7"/>
      <x:c r="J111" s="7"/>
      <x:c r="K111" s="20"/>
      <x:c r="L111" s="23"/>
    </x:row>
    <x:row r="112">
      <x:c r="A112" s="2"/>
      <x:c r="B112" s="7"/>
      <x:c r="C112" s="7"/>
      <x:c r="D112" s="7"/>
      <x:c r="E112" s="30"/>
      <x:c r="F112" s="7"/>
      <x:c r="G112" s="7"/>
      <x:c r="H112" s="7"/>
      <x:c r="I112" s="7"/>
      <x:c r="J112" s="7"/>
      <x:c r="K112" s="20"/>
      <x:c r="L112" s="23"/>
    </x:row>
    <x:row r="113">
      <x:c r="A113" s="2"/>
      <x:c r="B113" s="7"/>
      <x:c r="C113" s="7"/>
      <x:c r="D113" s="7"/>
      <x:c r="E113" s="30"/>
      <x:c r="F113" s="7"/>
      <x:c r="G113" s="7"/>
      <x:c r="H113" s="7"/>
      <x:c r="I113" s="7"/>
      <x:c r="J113" s="7"/>
      <x:c r="K113" s="20"/>
      <x:c r="L113" s="23"/>
    </x:row>
    <x:row r="114">
      <x:c r="A114" s="2"/>
      <x:c r="B114" s="7"/>
      <x:c r="C114" s="7"/>
      <x:c r="D114" s="7"/>
      <x:c r="E114" s="30"/>
      <x:c r="F114" s="7"/>
      <x:c r="G114" s="7"/>
      <x:c r="H114" s="7"/>
      <x:c r="I114" s="7"/>
      <x:c r="J114" s="7"/>
      <x:c r="K114" s="20"/>
      <x:c r="L114" s="23"/>
    </x:row>
    <x:row r="115">
      <x:c r="A115" s="2"/>
      <x:c r="B115" s="7"/>
      <x:c r="C115" s="7"/>
      <x:c r="D115" s="7"/>
      <x:c r="E115" s="30"/>
      <x:c r="F115" s="7"/>
      <x:c r="G115" s="7"/>
      <x:c r="H115" s="7"/>
      <x:c r="I115" s="7"/>
      <x:c r="J115" s="7"/>
      <x:c r="K115" s="20"/>
      <x:c r="L115" s="23"/>
    </x:row>
    <x:row r="116">
      <x:c r="A116" s="2"/>
      <x:c r="B116" s="7"/>
      <x:c r="C116" s="7"/>
      <x:c r="D116" s="7"/>
      <x:c r="E116" s="30"/>
      <x:c r="F116" s="7"/>
      <x:c r="G116" s="7"/>
      <x:c r="H116" s="7"/>
      <x:c r="I116" s="7"/>
      <x:c r="J116" s="7"/>
      <x:c r="K116" s="20"/>
      <x:c r="L116" s="23"/>
    </x:row>
    <x:row r="117">
      <x:c r="A117" s="2"/>
      <x:c r="B117" s="7"/>
      <x:c r="C117" s="7"/>
      <x:c r="D117" s="7"/>
      <x:c r="E117" s="30"/>
      <x:c r="F117" s="7"/>
      <x:c r="G117" s="7"/>
      <x:c r="H117" s="7"/>
      <x:c r="I117" s="7"/>
      <x:c r="J117" s="7"/>
      <x:c r="K117" s="20"/>
      <x:c r="L117" s="23"/>
    </x:row>
    <x:row r="118">
      <x:c r="A118" s="2"/>
      <x:c r="B118" s="7"/>
      <x:c r="C118" s="7"/>
      <x:c r="D118" s="7"/>
      <x:c r="E118" s="30"/>
      <x:c r="F118" s="7"/>
      <x:c r="G118" s="7"/>
      <x:c r="H118" s="7"/>
      <x:c r="I118" s="7"/>
      <x:c r="J118" s="7"/>
      <x:c r="K118" s="20"/>
      <x:c r="L118" s="23"/>
    </x:row>
    <x:row r="119">
      <x:c r="A119" s="2"/>
      <x:c r="B119" s="7"/>
      <x:c r="C119" s="7"/>
      <x:c r="D119" s="7"/>
      <x:c r="E119" s="30"/>
      <x:c r="F119" s="7"/>
      <x:c r="G119" s="7"/>
      <x:c r="H119" s="7"/>
      <x:c r="I119" s="7"/>
      <x:c r="J119" s="7"/>
      <x:c r="K119" s="20"/>
      <x:c r="L119" s="23"/>
    </x:row>
    <x:row r="120">
      <x:c r="A120" s="2"/>
      <x:c r="B120" s="7"/>
      <x:c r="C120" s="7"/>
      <x:c r="D120" s="7"/>
      <x:c r="E120" s="30"/>
      <x:c r="F120" s="7"/>
      <x:c r="G120" s="7"/>
      <x:c r="H120" s="7"/>
      <x:c r="I120" s="7"/>
      <x:c r="J120" s="7"/>
      <x:c r="K120" s="20"/>
      <x:c r="L120" s="23"/>
    </x:row>
    <x:row r="121">
      <x:c r="A121" s="2"/>
      <x:c r="B121" s="7"/>
      <x:c r="C121" s="7"/>
      <x:c r="D121" s="7"/>
      <x:c r="E121" s="30"/>
      <x:c r="F121" s="7"/>
      <x:c r="G121" s="7"/>
      <x:c r="H121" s="7"/>
      <x:c r="I121" s="7"/>
      <x:c r="J121" s="7"/>
      <x:c r="K121" s="20"/>
      <x:c r="L121" s="23"/>
    </x:row>
    <x:row r="122">
      <x:c r="A122" s="2"/>
      <x:c r="B122" s="7"/>
      <x:c r="C122" s="7"/>
      <x:c r="D122" s="7"/>
      <x:c r="E122" s="30"/>
      <x:c r="F122" s="7"/>
      <x:c r="G122" s="7"/>
      <x:c r="H122" s="7"/>
      <x:c r="I122" s="7"/>
      <x:c r="J122" s="7"/>
      <x:c r="K122" s="20"/>
      <x:c r="L122" s="23"/>
    </x:row>
    <x:row r="123">
      <x:c r="A123" s="2"/>
      <x:c r="B123" s="7"/>
      <x:c r="C123" s="7"/>
      <x:c r="D123" s="7"/>
      <x:c r="E123" s="30"/>
      <x:c r="F123" s="7"/>
      <x:c r="G123" s="7"/>
      <x:c r="H123" s="7"/>
      <x:c r="I123" s="7"/>
      <x:c r="J123" s="7"/>
      <x:c r="K123" s="20"/>
      <x:c r="L123" s="23"/>
    </x:row>
    <x:row r="124">
      <x:c r="A124" s="2"/>
      <x:c r="B124" s="7"/>
      <x:c r="C124" s="7"/>
      <x:c r="D124" s="7"/>
      <x:c r="E124" s="30"/>
      <x:c r="F124" s="7"/>
      <x:c r="G124" s="7"/>
      <x:c r="H124" s="7"/>
      <x:c r="I124" s="7"/>
      <x:c r="J124" s="7"/>
      <x:c r="K124" s="20"/>
      <x:c r="L124" s="23"/>
    </x:row>
    <x:row r="125">
      <x:c r="A125" s="2"/>
      <x:c r="B125" s="7"/>
      <x:c r="C125" s="7"/>
      <x:c r="D125" s="7"/>
      <x:c r="E125" s="30"/>
      <x:c r="F125" s="7"/>
      <x:c r="G125" s="7"/>
      <x:c r="H125" s="7"/>
      <x:c r="I125" s="7"/>
      <x:c r="J125" s="7"/>
      <x:c r="K125" s="20"/>
      <x:c r="L125" s="23"/>
    </x:row>
    <x:row r="126">
      <x:c r="A126" s="2"/>
      <x:c r="B126" s="7"/>
      <x:c r="C126" s="7"/>
      <x:c r="D126" s="7"/>
      <x:c r="E126" s="30"/>
      <x:c r="F126" s="7"/>
      <x:c r="G126" s="7"/>
      <x:c r="H126" s="7"/>
      <x:c r="I126" s="7"/>
      <x:c r="J126" s="7"/>
      <x:c r="K126" s="20"/>
      <x:c r="L126" s="23"/>
    </x:row>
    <x:row r="127">
      <x:c r="A127" s="2"/>
      <x:c r="B127" s="7"/>
      <x:c r="C127" s="7"/>
      <x:c r="D127" s="7"/>
      <x:c r="E127" s="30"/>
      <x:c r="F127" s="7"/>
      <x:c r="G127" s="7"/>
      <x:c r="H127" s="7"/>
      <x:c r="I127" s="7"/>
      <x:c r="J127" s="7"/>
      <x:c r="K127" s="20"/>
      <x:c r="L127" s="23"/>
    </x:row>
    <x:row r="128">
      <x:c r="A128" s="2"/>
      <x:c r="B128" s="7"/>
      <x:c r="C128" s="7"/>
      <x:c r="D128" s="7"/>
      <x:c r="E128" s="30"/>
      <x:c r="F128" s="7"/>
      <x:c r="G128" s="7"/>
      <x:c r="H128" s="7"/>
      <x:c r="I128" s="7"/>
      <x:c r="J128" s="7"/>
      <x:c r="K128" s="20"/>
      <x:c r="L128" s="23"/>
    </x:row>
    <x:row r="129">
      <x:c r="A129" s="2"/>
      <x:c r="B129" s="7"/>
      <x:c r="C129" s="7"/>
      <x:c r="D129" s="7"/>
      <x:c r="E129" s="30"/>
      <x:c r="F129" s="7"/>
      <x:c r="G129" s="7"/>
      <x:c r="H129" s="7"/>
      <x:c r="I129" s="7"/>
      <x:c r="J129" s="7"/>
      <x:c r="K129" s="20"/>
      <x:c r="L129" s="23"/>
    </x:row>
    <x:row r="130">
      <x:c r="A130" s="2"/>
      <x:c r="B130" s="7"/>
      <x:c r="C130" s="7"/>
      <x:c r="D130" s="7"/>
      <x:c r="E130" s="30"/>
      <x:c r="F130" s="7"/>
      <x:c r="G130" s="7"/>
      <x:c r="H130" s="7"/>
      <x:c r="I130" s="7"/>
      <x:c r="J130" s="7"/>
      <x:c r="K130" s="20"/>
      <x:c r="L130" s="23"/>
    </x:row>
    <x:row r="131">
      <x:c r="A131" s="2"/>
      <x:c r="B131" s="7"/>
      <x:c r="C131" s="7"/>
      <x:c r="D131" s="7"/>
      <x:c r="E131" s="30"/>
      <x:c r="F131" s="7"/>
      <x:c r="G131" s="7"/>
      <x:c r="H131" s="7"/>
      <x:c r="I131" s="7"/>
      <x:c r="J131" s="7"/>
      <x:c r="K131" s="20"/>
      <x:c r="L131" s="23"/>
    </x:row>
    <x:row r="132">
      <x:c r="A132" s="2"/>
      <x:c r="B132" s="7"/>
      <x:c r="C132" s="7"/>
      <x:c r="D132" s="7"/>
      <x:c r="E132" s="30"/>
      <x:c r="F132" s="7"/>
      <x:c r="G132" s="7"/>
      <x:c r="H132" s="7"/>
      <x:c r="I132" s="7"/>
      <x:c r="J132" s="7"/>
      <x:c r="K132" s="20"/>
      <x:c r="L132" s="23"/>
    </x:row>
    <x:row r="133">
      <x:c r="A133" s="2"/>
      <x:c r="B133" s="7"/>
      <x:c r="C133" s="7"/>
      <x:c r="D133" s="7"/>
      <x:c r="E133" s="30"/>
      <x:c r="F133" s="7"/>
      <x:c r="G133" s="7"/>
      <x:c r="H133" s="7"/>
      <x:c r="I133" s="7"/>
      <x:c r="J133" s="7"/>
      <x:c r="K133" s="20"/>
      <x:c r="L133" s="23"/>
    </x:row>
    <x:row r="134">
      <x:c r="A134" s="2"/>
      <x:c r="B134" s="7"/>
      <x:c r="C134" s="7"/>
      <x:c r="D134" s="7"/>
      <x:c r="E134" s="30"/>
      <x:c r="F134" s="7"/>
      <x:c r="G134" s="7"/>
      <x:c r="H134" s="7"/>
      <x:c r="I134" s="7"/>
      <x:c r="J134" s="7"/>
      <x:c r="K134" s="20"/>
      <x:c r="L134" s="23"/>
    </x:row>
    <x:row r="135">
      <x:c r="A135" s="2"/>
      <x:c r="B135" s="7"/>
      <x:c r="C135" s="7"/>
      <x:c r="D135" s="7"/>
      <x:c r="E135" s="30"/>
      <x:c r="F135" s="7"/>
      <x:c r="G135" s="7"/>
      <x:c r="H135" s="7"/>
      <x:c r="I135" s="7"/>
      <x:c r="J135" s="7"/>
      <x:c r="K135" s="20"/>
      <x:c r="L135" s="23"/>
    </x:row>
    <x:row r="136">
      <x:c r="A136" s="2"/>
      <x:c r="B136" s="7"/>
      <x:c r="C136" s="7"/>
      <x:c r="D136" s="7"/>
      <x:c r="E136" s="30"/>
      <x:c r="F136" s="7"/>
      <x:c r="G136" s="7"/>
      <x:c r="H136" s="7"/>
      <x:c r="I136" s="7"/>
      <x:c r="J136" s="7"/>
      <x:c r="K136" s="20"/>
      <x:c r="L136" s="23"/>
    </x:row>
    <x:row r="137">
      <x:c r="A137" s="2"/>
      <x:c r="B137" s="7"/>
      <x:c r="C137" s="7"/>
      <x:c r="D137" s="7"/>
      <x:c r="E137" s="30"/>
      <x:c r="F137" s="7"/>
      <x:c r="G137" s="7"/>
      <x:c r="H137" s="7"/>
      <x:c r="I137" s="7"/>
      <x:c r="J137" s="7"/>
      <x:c r="K137" s="20"/>
      <x:c r="L137" s="23"/>
    </x:row>
    <x:row r="138">
      <x:c r="A138" s="2"/>
      <x:c r="B138" s="7"/>
      <x:c r="C138" s="7"/>
      <x:c r="D138" s="7"/>
      <x:c r="E138" s="30"/>
      <x:c r="F138" s="7"/>
      <x:c r="G138" s="7"/>
      <x:c r="H138" s="7"/>
      <x:c r="I138" s="7"/>
      <x:c r="J138" s="7"/>
      <x:c r="K138" s="20"/>
      <x:c r="L138" s="23"/>
    </x:row>
    <x:row r="139">
      <x:c r="A139" s="2"/>
      <x:c r="B139" s="7"/>
      <x:c r="C139" s="7"/>
      <x:c r="D139" s="7"/>
      <x:c r="E139" s="30"/>
      <x:c r="F139" s="7"/>
      <x:c r="G139" s="7"/>
      <x:c r="H139" s="7"/>
      <x:c r="I139" s="7"/>
      <x:c r="J139" s="7"/>
      <x:c r="K139" s="20"/>
      <x:c r="L139" s="23"/>
    </x:row>
    <x:row r="140">
      <x:c r="A140" s="2"/>
      <x:c r="B140" s="7"/>
      <x:c r="C140" s="7"/>
      <x:c r="D140" s="7"/>
      <x:c r="E140" s="30"/>
      <x:c r="F140" s="7"/>
      <x:c r="G140" s="7"/>
      <x:c r="H140" s="7"/>
      <x:c r="I140" s="7"/>
      <x:c r="J140" s="7"/>
      <x:c r="K140" s="20"/>
      <x:c r="L140" s="23"/>
    </x:row>
    <x:row r="141">
      <x:c r="A141" s="2"/>
      <x:c r="B141" s="7"/>
      <x:c r="C141" s="7"/>
      <x:c r="D141" s="7"/>
      <x:c r="E141" s="30"/>
      <x:c r="F141" s="7"/>
      <x:c r="G141" s="7"/>
      <x:c r="H141" s="7"/>
      <x:c r="I141" s="7"/>
      <x:c r="J141" s="7"/>
      <x:c r="K141" s="20"/>
      <x:c r="L141" s="23"/>
    </x:row>
    <x:row r="142">
      <x:c r="A142" s="2"/>
      <x:c r="B142" s="7"/>
      <x:c r="C142" s="7"/>
      <x:c r="D142" s="7"/>
      <x:c r="E142" s="30"/>
      <x:c r="F142" s="7"/>
      <x:c r="G142" s="7"/>
      <x:c r="H142" s="7"/>
      <x:c r="I142" s="7"/>
      <x:c r="J142" s="7"/>
      <x:c r="K142" s="20"/>
      <x:c r="L142" s="23"/>
    </x:row>
    <x:row r="143">
      <x:c r="A143" s="2"/>
      <x:c r="B143" s="7"/>
      <x:c r="C143" s="7"/>
      <x:c r="D143" s="7"/>
      <x:c r="E143" s="30"/>
      <x:c r="F143" s="7"/>
      <x:c r="G143" s="7"/>
      <x:c r="H143" s="7"/>
      <x:c r="I143" s="7"/>
      <x:c r="J143" s="7"/>
      <x:c r="K143" s="20"/>
      <x:c r="L143" s="23"/>
    </x:row>
    <x:row r="144">
      <x:c r="A144" s="2"/>
      <x:c r="B144" s="7"/>
      <x:c r="C144" s="7"/>
      <x:c r="D144" s="7"/>
      <x:c r="E144" s="30"/>
      <x:c r="F144" s="7"/>
      <x:c r="G144" s="7"/>
      <x:c r="H144" s="7"/>
      <x:c r="I144" s="7"/>
      <x:c r="J144" s="7"/>
      <x:c r="K144" s="20"/>
      <x:c r="L144" s="23"/>
    </x:row>
    <x:row r="145">
      <x:c r="A145" s="2"/>
      <x:c r="B145" s="7"/>
      <x:c r="C145" s="7"/>
      <x:c r="D145" s="7"/>
      <x:c r="E145" s="30"/>
      <x:c r="F145" s="7"/>
      <x:c r="G145" s="7"/>
      <x:c r="H145" s="7"/>
      <x:c r="I145" s="7"/>
      <x:c r="J145" s="7"/>
      <x:c r="K145" s="20"/>
      <x:c r="L145" s="23"/>
    </x:row>
    <x:row r="146">
      <x:c r="A146" s="2"/>
      <x:c r="B146" s="7"/>
      <x:c r="C146" s="7"/>
      <x:c r="D146" s="7"/>
      <x:c r="E146" s="30"/>
      <x:c r="F146" s="7"/>
      <x:c r="G146" s="7"/>
      <x:c r="H146" s="7"/>
      <x:c r="I146" s="7"/>
      <x:c r="J146" s="7"/>
      <x:c r="K146" s="20"/>
      <x:c r="L146" s="23"/>
    </x:row>
    <x:row r="147">
      <x:c r="A147" s="2"/>
      <x:c r="B147" s="7"/>
      <x:c r="C147" s="7"/>
      <x:c r="D147" s="7"/>
      <x:c r="E147" s="30"/>
      <x:c r="F147" s="7"/>
      <x:c r="G147" s="7"/>
      <x:c r="H147" s="7"/>
      <x:c r="I147" s="7"/>
      <x:c r="J147" s="7"/>
      <x:c r="K147" s="20"/>
      <x:c r="L147" s="23"/>
    </x:row>
    <x:row r="148">
      <x:c r="A148" s="2"/>
      <x:c r="B148" s="7"/>
      <x:c r="C148" s="7"/>
      <x:c r="D148" s="7"/>
      <x:c r="E148" s="30"/>
      <x:c r="F148" s="7"/>
      <x:c r="G148" s="7"/>
      <x:c r="H148" s="7"/>
      <x:c r="I148" s="7"/>
      <x:c r="J148" s="7"/>
      <x:c r="K148" s="20"/>
      <x:c r="L148" s="23"/>
    </x:row>
    <x:row r="149">
      <x:c r="A149" s="2"/>
      <x:c r="B149" s="7"/>
      <x:c r="C149" s="7"/>
      <x:c r="D149" s="7"/>
      <x:c r="E149" s="30"/>
      <x:c r="F149" s="7"/>
      <x:c r="G149" s="7"/>
      <x:c r="H149" s="7"/>
      <x:c r="I149" s="7"/>
      <x:c r="J149" s="7"/>
      <x:c r="K149" s="20"/>
      <x:c r="L149" s="23"/>
    </x:row>
    <x:row r="150">
      <x:c r="A150" s="2"/>
      <x:c r="B150" s="7"/>
      <x:c r="C150" s="7"/>
      <x:c r="D150" s="7"/>
      <x:c r="E150" s="30"/>
      <x:c r="F150" s="7"/>
      <x:c r="G150" s="7"/>
      <x:c r="H150" s="7"/>
      <x:c r="I150" s="7"/>
      <x:c r="J150" s="7"/>
      <x:c r="K150" s="20"/>
      <x:c r="L150" s="23"/>
    </x:row>
    <x:row r="151">
      <x:c r="A151" s="2"/>
      <x:c r="B151" s="7"/>
      <x:c r="C151" s="7"/>
      <x:c r="D151" s="7"/>
      <x:c r="E151" s="30"/>
      <x:c r="F151" s="7"/>
      <x:c r="G151" s="7"/>
      <x:c r="H151" s="7"/>
      <x:c r="I151" s="7"/>
      <x:c r="J151" s="7"/>
      <x:c r="K151" s="20"/>
      <x:c r="L151" s="23"/>
    </x:row>
    <x:row r="152">
      <x:c r="A152" s="2"/>
      <x:c r="B152" s="7"/>
      <x:c r="C152" s="7"/>
      <x:c r="D152" s="7"/>
      <x:c r="E152" s="30"/>
      <x:c r="F152" s="7"/>
      <x:c r="G152" s="7"/>
      <x:c r="H152" s="7"/>
      <x:c r="I152" s="7"/>
      <x:c r="J152" s="7"/>
      <x:c r="K152" s="20"/>
      <x:c r="L152" s="23"/>
    </x:row>
    <x:row r="153">
      <x:c r="A153" s="2"/>
      <x:c r="B153" s="7"/>
      <x:c r="C153" s="7"/>
      <x:c r="D153" s="7"/>
      <x:c r="E153" s="30"/>
      <x:c r="F153" s="7"/>
      <x:c r="G153" s="7"/>
      <x:c r="H153" s="7"/>
      <x:c r="I153" s="7"/>
      <x:c r="J153" s="7"/>
      <x:c r="K153" s="20"/>
      <x:c r="L153" s="23"/>
    </x:row>
    <x:row r="154">
      <x:c r="A154" s="2"/>
      <x:c r="B154" s="7"/>
      <x:c r="C154" s="7"/>
      <x:c r="D154" s="7"/>
      <x:c r="E154" s="30"/>
      <x:c r="F154" s="7"/>
      <x:c r="G154" s="7"/>
      <x:c r="H154" s="7"/>
      <x:c r="I154" s="7"/>
      <x:c r="J154" s="7"/>
      <x:c r="K154" s="20"/>
      <x:c r="L154" s="23"/>
    </x:row>
    <x:row r="155">
      <x:c r="A155" s="2"/>
      <x:c r="B155" s="7"/>
      <x:c r="C155" s="7"/>
      <x:c r="D155" s="7"/>
      <x:c r="E155" s="30"/>
      <x:c r="F155" s="7"/>
      <x:c r="G155" s="7"/>
      <x:c r="H155" s="7"/>
      <x:c r="I155" s="7"/>
      <x:c r="J155" s="7"/>
      <x:c r="K155" s="20"/>
      <x:c r="L155" s="23"/>
    </x:row>
    <x:row r="156">
      <x:c r="A156" s="2"/>
      <x:c r="B156" s="7"/>
      <x:c r="C156" s="7"/>
      <x:c r="D156" s="7"/>
      <x:c r="E156" s="30"/>
      <x:c r="F156" s="7"/>
      <x:c r="G156" s="7"/>
      <x:c r="H156" s="7"/>
      <x:c r="I156" s="7"/>
      <x:c r="J156" s="7"/>
      <x:c r="K156" s="20"/>
      <x:c r="L156" s="23"/>
    </x:row>
    <x:row r="157">
      <x:c r="A157" s="2"/>
      <x:c r="B157" s="7"/>
      <x:c r="C157" s="7"/>
      <x:c r="D157" s="7"/>
      <x:c r="E157" s="30"/>
      <x:c r="F157" s="7"/>
      <x:c r="G157" s="7"/>
      <x:c r="H157" s="7"/>
      <x:c r="I157" s="7"/>
      <x:c r="J157" s="7"/>
      <x:c r="K157" s="20"/>
      <x:c r="L157" s="23"/>
    </x:row>
    <x:row r="158">
      <x:c r="A158" s="2"/>
      <x:c r="B158" s="7"/>
      <x:c r="C158" s="7"/>
      <x:c r="D158" s="7"/>
      <x:c r="E158" s="30"/>
      <x:c r="F158" s="7"/>
      <x:c r="G158" s="7"/>
      <x:c r="H158" s="7"/>
      <x:c r="I158" s="7"/>
      <x:c r="J158" s="7"/>
      <x:c r="K158" s="20"/>
      <x:c r="L158" s="23"/>
    </x:row>
    <x:row r="159">
      <x:c r="A159" s="2"/>
      <x:c r="B159" s="7"/>
      <x:c r="C159" s="7"/>
      <x:c r="D159" s="7"/>
      <x:c r="E159" s="30"/>
      <x:c r="F159" s="7"/>
      <x:c r="G159" s="7"/>
      <x:c r="H159" s="7"/>
      <x:c r="I159" s="7"/>
      <x:c r="J159" s="7"/>
      <x:c r="K159" s="20"/>
      <x:c r="L159" s="23"/>
    </x:row>
    <x:row r="160">
      <x:c r="A160" s="2"/>
      <x:c r="B160" s="7"/>
      <x:c r="C160" s="7"/>
      <x:c r="D160" s="7"/>
      <x:c r="E160" s="30"/>
      <x:c r="F160" s="7"/>
      <x:c r="G160" s="7"/>
      <x:c r="H160" s="7"/>
      <x:c r="I160" s="7"/>
      <x:c r="J160" s="7"/>
      <x:c r="K160" s="20"/>
      <x:c r="L160" s="23"/>
    </x:row>
    <x:row r="161">
      <x:c r="A161" s="2"/>
      <x:c r="B161" s="7"/>
      <x:c r="C161" s="7"/>
      <x:c r="D161" s="7"/>
      <x:c r="E161" s="30"/>
      <x:c r="F161" s="7"/>
      <x:c r="G161" s="7"/>
      <x:c r="H161" s="7"/>
      <x:c r="I161" s="7"/>
      <x:c r="J161" s="7"/>
      <x:c r="K161" s="20"/>
      <x:c r="L161" s="23"/>
    </x:row>
    <x:row r="162">
      <x:c r="A162" s="2"/>
      <x:c r="B162" s="7"/>
      <x:c r="C162" s="7"/>
      <x:c r="D162" s="7"/>
      <x:c r="E162" s="30"/>
      <x:c r="F162" s="7"/>
      <x:c r="G162" s="7"/>
      <x:c r="H162" s="7"/>
      <x:c r="I162" s="7"/>
      <x:c r="J162" s="7"/>
      <x:c r="K162" s="20"/>
      <x:c r="L162" s="23"/>
    </x:row>
    <x:row r="163">
      <x:c r="A163" s="2"/>
      <x:c r="B163" s="7"/>
      <x:c r="C163" s="7"/>
      <x:c r="D163" s="7"/>
      <x:c r="E163" s="30"/>
      <x:c r="F163" s="7"/>
      <x:c r="G163" s="7"/>
      <x:c r="H163" s="7"/>
      <x:c r="I163" s="7"/>
      <x:c r="J163" s="7"/>
      <x:c r="K163" s="20"/>
      <x:c r="L163" s="23"/>
    </x:row>
    <x:row r="164">
      <x:c r="A164" s="2"/>
      <x:c r="B164" s="7"/>
      <x:c r="C164" s="7"/>
      <x:c r="D164" s="7"/>
      <x:c r="E164" s="30"/>
      <x:c r="F164" s="7"/>
      <x:c r="G164" s="7"/>
      <x:c r="H164" s="7"/>
      <x:c r="I164" s="7"/>
      <x:c r="J164" s="7"/>
      <x:c r="K164" s="20"/>
      <x:c r="L164" s="23"/>
    </x:row>
    <x:row r="165">
      <x:c r="A165" s="2"/>
      <x:c r="B165" s="7"/>
      <x:c r="C165" s="7"/>
      <x:c r="D165" s="7"/>
      <x:c r="E165" s="30"/>
      <x:c r="F165" s="7"/>
      <x:c r="G165" s="7"/>
      <x:c r="H165" s="7"/>
      <x:c r="I165" s="7"/>
      <x:c r="J165" s="7"/>
      <x:c r="K165" s="20"/>
      <x:c r="L165" s="23"/>
    </x:row>
    <x:row r="166">
      <x:c r="A166" s="2"/>
      <x:c r="B166" s="7"/>
      <x:c r="C166" s="7"/>
      <x:c r="D166" s="7"/>
      <x:c r="E166" s="30"/>
      <x:c r="F166" s="7"/>
      <x:c r="G166" s="7"/>
      <x:c r="H166" s="7"/>
      <x:c r="I166" s="7"/>
      <x:c r="J166" s="7"/>
      <x:c r="K166" s="20"/>
      <x:c r="L166" s="23"/>
    </x:row>
    <x:row r="167">
      <x:c r="A167" s="2"/>
      <x:c r="B167" s="7"/>
      <x:c r="C167" s="7"/>
      <x:c r="D167" s="7"/>
      <x:c r="E167" s="30"/>
      <x:c r="F167" s="7"/>
      <x:c r="G167" s="7"/>
      <x:c r="H167" s="7"/>
      <x:c r="I167" s="7"/>
      <x:c r="J167" s="7"/>
      <x:c r="K167" s="20"/>
      <x:c r="L167" s="23"/>
    </x:row>
    <x:row r="168">
      <x:c r="A168" s="2"/>
      <x:c r="B168" s="7"/>
      <x:c r="C168" s="7"/>
      <x:c r="D168" s="7"/>
      <x:c r="E168" s="30"/>
      <x:c r="F168" s="7"/>
      <x:c r="G168" s="7"/>
      <x:c r="H168" s="7"/>
      <x:c r="I168" s="7"/>
      <x:c r="J168" s="7"/>
      <x:c r="K168" s="20"/>
      <x:c r="L168" s="23"/>
    </x:row>
    <x:row r="169">
      <x:c r="A169" s="2"/>
      <x:c r="B169" s="7"/>
      <x:c r="C169" s="7"/>
      <x:c r="D169" s="7"/>
      <x:c r="E169" s="30"/>
      <x:c r="F169" s="7"/>
      <x:c r="G169" s="7"/>
      <x:c r="H169" s="7"/>
      <x:c r="I169" s="7"/>
      <x:c r="J169" s="7"/>
      <x:c r="K169" s="20"/>
      <x:c r="L169" s="23"/>
    </x:row>
    <x:row r="170">
      <x:c r="A170" s="2"/>
      <x:c r="B170" s="7"/>
      <x:c r="C170" s="7"/>
      <x:c r="D170" s="7"/>
      <x:c r="E170" s="30"/>
      <x:c r="F170" s="7"/>
      <x:c r="G170" s="7"/>
      <x:c r="H170" s="7"/>
      <x:c r="I170" s="7"/>
      <x:c r="J170" s="7"/>
      <x:c r="K170" s="20"/>
      <x:c r="L170" s="23"/>
    </x:row>
    <x:row r="171">
      <x:c r="A171" s="2"/>
      <x:c r="B171" s="7"/>
      <x:c r="C171" s="7"/>
      <x:c r="D171" s="7"/>
      <x:c r="E171" s="30"/>
      <x:c r="F171" s="7"/>
      <x:c r="G171" s="7"/>
      <x:c r="H171" s="7"/>
      <x:c r="I171" s="7"/>
      <x:c r="J171" s="7"/>
      <x:c r="K171" s="20"/>
      <x:c r="L171" s="23"/>
    </x:row>
    <x:row r="172">
      <x:c r="A172" s="2"/>
      <x:c r="B172" s="7"/>
      <x:c r="C172" s="7"/>
      <x:c r="D172" s="7"/>
      <x:c r="E172" s="30"/>
      <x:c r="F172" s="7"/>
      <x:c r="G172" s="7"/>
      <x:c r="H172" s="7"/>
      <x:c r="I172" s="7"/>
      <x:c r="J172" s="7"/>
      <x:c r="K172" s="20"/>
      <x:c r="L172" s="23"/>
    </x:row>
    <x:row r="173">
      <x:c r="A173" s="2"/>
      <x:c r="B173" s="7"/>
      <x:c r="C173" s="7"/>
      <x:c r="D173" s="7"/>
      <x:c r="E173" s="30"/>
      <x:c r="F173" s="7"/>
      <x:c r="G173" s="7"/>
      <x:c r="H173" s="7"/>
      <x:c r="I173" s="7"/>
      <x:c r="J173" s="7"/>
      <x:c r="K173" s="20"/>
      <x:c r="L173" s="23"/>
    </x:row>
    <x:row r="174">
      <x:c r="A174" s="2"/>
      <x:c r="B174" s="7"/>
      <x:c r="C174" s="7"/>
      <x:c r="D174" s="7"/>
      <x:c r="E174" s="30"/>
      <x:c r="F174" s="7"/>
      <x:c r="G174" s="7"/>
      <x:c r="H174" s="7"/>
      <x:c r="I174" s="7"/>
      <x:c r="J174" s="7"/>
      <x:c r="K174" s="20"/>
      <x:c r="L174" s="23"/>
    </x:row>
    <x:row r="175">
      <x:c r="A175" s="2"/>
      <x:c r="B175" s="7"/>
      <x:c r="C175" s="7"/>
      <x:c r="D175" s="7"/>
      <x:c r="E175" s="30"/>
      <x:c r="F175" s="7"/>
      <x:c r="G175" s="7"/>
      <x:c r="H175" s="7"/>
      <x:c r="I175" s="7"/>
      <x:c r="J175" s="7"/>
      <x:c r="K175" s="20"/>
      <x:c r="L175" s="23"/>
    </x:row>
    <x:row r="176">
      <x:c r="A176" s="2"/>
      <x:c r="B176" s="7"/>
      <x:c r="C176" s="7"/>
      <x:c r="D176" s="7"/>
      <x:c r="E176" s="30"/>
      <x:c r="F176" s="7"/>
      <x:c r="G176" s="7"/>
      <x:c r="H176" s="7"/>
      <x:c r="I176" s="7"/>
      <x:c r="J176" s="7"/>
      <x:c r="K176" s="20"/>
      <x:c r="L176" s="23"/>
    </x:row>
    <x:row r="177">
      <x:c r="A177" s="2"/>
      <x:c r="B177" s="7"/>
      <x:c r="C177" s="7"/>
      <x:c r="D177" s="7"/>
      <x:c r="E177" s="30"/>
      <x:c r="F177" s="7"/>
      <x:c r="G177" s="7"/>
      <x:c r="H177" s="7"/>
      <x:c r="I177" s="7"/>
      <x:c r="J177" s="7"/>
      <x:c r="K177" s="20"/>
      <x:c r="L177" s="23"/>
    </x:row>
    <x:row r="178">
      <x:c r="A178" s="2"/>
      <x:c r="B178" s="7"/>
      <x:c r="C178" s="7"/>
      <x:c r="D178" s="7"/>
      <x:c r="E178" s="30"/>
      <x:c r="F178" s="7"/>
      <x:c r="G178" s="7"/>
      <x:c r="H178" s="7"/>
      <x:c r="I178" s="7"/>
      <x:c r="J178" s="7"/>
      <x:c r="K178" s="20"/>
      <x:c r="L178" s="23"/>
    </x:row>
    <x:row r="179">
      <x:c r="A179" s="2"/>
      <x:c r="B179" s="7"/>
      <x:c r="C179" s="7"/>
      <x:c r="D179" s="7"/>
      <x:c r="E179" s="30"/>
      <x:c r="F179" s="7"/>
      <x:c r="G179" s="7"/>
      <x:c r="H179" s="7"/>
      <x:c r="I179" s="7"/>
      <x:c r="J179" s="7"/>
      <x:c r="K179" s="20"/>
      <x:c r="L179" s="23"/>
    </x:row>
    <x:row r="180">
      <x:c r="A180" s="2"/>
      <x:c r="B180" s="7"/>
      <x:c r="C180" s="7"/>
      <x:c r="D180" s="7"/>
      <x:c r="E180" s="30"/>
      <x:c r="F180" s="7"/>
      <x:c r="G180" s="7"/>
      <x:c r="H180" s="7"/>
      <x:c r="I180" s="7"/>
      <x:c r="J180" s="7"/>
      <x:c r="K180" s="20"/>
      <x:c r="L180" s="23"/>
    </x:row>
    <x:row r="181">
      <x:c r="A181" s="2"/>
      <x:c r="B181" s="7"/>
      <x:c r="C181" s="7"/>
      <x:c r="D181" s="7"/>
      <x:c r="E181" s="30"/>
      <x:c r="F181" s="7"/>
      <x:c r="G181" s="7"/>
      <x:c r="H181" s="7"/>
      <x:c r="I181" s="7"/>
      <x:c r="J181" s="7"/>
      <x:c r="K181" s="20"/>
      <x:c r="L181" s="23"/>
    </x:row>
    <x:row r="182">
      <x:c r="A182" s="2"/>
      <x:c r="B182" s="7"/>
      <x:c r="C182" s="7"/>
      <x:c r="D182" s="7"/>
      <x:c r="E182" s="30"/>
      <x:c r="F182" s="7"/>
      <x:c r="G182" s="7"/>
      <x:c r="H182" s="7"/>
      <x:c r="I182" s="7"/>
      <x:c r="J182" s="7"/>
      <x:c r="K182" s="20"/>
      <x:c r="L182" s="23"/>
    </x:row>
    <x:row r="183">
      <x:c r="A183" s="2"/>
      <x:c r="B183" s="7"/>
      <x:c r="C183" s="7"/>
      <x:c r="D183" s="7"/>
      <x:c r="E183" s="30"/>
      <x:c r="F183" s="7"/>
      <x:c r="G183" s="7"/>
      <x:c r="H183" s="7"/>
      <x:c r="I183" s="7"/>
      <x:c r="J183" s="7"/>
      <x:c r="K183" s="20"/>
      <x:c r="L183" s="23"/>
    </x:row>
    <x:row r="184">
      <x:c r="A184" s="2"/>
      <x:c r="B184" s="7"/>
      <x:c r="C184" s="7"/>
      <x:c r="D184" s="7"/>
      <x:c r="E184" s="30"/>
      <x:c r="F184" s="7"/>
      <x:c r="G184" s="7"/>
      <x:c r="H184" s="7"/>
      <x:c r="I184" s="7"/>
      <x:c r="J184" s="7"/>
      <x:c r="K184" s="20"/>
      <x:c r="L184" s="23"/>
    </x:row>
    <x:row r="185">
      <x:c r="A185" s="2"/>
      <x:c r="B185" s="7"/>
      <x:c r="C185" s="7"/>
      <x:c r="D185" s="7"/>
      <x:c r="E185" s="30"/>
      <x:c r="F185" s="7"/>
      <x:c r="G185" s="7"/>
      <x:c r="H185" s="7"/>
      <x:c r="I185" s="7"/>
      <x:c r="J185" s="7"/>
      <x:c r="K185" s="20"/>
      <x:c r="L185" s="23"/>
    </x:row>
    <x:row r="186">
      <x:c r="A186" s="2"/>
      <x:c r="B186" s="7"/>
      <x:c r="C186" s="7"/>
      <x:c r="D186" s="7"/>
      <x:c r="E186" s="30"/>
      <x:c r="F186" s="7"/>
      <x:c r="G186" s="7"/>
      <x:c r="H186" s="7"/>
      <x:c r="I186" s="7"/>
      <x:c r="J186" s="7"/>
      <x:c r="K186" s="20"/>
      <x:c r="L186" s="23"/>
    </x:row>
    <x:row r="187">
      <x:c r="A187" s="2"/>
      <x:c r="B187" s="7"/>
      <x:c r="C187" s="7"/>
      <x:c r="D187" s="7"/>
      <x:c r="E187" s="30"/>
      <x:c r="F187" s="7"/>
      <x:c r="G187" s="7"/>
      <x:c r="H187" s="7"/>
      <x:c r="I187" s="7"/>
      <x:c r="J187" s="7"/>
      <x:c r="K187" s="20"/>
      <x:c r="L187" s="23"/>
    </x:row>
    <x:row r="188">
      <x:c r="A188" s="2"/>
      <x:c r="B188" s="7"/>
      <x:c r="C188" s="7"/>
      <x:c r="D188" s="7"/>
      <x:c r="E188" s="30"/>
      <x:c r="F188" s="7"/>
      <x:c r="G188" s="7"/>
      <x:c r="H188" s="7"/>
      <x:c r="I188" s="7"/>
      <x:c r="J188" s="7"/>
      <x:c r="K188" s="20"/>
      <x:c r="L188" s="23"/>
    </x:row>
    <x:row r="189">
      <x:c r="A189" s="2"/>
      <x:c r="B189" s="7"/>
      <x:c r="C189" s="7"/>
      <x:c r="D189" s="7"/>
      <x:c r="E189" s="30"/>
      <x:c r="F189" s="7"/>
      <x:c r="G189" s="7"/>
      <x:c r="H189" s="7"/>
      <x:c r="I189" s="7"/>
      <x:c r="J189" s="7"/>
      <x:c r="K189" s="20"/>
      <x:c r="L189" s="23"/>
    </x:row>
    <x:row r="190">
      <x:c r="A190" s="2"/>
      <x:c r="B190" s="7"/>
      <x:c r="C190" s="7"/>
      <x:c r="D190" s="7"/>
      <x:c r="E190" s="30"/>
      <x:c r="F190" s="7"/>
      <x:c r="G190" s="7"/>
      <x:c r="H190" s="7"/>
      <x:c r="I190" s="7"/>
      <x:c r="J190" s="7"/>
      <x:c r="K190" s="20"/>
      <x:c r="L190" s="23"/>
    </x:row>
    <x:row r="191">
      <x:c r="A191" s="2"/>
      <x:c r="B191" s="7"/>
      <x:c r="C191" s="7"/>
      <x:c r="D191" s="7"/>
      <x:c r="E191" s="30"/>
      <x:c r="F191" s="7"/>
      <x:c r="G191" s="7"/>
      <x:c r="H191" s="7"/>
      <x:c r="I191" s="7"/>
      <x:c r="J191" s="7"/>
      <x:c r="K191" s="20"/>
      <x:c r="L191" s="23"/>
    </x:row>
    <x:row r="192">
      <x:c r="A192" s="2"/>
      <x:c r="B192" s="7"/>
      <x:c r="C192" s="7"/>
      <x:c r="D192" s="7"/>
      <x:c r="E192" s="30"/>
      <x:c r="F192" s="7"/>
      <x:c r="G192" s="7"/>
      <x:c r="H192" s="7"/>
      <x:c r="I192" s="7"/>
      <x:c r="J192" s="7"/>
      <x:c r="K192" s="20"/>
      <x:c r="L192" s="23"/>
    </x:row>
    <x:row r="193">
      <x:c r="A193" s="2"/>
      <x:c r="B193" s="7"/>
      <x:c r="C193" s="7"/>
      <x:c r="D193" s="7"/>
      <x:c r="E193" s="30"/>
      <x:c r="F193" s="7"/>
      <x:c r="G193" s="7"/>
      <x:c r="H193" s="7"/>
      <x:c r="I193" s="7"/>
      <x:c r="J193" s="7"/>
      <x:c r="K193" s="20"/>
      <x:c r="L193" s="23"/>
    </x:row>
    <x:row r="194">
      <x:c r="A194" s="2"/>
      <x:c r="B194" s="7"/>
      <x:c r="C194" s="7"/>
      <x:c r="D194" s="7"/>
      <x:c r="E194" s="30"/>
      <x:c r="F194" s="7"/>
      <x:c r="G194" s="7"/>
      <x:c r="H194" s="7"/>
      <x:c r="I194" s="7"/>
      <x:c r="J194" s="7"/>
      <x:c r="K194" s="20"/>
      <x:c r="L194" s="23"/>
    </x:row>
    <x:row r="195">
      <x:c r="A195" s="2"/>
      <x:c r="B195" s="7"/>
      <x:c r="C195" s="7"/>
      <x:c r="D195" s="7"/>
      <x:c r="E195" s="30"/>
      <x:c r="F195" s="7"/>
      <x:c r="G195" s="7"/>
      <x:c r="H195" s="7"/>
      <x:c r="I195" s="7"/>
      <x:c r="J195" s="7"/>
      <x:c r="K195" s="20"/>
      <x:c r="L195" s="23"/>
    </x:row>
    <x:row r="196">
      <x:c r="A196" s="2"/>
      <x:c r="B196" s="7"/>
      <x:c r="C196" s="7"/>
      <x:c r="D196" s="7"/>
      <x:c r="E196" s="30"/>
      <x:c r="F196" s="7"/>
      <x:c r="G196" s="7"/>
      <x:c r="H196" s="7"/>
      <x:c r="I196" s="7"/>
      <x:c r="J196" s="7"/>
      <x:c r="K196" s="20"/>
      <x:c r="L196" s="23"/>
    </x:row>
    <x:row r="197">
      <x:c r="A197" s="2"/>
      <x:c r="B197" s="7"/>
      <x:c r="C197" s="7"/>
      <x:c r="D197" s="7"/>
      <x:c r="E197" s="30"/>
      <x:c r="F197" s="7"/>
      <x:c r="G197" s="7"/>
      <x:c r="H197" s="7"/>
      <x:c r="I197" s="7"/>
      <x:c r="J197" s="7"/>
      <x:c r="K197" s="20"/>
      <x:c r="L197" s="23"/>
    </x:row>
    <x:row r="198">
      <x:c r="A198" s="2"/>
      <x:c r="B198" s="7"/>
      <x:c r="C198" s="7"/>
      <x:c r="D198" s="7"/>
      <x:c r="E198" s="30"/>
      <x:c r="F198" s="7"/>
      <x:c r="G198" s="7"/>
      <x:c r="H198" s="7"/>
      <x:c r="I198" s="7"/>
      <x:c r="J198" s="7"/>
      <x:c r="K198" s="20"/>
      <x:c r="L198" s="23"/>
    </x:row>
    <x:row r="199">
      <x:c r="A199" s="2"/>
      <x:c r="B199" s="7"/>
      <x:c r="C199" s="7"/>
      <x:c r="D199" s="7"/>
      <x:c r="E199" s="30"/>
      <x:c r="F199" s="7"/>
      <x:c r="G199" s="7"/>
      <x:c r="H199" s="7"/>
      <x:c r="I199" s="7"/>
      <x:c r="J199" s="7"/>
      <x:c r="K199" s="20"/>
      <x:c r="L199" s="23"/>
    </x:row>
    <x:row r="200">
      <x:c r="A200" s="2"/>
      <x:c r="B200" s="7"/>
      <x:c r="C200" s="7"/>
      <x:c r="D200" s="7"/>
      <x:c r="E200" s="30"/>
      <x:c r="F200" s="7"/>
      <x:c r="G200" s="7"/>
      <x:c r="H200" s="7"/>
      <x:c r="I200" s="7"/>
      <x:c r="J200" s="7"/>
      <x:c r="K200" s="20"/>
      <x:c r="L200" s="23"/>
    </x:row>
    <x:row r="201">
      <x:c r="A201" s="2"/>
      <x:c r="B201" s="7"/>
      <x:c r="C201" s="7"/>
      <x:c r="D201" s="7"/>
      <x:c r="E201" s="30"/>
      <x:c r="F201" s="7"/>
      <x:c r="G201" s="7"/>
      <x:c r="H201" s="7"/>
      <x:c r="I201" s="7"/>
      <x:c r="J201" s="7"/>
      <x:c r="K201" s="20"/>
      <x:c r="L201" s="23"/>
    </x:row>
    <x:row r="202">
      <x:c r="A202" s="2"/>
      <x:c r="B202" s="7"/>
      <x:c r="C202" s="7"/>
      <x:c r="D202" s="7"/>
      <x:c r="E202" s="30"/>
      <x:c r="F202" s="7"/>
      <x:c r="G202" s="7"/>
      <x:c r="H202" s="7"/>
      <x:c r="I202" s="7"/>
      <x:c r="J202" s="7"/>
      <x:c r="K202" s="20"/>
      <x:c r="L202" s="23"/>
    </x:row>
    <x:row r="203">
      <x:c r="A203" s="2"/>
      <x:c r="B203" s="7"/>
      <x:c r="C203" s="7"/>
      <x:c r="D203" s="7"/>
      <x:c r="E203" s="30"/>
      <x:c r="F203" s="7"/>
      <x:c r="G203" s="7"/>
      <x:c r="H203" s="7"/>
      <x:c r="I203" s="7"/>
      <x:c r="J203" s="7"/>
      <x:c r="K203" s="20"/>
      <x:c r="L203" s="23"/>
    </x:row>
    <x:row r="204">
      <x:c r="A204" s="2"/>
      <x:c r="B204" s="7"/>
      <x:c r="C204" s="7"/>
      <x:c r="D204" s="7"/>
      <x:c r="E204" s="30"/>
      <x:c r="F204" s="7"/>
      <x:c r="G204" s="7"/>
      <x:c r="H204" s="7"/>
      <x:c r="I204" s="7"/>
      <x:c r="J204" s="7"/>
      <x:c r="K204" s="20"/>
      <x:c r="L204" s="23"/>
    </x:row>
  </x:sheetData>
  <x:mergeCells>
    <x:mergeCell ref="A1:L1"/>
    <x:mergeCell ref="A2:L2"/>
  </x:mergeCells>
  <x:pageMargins left="0.7" right="0.7" top="0.75" bottom="0.75" header="0.3" footer="0.3"/>
  <x:tableParts count="1">
    <x:tablePart xmlns:r="http://schemas.openxmlformats.org/officeDocument/2006/relationships" r:id="R0000000000000024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3.5"/>
  <x:cols>
    <x:col min="1" max="1" width="24" customWidth="1"/>
    <x:col min="2" max="3" width="12" customWidth="1"/>
    <x:col min="4" max="4" width="24" customWidth="1"/>
    <x:col min="5" max="5" width="48" customWidth="1"/>
  </x:cols>
  <x:sheetData>
    <x:row r="1" ht="34.04999923706055" customHeight="1">
      <x:c r="A1" s="33" t="s">
        <x:v>67</x:v>
      </x:c>
      <x:c r="B1" s="33"/>
      <x:c r="C1" s="33"/>
      <x:c r="D1" s="33"/>
      <x:c r="E1" s="33"/>
    </x:row>
    <x:row r="2" ht="32" customHeight="1">
      <x:c r="A2" s="34" t="s">
        <x:v>207</x:v>
      </x:c>
      <x:c r="B2" s="34"/>
      <x:c r="C2" s="34"/>
      <x:c r="D2" s="34"/>
      <x:c r="E2" s="34"/>
    </x:row>
    <x:row r="3">
      <x:c r="A3" s="2"/>
      <x:c r="B3" s="2"/>
      <x:c r="C3" s="2"/>
      <x:c r="D3" s="2"/>
      <x:c r="E3" s="2"/>
    </x:row>
    <x:row r="4" ht="34.04999923706055" customHeight="1">
      <x:c r="A4" s="1" t="s">
        <x:v>69</x:v>
      </x:c>
      <x:c r="B4" s="1" t="s">
        <x:v>208</x:v>
      </x:c>
      <x:c r="C4" s="1" t="s">
        <x:v>142</x:v>
      </x:c>
      <x:c r="D4" s="1" t="s">
        <x:v>209</x:v>
      </x:c>
      <x:c r="E4" s="1" t="s">
        <x:v>93</x:v>
      </x:c>
    </x:row>
    <x:row r="5">
      <x:c r="A5" s="2" t="s">
        <x:v>22</x:v>
      </x:c>
      <x:c r="B5" s="23" t="n">
        <x:f>COUNTIF('渠道'!$O$5:$O$204,"错误:*")</x:f>
        <x:v>0</x:v>
      </x:c>
      <x:c r="C5" s="23" t="str">
        <x:f t="shared" ref="C5:C11" si="0">IF(B5=0,"PASS","FAIL")</x:f>
        <x:v>PASS</x:v>
      </x:c>
      <x:c r="D5" s="2" t="s">
        <x:v>210</x:v>
      </x:c>
      <x:c r="E5" s="7" t="s">
        <x:v>211</x:v>
      </x:c>
    </x:row>
    <x:row r="6">
      <x:c r="A6" s="2" t="s">
        <x:v>26</x:v>
      </x:c>
      <x:c r="B6" s="23" t="n">
        <x:f>COUNTIF('模型SKU'!$R$5:$R$204,"错误:*")</x:f>
        <x:v>0</x:v>
      </x:c>
      <x:c r="C6" s="23" t="str">
        <x:f t="shared" si="0">IF(B6=0,"PASS","FAIL")</x:f>
        <x:v>PASS</x:v>
      </x:c>
      <x:c r="D6" s="2" t="s">
        <x:v>212</x:v>
      </x:c>
      <x:c r="E6" s="7" t="s">
        <x:v>213</x:v>
      </x:c>
    </x:row>
    <x:row r="7">
      <x:c r="A7" s="2" t="s">
        <x:v>33</x:v>
      </x:c>
      <x:c r="B7" s="23" t="n">
        <x:f>COUNTIF('官方售价'!$T$5:$T$204,"错误:*")</x:f>
        <x:v>0</x:v>
      </x:c>
      <x:c r="C7" s="23" t="str">
        <x:f t="shared" si="0">IF(B7=0,"PASS","FAIL")</x:f>
        <x:v>PASS</x:v>
      </x:c>
      <x:c r="D7" s="2" t="s">
        <x:v>214</x:v>
      </x:c>
      <x:c r="E7" s="7" t="s">
        <x:v>215</x:v>
      </x:c>
    </x:row>
    <x:row r="8">
      <x:c r="A8" s="2" t="s">
        <x:v>40</x:v>
      </x:c>
      <x:c r="B8" s="23" t="n">
        <x:f>COUNTIF('渠道成本'!$AB$5:$AB$1004,"错误:*")</x:f>
        <x:v>0</x:v>
      </x:c>
      <x:c r="C8" s="23" t="str">
        <x:f t="shared" si="0">IF(B8=0,"PASS","FAIL")</x:f>
        <x:v>PASS</x:v>
      </x:c>
      <x:c r="D8" s="2" t="s">
        <x:v>216</x:v>
      </x:c>
      <x:c r="E8" s="7" t="s">
        <x:v>217</x:v>
      </x:c>
    </x:row>
    <x:row r="9">
      <x:c r="A9" s="2" t="s">
        <x:v>47</x:v>
      </x:c>
      <x:c r="B9" s="23" t="n">
        <x:f>COUNTIF('模型映射'!$L$5:$L$1004,"错误:*")</x:f>
        <x:v>0</x:v>
      </x:c>
      <x:c r="C9" s="23" t="str">
        <x:f t="shared" si="0">IF(B9=0,"PASS","FAIL")</x:f>
        <x:v>PASS</x:v>
      </x:c>
      <x:c r="D9" s="2" t="s">
        <x:v>218</x:v>
      </x:c>
      <x:c r="E9" s="7" t="s">
        <x:v>219</x:v>
      </x:c>
    </x:row>
    <x:row r="10">
      <x:c r="A10" s="2" t="s">
        <x:v>54</x:v>
      </x:c>
      <x:c r="B10" s="23" t="n">
        <x:f>COUNTIF('利润测算'!$T$5:$T$1004,"settlement_failed")</x:f>
        <x:v>0</x:v>
      </x:c>
      <x:c r="C10" s="23" t="str">
        <x:f t="shared" si="0">IF(B10=0,"PASS","WARN")</x:f>
        <x:v>PASS</x:v>
      </x:c>
      <x:c r="D10" s="2" t="s">
        <x:v>220</x:v>
      </x:c>
      <x:c r="E10" s="7" t="s">
        <x:v>221</x:v>
      </x:c>
    </x:row>
    <x:row r="11">
      <x:c r="A11" s="2" t="s">
        <x:v>222</x:v>
      </x:c>
      <x:c r="B11" s="23" t="n">
        <x:f>COUNTIF('来源'!$L$5:$L$204,"错误:*")</x:f>
        <x:v>0</x:v>
      </x:c>
      <x:c r="C11" s="23" t="str">
        <x:f t="shared" si="0">IF(B11=0,"PASS","FAIL")</x:f>
        <x:v>PASS</x:v>
      </x:c>
      <x:c r="D11" s="2" t="s">
        <x:v>223</x:v>
      </x:c>
      <x:c r="E11" s="7" t="s">
        <x:v>224</x:v>
      </x:c>
    </x:row>
    <x:row r="12">
      <x:c r="A12" s="2" t="s">
        <x:v>225</x:v>
      </x:c>
      <x:c r="B12" s="23" t="n">
        <x:f>COUNTIF('渠道成本'!$AB$5:$AB$1004,"警告:SKU待映射")</x:f>
        <x:v>0</x:v>
      </x:c>
      <x:c r="C12" s="23" t="str">
        <x:f>IF(B12=0,"PASS","WARN")</x:f>
        <x:v>PASS</x:v>
      </x:c>
      <x:c r="D12" s="2" t="s">
        <x:v>216</x:v>
      </x:c>
      <x:c r="E12" s="7" t="s">
        <x:v>226</x:v>
      </x:c>
    </x:row>
    <x:row r="13">
      <x:c r="A13" s="2" t="s">
        <x:v>227</x:v>
      </x:c>
      <x:c r="B13" s="23" t="n">
        <x:f>COUNTIF('模型映射'!$L$5:$L$1004,"警告:SKU待映射")</x:f>
        <x:v>0</x:v>
      </x:c>
      <x:c r="C13" s="23" t="str">
        <x:f>IF(B13=0,"PASS","WARN")</x:f>
        <x:v>PASS</x:v>
      </x:c>
      <x:c r="D13" s="2" t="s">
        <x:v>218</x:v>
      </x:c>
      <x:c r="E13" s="7" t="s">
        <x:v>228</x:v>
      </x:c>
    </x:row>
    <x:row r="14">
      <x:c r="A14" s="2" t="s">
        <x:v>229</x:v>
      </x:c>
      <x:c r="B14" s="23" t="n">
        <x:f>COUNTIF('渠道成本'!$Y$5:$Y$1004,"draft")+COUNTIF('渠道成本'!$Y$5:$Y$1004,"invalid")</x:f>
        <x:v>148</x:v>
      </x:c>
      <x:c r="C14" s="23" t="str">
        <x:f>IF(B14=0,"PASS","WARN")</x:f>
        <x:v>WARN</x:v>
      </x:c>
      <x:c r="D14" s="2" t="s">
        <x:v>230</x:v>
      </x:c>
      <x:c r="E14" s="7" t="s">
        <x:v>231</x:v>
      </x:c>
    </x:row>
    <x:row r="15">
      <x:c r="A15" s="2" t="s">
        <x:v>232</x:v>
      </x:c>
      <x:c r="B15" s="23" t="n">
        <x:f>COUNTIF('利润测算'!$S$5:$S$1004,"&lt;0")</x:f>
        <x:v>98</x:v>
      </x:c>
      <x:c r="C15" s="23" t="str">
        <x:f>IF(B15=0,"PASS","WARN")</x:f>
        <x:v>WARN</x:v>
      </x:c>
      <x:c r="D15" s="2" t="s">
        <x:v>233</x:v>
      </x:c>
      <x:c r="E15" s="7" t="s">
        <x:v>234</x:v>
      </x:c>
    </x:row>
    <x:row r="16">
      <x:c r="A16" s="2"/>
      <x:c r="B16" s="2"/>
      <x:c r="C16" s="2"/>
      <x:c r="D16" s="2"/>
      <x:c r="E16" s="2"/>
    </x:row>
    <x:row r="17" ht="13.899999618530273">
      <x:c r="A17" s="31" t="str">
        <x:v>MODEL STATUS</x:v>
      </x:c>
      <x:c r="B17" s="32" t="str">
        <x:f>IF(COUNTIF(C5:C15,"FAIL")&gt;0,"FAIL",IF(COUNTIF(C5:C15,"WARN")&gt;0,"WARN","PASS"))</x:f>
        <x:v>WARN</x:v>
      </x:c>
      <x:c r="C17" s="2"/>
      <x:c r="D17" s="2"/>
      <x:c r="E17" s="2"/>
    </x:row>
  </x:sheetData>
  <x:mergeCells>
    <x:mergeCell ref="A1:E1"/>
    <x:mergeCell ref="A2:E2"/>
  </x:mergeCells>
  <x:conditionalFormatting sqref="B17:B17">
    <x:cfRule type="containsText" dxfId="5" priority="4" operator="containsText" text="PASS"/>
    <x:cfRule type="containsText" dxfId="4" priority="5" operator="containsText" text="FAIL"/>
    <x:cfRule type="containsText" dxfId="3" priority="6" operator="containsText" text="WARN"/>
  </x:conditionalFormatting>
  <x:conditionalFormatting sqref="C5:C15">
    <x:cfRule type="containsText" dxfId="2" priority="1" operator="containsText" text="PASS"/>
    <x:cfRule type="containsText" dxfId="1" priority="2" operator="containsText" text="FAIL"/>
    <x:cfRule type="containsText" dxfId="0" priority="3" operator="containsText" text="WARN"/>
  </x:conditionalFormatting>
  <x:pageMargins left="0.7" right="0.7" top="0.75" bottom="0.75" header="0.3" footer="0.3"/>
  <x:tableParts count="1">
    <x:tablePart xmlns:r="http://schemas.openxmlformats.org/officeDocument/2006/relationships" r:id="R0000000000000016"/>
  </x:tableParts>
</x:worksheet>
</file>