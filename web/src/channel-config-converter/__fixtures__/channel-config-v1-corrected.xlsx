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70cf3e509449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5227e4e7d69c45ac"/>
    <x:sheet xmlns:r="http://schemas.openxmlformats.org/officeDocument/2006/relationships" name="参数" sheetId="2" r:id="R8c841d5a135f4327"/>
    <x:sheet xmlns:r="http://schemas.openxmlformats.org/officeDocument/2006/relationships" name="渠道" sheetId="3" r:id="Ra149855241074026"/>
    <x:sheet xmlns:r="http://schemas.openxmlformats.org/officeDocument/2006/relationships" name="模型SKU" sheetId="4" r:id="R69d7b6100b914154"/>
    <x:sheet xmlns:r="http://schemas.openxmlformats.org/officeDocument/2006/relationships" name="官方售价" sheetId="5" r:id="R401f3d89f3c548d7"/>
    <x:sheet xmlns:r="http://schemas.openxmlformats.org/officeDocument/2006/relationships" name="渠道成本" sheetId="6" r:id="R9b1c5f4bbadc421a"/>
    <x:sheet xmlns:r="http://schemas.openxmlformats.org/officeDocument/2006/relationships" name="模型映射" sheetId="7" r:id="R70a78aa2a2704722"/>
    <x:sheet xmlns:r="http://schemas.openxmlformats.org/officeDocument/2006/relationships" name="利润测算" sheetId="8" r:id="Rdc8eed9b599d41b1"/>
    <x:sheet xmlns:r="http://schemas.openxmlformats.org/officeDocument/2006/relationships" name="来源" sheetId="9" r:id="R17003204a12744d1"/>
    <x:sheet xmlns:r="http://schemas.openxmlformats.org/officeDocument/2006/relationships" name="校验" sheetId="10" r:id="Rb448df77b8f0416a"/>
  </x:sheets>
</x:workbook>
</file>

<file path=xl/sharedStrings.xml><?xml version="1.0" encoding="utf-8"?>
<x:sst xmlns:x="http://schemas.openxmlformats.org/spreadsheetml/2006/main">
  <x:si>
    <x:t xml:space="preserve">渠道模型成本与利润结构化模板</x:t>
  </x:si>
  <x:si>
    <x:t xml:space="preserve">用于维护官方售价、渠道成本、模型映射和利润测算。蓝色列为公式结果，浅黄色区域为可编辑输入。</x:t>
  </x:si>
  <x:si>
    <x:t xml:space="preserve">工作表</x:t>
  </x:si>
  <x:si>
    <x:t xml:space="preserve">用途</x:t>
  </x:si>
  <x:si>
    <x:t xml:space="preserve">主键</x:t>
  </x:si>
  <x:si>
    <x:t xml:space="preserve">主要输入</x:t>
  </x:si>
  <x:si>
    <x:t xml:space="preserve">主要输出</x:t>
  </x:si>
  <x:si>
    <x:t xml:space="preserve">是否导入系统</x:t>
  </x:si>
  <x:si>
    <x:t xml:space="preserve">维护频率</x:t>
  </x:si>
  <x:si>
    <x:t xml:space="preserve">备注</x:t>
  </x:si>
  <x:si>
    <x:t xml:space="preserve">参数</x:t>
  </x:si>
  <x:si>
    <x:t xml:space="preserve">集中管理汇率与计算常量</x:t>
  </x:si>
  <x:si>
    <x:t xml:space="preserve">参数代码</x:t>
  </x:si>
  <x:si>
    <x:t xml:space="preserve">汇率、除数、默认倍率</x:t>
  </x:si>
  <x:si>
    <x:t xml:space="preserve">跨表公式参数</x:t>
  </x:si>
  <x:si>
    <x:t xml:space="preserve">否</x:t>
  </x:si>
  <x:si>
    <x:t xml:space="preserve">按需</x:t>
  </x:si>
  <x:si>
    <x:t xml:space="preserve">不要在计算区域硬编码常量</x:t>
  </x:si>
  <x:si>
    <x:t xml:space="preserve">渠道</x:t>
  </x:si>
  <x:si>
    <x:t xml:space="preserve">维护渠道和账户商务条件</x:t>
  </x:si>
  <x:si>
    <x:t xml:space="preserve">渠道代码</x:t>
  </x:si>
  <x:si>
    <x:t xml:space="preserve">币种、充值比例、手续费</x:t>
  </x:si>
  <x:si>
    <x:t xml:space="preserve">渠道主数据</x:t>
  </x:si>
  <x:si>
    <x:t xml:space="preserve">是</x:t>
  </x:si>
  <x:si>
    <x:t xml:space="preserve">渠道变更时</x:t>
  </x:si>
  <x:si>
    <x:t xml:space="preserve">不要在每个模型重复维护</x:t>
  </x:si>
  <x:si>
    <x:t xml:space="preserve">模型SKU</x:t>
  </x:si>
  <x:si>
    <x:t xml:space="preserve">维护模型技术规格</x:t>
  </x:si>
  <x:si>
    <x:t xml:space="preserve">SKU代码</x:t>
  </x:si>
  <x:si>
    <x:t xml:space="preserve">模型、版本、宽高、帧率</x:t>
  </x:si>
  <x:si>
    <x:t xml:space="preserve">计量规格</x:t>
  </x:si>
  <x:si>
    <x:t xml:space="preserve">模型更新时</x:t>
  </x:si>
  <x:si>
    <x:t xml:space="preserve">能力字段与价格分离</x:t>
  </x:si>
  <x:si>
    <x:t xml:space="preserve">官方售价</x:t>
  </x:si>
  <x:si>
    <x:t xml:space="preserve">维护按官方价格生成的全局售价</x:t>
  </x:si>
  <x:si>
    <x:t xml:space="preserve">售价ID</x:t>
  </x:si>
  <x:si>
    <x:t xml:space="preserve">SKU、场景、元/1M</x:t>
  </x:si>
  <x:si>
    <x:t xml:space="preserve">Token/秒及USD售价</x:t>
  </x:si>
  <x:si>
    <x:t xml:space="preserve">官方价格变化时</x:t>
  </x:si>
  <x:si>
    <x:t xml:space="preserve">秒价为公式预览，不是第二价格源</x:t>
  </x:si>
  <x:si>
    <x:t xml:space="preserve">渠道成本</x:t>
  </x:si>
  <x:si>
    <x:t xml:space="preserve">维护实际渠道采购成本规则</x:t>
  </x:si>
  <x:si>
    <x:t xml:space="preserve">成本规则ID</x:t>
  </x:si>
  <x:si>
    <x:t xml:space="preserve">模式、原币价格、折扣、费率</x:t>
  </x:si>
  <x:si>
    <x:t xml:space="preserve">标准USD成本单价</x:t>
  </x:si>
  <x:si>
    <x:t xml:space="preserve">渠道报价变化时</x:t>
  </x:si>
  <x:si>
    <x:t xml:space="preserve">活动规则必须版本化</x:t>
  </x:si>
  <x:si>
    <x:t xml:space="preserve">模型映射</x:t>
  </x:si>
  <x:si>
    <x:t xml:space="preserve">关联客户端模型与上游模型</x:t>
  </x:si>
  <x:si>
    <x:t xml:space="preserve">映射ID</x:t>
  </x:si>
  <x:si>
    <x:t xml:space="preserve">客户端模型、渠道、上游模型</x:t>
  </x:si>
  <x:si>
    <x:t xml:space="preserve">可路由关系</x:t>
  </x:si>
  <x:si>
    <x:t xml:space="preserve">映射变化时</x:t>
  </x:si>
  <x:si>
    <x:t xml:space="preserve">成本最终以渠道+上游模型解析</x:t>
  </x:si>
  <x:si>
    <x:t xml:space="preserve">利润测算</x:t>
  </x:si>
  <x:si>
    <x:t xml:space="preserve">验证收入、成本和毛利润</x:t>
  </x:si>
  <x:si>
    <x:t xml:space="preserve">场景ID</x:t>
  </x:si>
  <x:si>
    <x:t xml:space="preserve">售价ID、成本规则ID、时长、分组倍率</x:t>
  </x:si>
  <x:si>
    <x:t xml:space="preserve">收入、成本、毛利润、毛利率</x:t>
  </x:si>
  <x:si>
    <x:t xml:space="preserve">仅用于配置预览</x:t>
  </x:si>
  <x:si>
    <x:t xml:space="preserve">来源</x:t>
  </x:si>
  <x:si>
    <x:t xml:space="preserve">记录数据来源和采集时间</x:t>
  </x:si>
  <x:si>
    <x:t xml:space="preserve">来源ID</x:t>
  </x:si>
  <x:si>
    <x:t xml:space="preserve">文件、链接、日期、说明</x:t>
  </x:si>
  <x:si>
    <x:t xml:space="preserve">审计线索</x:t>
  </x:si>
  <x:si>
    <x:t xml:space="preserve">每次采集</x:t>
  </x:si>
  <x:si>
    <x:t xml:space="preserve">不长期保存原始上传文件</x:t>
  </x:si>
  <x:si>
    <x:t xml:space="preserve">校验</x:t>
  </x:si>
  <x:si>
    <x:t xml:space="preserve">汇总结构和公式异常</x:t>
  </x:si>
  <x:si>
    <x:t xml:space="preserve">检查项</x:t>
  </x:si>
  <x:si>
    <x:t xml:space="preserve">自动公式</x:t>
  </x:si>
  <x:si>
    <x:t xml:space="preserve">PASS/FAIL</x:t>
  </x:si>
  <x:si>
    <x:t xml:space="preserve">每次导入前</x:t>
  </x:si>
  <x:si>
    <x:t xml:space="preserve">严格模式下FAIL不能激活</x:t>
  </x:si>
  <x:si>
    <x:t xml:space="preserve">核心公式</x:t>
  </x:si>
  <x:si>
    <x:t xml:space="preserve">标准USD单价</x:t>
  </x:si>
  <x:si>
    <x:t xml:space="preserve">原币单价 × 计费倍率 × 采购折扣 ÷ 充值兑换比例 × (1 + 手续费率) × 原币兑USD</x:t>
  </x:si>
  <x:si>
    <x:t xml:space="preserve">视频Token</x:t>
  </x:si>
  <x:si>
    <x:t xml:space="preserve">(输入视频时长合计 + 输出视频时长) × 输出宽 × 输出高 × 输出帧率 ÷ 1024</x:t>
  </x:si>
  <x:si>
    <x:t xml:space="preserve">用户收入</x:t>
  </x:si>
  <x:si>
    <x:t xml:space="preserve">官方售价USD × 用户分组倍率</x:t>
  </x:si>
  <x:si>
    <x:t xml:space="preserve">毛利润</x:t>
  </x:si>
  <x:si>
    <x:t xml:space="preserve">用户实际收入USD - 渠道实际成本USD；毛利率 = 毛利润 ÷ 用户收入</x:t>
  </x:si>
  <x:si>
    <x:t xml:space="preserve">维护流程：来源登记 → 渠道/SKU维护 → 官方售价与渠道成本草稿 → 校验 → 审核 → 激活 → 利润测算</x:t>
  </x:si>
  <x:si>
    <x:t xml:space="preserve">严格模式</x:t>
  </x:si>
  <x:si>
    <x:t xml:space="preserve">缺少活动成本规则的渠道不能参与路由。</x:t>
  </x:si>
  <x:si>
    <x:t xml:space="preserve">计量失败</x:t>
  </x:si>
  <x:si>
    <x:t xml:space="preserve">输入视频提交前解析失败应拒绝；输出视频解析失败不影响交付，但成本进入 settlement_failed。</x:t>
  </x:si>
  <x:si>
    <x:t xml:space="preserve">历史快照</x:t>
  </x:si>
  <x:si>
    <x:t xml:space="preserve">规则、汇率和模型映射变化不能自动改写历史成本及利润。</x:t>
  </x:si>
  <x:si>
    <x:t xml:space="preserve">sd收录.xlsx 导入摘要</x:t>
  </x:si>
  <x:si>
    <x:t xml:space="preserve">项目</x:t>
  </x:si>
  <x:si>
    <x:t xml:space="preserve">数量/范围</x:t>
  </x:si>
  <x:si>
    <x:t xml:space="preserve">说明</x:t>
  </x:si>
  <x:si>
    <x:t xml:space="preserve">原始渠道模型记录</x:t>
  </x:si>
  <x:si>
    <x:t xml:space="preserve">空白分隔行已忽略；每条原始记录均保留源行号</x:t>
  </x:si>
  <x:si>
    <x:t xml:space="preserve">来自channel工作表</x:t>
  </x:si>
  <x:si>
    <x:t xml:space="preserve">多清晰度行已拆分；无官价组合保持draft</x:t>
  </x:si>
  <x:si>
    <x:t xml:space="preserve">无视频/含视频两种定价场景</x:t>
  </x:si>
  <x:si>
    <x:t xml:space="preserve">渠道成本规则</x:t>
  </x:si>
  <x:si>
    <x:t xml:space="preserve">按秒=109；按次=96；按Token=6</x:t>
  </x:si>
  <x:si>
    <x:t xml:space="preserve">多清晰度上游模型按清晰度展开</x:t>
  </x:si>
  <x:si>
    <x:t xml:space="preserve">利润预览</x:t>
  </x:si>
  <x:si>
    <x:t xml:space="preserve">仅对已有官方售价的SKU生成</x:t>
  </x:si>
  <x:si>
    <x:t xml:space="preserve">成本折扣处理</x:t>
  </x:si>
  <x:si>
    <x:t xml:space="preserve">采购折扣=1</x:t>
  </x:si>
  <x:si>
    <x:t xml:space="preserve">原表折扣为成本/官价参考比，已写入备注但不再次乘入成本</x:t>
  </x:si>
  <x:si>
    <x:t xml:space="preserve">待确认策略</x:t>
  </x:si>
  <x:si>
    <x:t xml:space="preserve">WARN</x:t>
  </x:si>
  <x:si>
    <x:t xml:space="preserve">原状态为空或SKU缺失的规则不会自动激活</x:t>
  </x:si>
  <x:si>
    <x:t xml:space="preserve">所有跨表计算常量集中在此维护；蓝色单元格为公式，黄色单元格为可编辑假设。</x:t>
  </x:si>
  <x:si>
    <x:t xml:space="preserve">值</x:t>
  </x:si>
  <x:si>
    <x:t xml:space="preserve">单位</x:t>
  </x:si>
  <x:si>
    <x:t xml:space="preserve">USD_CNY</x:t>
  </x:si>
  <x:si>
    <x:t xml:space="preserve">CNY/USD</x:t>
  </x:si>
  <x:si>
    <x:t xml:space="preserve">假设：1 USD 对应的 CNY 数量；请按实际结算汇率更新</x:t>
  </x:si>
  <x:si>
    <x:t xml:space="preserve">CNY_TO_USD</x:t>
  </x:si>
  <x:si>
    <x:t xml:space="preserve">USD/CNY</x:t>
  </x:si>
  <x:si>
    <x:t xml:space="preserve">公式：1 CNY 对应的 USD 金额</x:t>
  </x:si>
  <x:si>
    <x:t xml:space="preserve">TOKEN_DIVISOR</x:t>
  </x:si>
  <x:si>
    <x:t xml:space="preserve">像素帧/Token</x:t>
  </x:si>
  <x:si>
    <x:t xml:space="preserve">视频 Token 估算公式除数</x:t>
  </x:si>
  <x:si>
    <x:t xml:space="preserve">TOKENS_PER_MILLION</x:t>
  </x:si>
  <x:si>
    <x:t xml:space="preserve">Token</x:t>
  </x:si>
  <x:si>
    <x:t xml:space="preserve">每 1M Token 的换算常量</x:t>
  </x:si>
  <x:si>
    <x:t xml:space="preserve">DEFAULT_GROUP_RATIO</x:t>
  </x:si>
  <x:si>
    <x:t xml:space="preserve">倍率</x:t>
  </x:si>
  <x:si>
    <x:t xml:space="preserve">未指定用户分组时的默认倍率</x:t>
  </x:si>
  <x:si>
    <x:t xml:space="preserve">TEMPLATE_VERSION</x:t>
  </x:si>
  <x:si>
    <x:t xml:space="preserve">v1-generator-1.0</x:t>
  </x:si>
  <x:si>
    <x:t xml:space="preserve">版本</x:t>
  </x:si>
  <x:si>
    <x:t xml:space="preserve">已填充 sd收录.xlsx 数据的模板版本</x:t>
  </x:si>
  <x:si>
    <x:t xml:space="preserve">GENERATED_AT</x:t>
  </x:si>
  <x:si>
    <x:t xml:space="preserve">日期</x:t>
  </x:si>
  <x:si>
    <x:t xml:space="preserve">生成日期</x:t>
  </x:si>
  <x:si>
    <x:t xml:space="preserve">渠道级商务条件只维护一次；模型成本通过渠道代码引用。</x:t>
  </x:si>
  <x:si>
    <x:t xml:space="preserve">渠道名称</x:t>
  </x:si>
  <x:si>
    <x:t xml:space="preserve">价格页</x:t>
  </x:si>
  <x:si>
    <x:t xml:space="preserve">默认币种</x:t>
  </x:si>
  <x:si>
    <x:t xml:space="preserve">充值兑换比例</x:t>
  </x:si>
  <x:si>
    <x:t xml:space="preserve">手续费率</x:t>
  </x:si>
  <x:si>
    <x:t xml:space="preserve">计费倍率</x:t>
  </x:si>
  <x:si>
    <x:t xml:space="preserve">付费模式</x:t>
  </x:si>
  <x:si>
    <x:t xml:space="preserve">状态</x:t>
  </x:si>
  <x:si>
    <x:t xml:space="preserve">并发数</x:t>
  </x:si>
  <x:si>
    <x:t xml:space="preserve">严格成本校验</x:t>
  </x:si>
  <x:si>
    <x:t xml:space="preserve">采集日期</x:t>
  </x:si>
  <x:si>
    <x:t xml:space="preserve">CH-CLMM</x:t>
  </x:si>
  <x:si>
    <x:t xml:space="preserve">clmm</x:t>
  </x:si>
  <x:si>
    <x:t xml:space="preserve">https://clmm-mall.top/pricing</x:t>
  </x:si>
  <x:si>
    <x:t xml:space="preserve">CNY</x:t>
  </x:si>
  <x:si>
    <x:t xml:space="preserve">1</x:t>
  </x:si>
  <x:si>
    <x:t xml:space="preserve">0</x:t>
  </x:si>
  <x:si>
    <x:t xml:space="preserve">余额</x:t>
  </x:si>
  <x:si>
    <x:t xml:space="preserve">正常</x:t>
  </x:si>
  <x:si>
    <x:t xml:space="preserve">SRC-CH-1</x:t>
  </x:si>
  <x:si>
    <x:t xml:space="preserve">Base Url=https://clmm-mall.top</x:t>
  </x:si>
  <x:si>
    <x:t xml:space="preserve">CH-PAIPU</x:t>
  </x:si>
  <x:si>
    <x:t xml:space="preserve">paipu</x:t>
  </x:si>
  <x:si>
    <x:t xml:space="preserve">https://api.paipu.net/pricing</x:t>
  </x:si>
  <x:si>
    <x:t xml:space="preserve">SRC-CH-2</x:t>
  </x:si>
  <x:si>
    <x:t xml:space="preserve">Base Url=https://api.paipu.net</x:t>
  </x:si>
  <x:si>
    <x:t xml:space="preserve">CH-LUCEN</x:t>
  </x:si>
  <x:si>
    <x:t xml:space="preserve">lucen</x:t>
  </x:si>
  <x:si>
    <x:t xml:space="preserve">https://lucen.asia/pricing</x:t>
  </x:si>
  <x:si>
    <x:t xml:space="preserve">SRC-CH-3</x:t>
  </x:si>
  <x:si>
    <x:t xml:space="preserve">Base Url=https://lucen.asia</x:t>
  </x:si>
  <x:si>
    <x:t xml:space="preserve">CH-8YES</x:t>
  </x:si>
  <x:si>
    <x:t xml:space="preserve">8yes</x:t>
  </x:si>
  <x:si>
    <x:t xml:space="preserve">https://8yes.cc/pricing</x:t>
  </x:si>
  <x:si>
    <x:t xml:space="preserve">0.01</x:t>
  </x:si>
  <x:si>
    <x:t xml:space="preserve">SRC-CH-4</x:t>
  </x:si>
  <x:si>
    <x:t xml:space="preserve">Base Url=https://8yes.cc</x:t>
  </x:si>
  <x:si>
    <x:t xml:space="preserve">CH-SECURE</x:t>
  </x:si>
  <x:si>
    <x:t xml:space="preserve">secure</x:t>
  </x:si>
  <x:si>
    <x:t xml:space="preserve">https://token.secure-skill.com/pricing</x:t>
  </x:si>
  <x:si>
    <x:t xml:space="preserve">0.03</x:t>
  </x:si>
  <x:si>
    <x:t xml:space="preserve">SRC-CH-5</x:t>
  </x:si>
  <x:si>
    <x:t xml:space="preserve">Base Url=https://token.secure-skill.com</x:t>
  </x:si>
  <x:si>
    <x:t xml:space="preserve">CH-CANGYUANSUANLI</x:t>
  </x:si>
  <x:si>
    <x:t xml:space="preserve">cangyuansuanli</x:t>
  </x:si>
  <x:si>
    <x:t xml:space="preserve">https://ai.cangyuansuanli.cn/pricing</x:t>
  </x:si>
  <x:si>
    <x:t xml:space="preserve">SRC-CH-6</x:t>
  </x:si>
  <x:si>
    <x:t xml:space="preserve">Base Url=https://ai.cangyuansuanli.cn</x:t>
  </x:si>
  <x:si>
    <x:t xml:space="preserve">CH-DIMENSIO</x:t>
  </x:si>
  <x:si>
    <x:t xml:space="preserve">dimensio</x:t>
  </x:si>
  <x:si>
    <x:t xml:space="preserve">https://jimeng.dimensio.cn/</x:t>
  </x:si>
  <x:si>
    <x:t xml:space="preserve">SRC-CH-7</x:t>
  </x:si>
  <x:si>
    <x:t xml:space="preserve">Base Url=https://jimeng.dimensio.cn</x:t>
  </x:si>
  <x:si>
    <x:t xml:space="preserve">CH-MEGABYAI</x:t>
  </x:si>
  <x:si>
    <x:t xml:space="preserve">megabyai</x:t>
  </x:si>
  <x:si>
    <x:t xml:space="preserve">https://newapi.megabyai.cc/pricing</x:t>
  </x:si>
  <x:si>
    <x:t xml:space="preserve">SRC-CH-8</x:t>
  </x:si>
  <x:si>
    <x:t xml:space="preserve">Base Url=https://newapi.megabyai.cc</x:t>
  </x:si>
  <x:si>
    <x:t xml:space="preserve">CH-4STOKEN</x:t>
  </x:si>
  <x:si>
    <x:t xml:space="preserve">4stoken</x:t>
  </x:si>
  <x:si>
    <x:t xml:space="preserve">https://www.4stoken.cn/models</x:t>
  </x:si>
  <x:si>
    <x:t xml:space="preserve">SRC-CH-9</x:t>
  </x:si>
  <x:si>
    <x:t xml:space="preserve">Base Url=https://api.4stoken.cn</x:t>
  </x:si>
  <x:si>
    <x:t xml:space="preserve">CH-OMEGAAI</x:t>
  </x:si>
  <x:si>
    <x:t xml:space="preserve">omegaai</x:t>
  </x:si>
  <x:si>
    <x:t xml:space="preserve">https://omegaai.xin/models</x:t>
  </x:si>
  <x:si>
    <x:t xml:space="preserve">SRC-CH-10</x:t>
  </x:si>
  <x:si>
    <x:t xml:space="preserve">Base Url=https://omegaai.xin</x:t>
  </x:si>
  <x:si>
    <x:t xml:space="preserve">技术规格与价格分离。视频 Token 计量使用输出宽、高、帧率和实际输入/输出视频时长。</x:t>
  </x:si>
  <x:si>
    <x:t xml:space="preserve">模型</x:t>
  </x:si>
  <x:si>
    <x:t xml:space="preserve">分辨率档位</x:t>
  </x:si>
  <x:si>
    <x:t xml:space="preserve">输出宽</x:t>
  </x:si>
  <x:si>
    <x:t xml:space="preserve">输出高</x:t>
  </x:si>
  <x:si>
    <x:t xml:space="preserve">帧率</x:t>
  </x:si>
  <x:si>
    <x:t xml:space="preserve">最小时长秒</x:t>
  </x:si>
  <x:si>
    <x:t xml:space="preserve">最大时长秒</x:t>
  </x:si>
  <x:si>
    <x:t xml:space="preserve">比例</x:t>
  </x:si>
  <x:si>
    <x:t xml:space="preserve">支持视频输入</x:t>
  </x:si>
  <x:si>
    <x:t xml:space="preserve">支持真人脸</x:t>
  </x:si>
  <x:si>
    <x:t xml:space="preserve">支持超分</x:t>
  </x:si>
  <x:si>
    <x:t xml:space="preserve">计量方法</x:t>
  </x:si>
  <x:si>
    <x:t xml:space="preserve">SKU-SEEDANCE-2-0--1080P</x:t>
  </x:si>
  <x:si>
    <x:t xml:space="preserve">seedance-2.0</x:t>
  </x:si>
  <x:si>
    <x:t xml:space="preserve">标准</x:t>
  </x:si>
  <x:si>
    <x:t xml:space="preserve">1080p</x:t>
  </x:si>
  <x:si>
    <x:t xml:space="preserve">9:16, 16:9, 1:1</x:t>
  </x:si>
  <x:si>
    <x:t xml:space="preserve">待确认</x:t>
  </x:si>
  <x:si>
    <x:t xml:space="preserve">video_pixel_tokens</x:t>
  </x:si>
  <x:si>
    <x:t xml:space="preserve">active</x:t>
  </x:si>
  <x:si>
    <x:t xml:space="preserve">SRC-OFFICIAL-SEEDANCE-2-0</x:t>
  </x:si>
  <x:si>
    <x:t xml:space="preserve">由官方价格矩阵和源模型能力合并生成。</x:t>
  </x:si>
  <x:si>
    <x:t xml:space="preserve">SKU-SEEDANCE-2-0--480P</x:t>
  </x:si>
  <x:si>
    <x:t xml:space="preserve">480p</x:t>
  </x:si>
  <x:si>
    <x:t xml:space="preserve">auto</x:t>
  </x:si>
  <x:si>
    <x:t xml:space="preserve">SKU-SEEDANCE-2-0--4K</x:t>
  </x:si>
  <x:si>
    <x:t xml:space="preserve">4k</x:t>
  </x:si>
  <x:si>
    <x:t xml:space="preserve">SKU-SEEDANCE-2-0--720P</x:t>
  </x:si>
  <x:si>
    <x:t xml:space="preserve">720p</x:t>
  </x:si>
  <x:si>
    <x:t xml:space="preserve">SKU-SEEDANCE-2-0-FAST-FAST-480P</x:t>
  </x:si>
  <x:si>
    <x:t xml:space="preserve">seedance-2.0-fast</x:t>
  </x:si>
  <x:si>
    <x:t xml:space="preserve">fast</x:t>
  </x:si>
  <x:si>
    <x:t xml:space="preserve">SRC-OFFICIAL-SEEDANCE-2-0-FAST</x:t>
  </x:si>
  <x:si>
    <x:t xml:space="preserve">SKU-SEEDANCE-2-0-FAST-FAST-720P</x:t>
  </x:si>
  <x:si>
    <x:t xml:space="preserve">9:16</x:t>
  </x:si>
  <x:si>
    <x:t xml:space="preserve">SKU-SEEDANCE-2-0-MINI-MINI-480P</x:t>
  </x:si>
  <x:si>
    <x:t xml:space="preserve">seedance-2.0-mini</x:t>
  </x:si>
  <x:si>
    <x:t xml:space="preserve">mini</x:t>
  </x:si>
  <x:si>
    <x:t xml:space="preserve">SRC-OFFICIAL-SEEDANCE-2-0-MINI</x:t>
  </x:si>
  <x:si>
    <x:t xml:space="preserve">SKU-SEEDANCE-2-0-MINI-MINI-720P</x:t>
  </x:si>
  <x:si>
    <x:t xml:space="preserve">每个 SKU 按是否包含输入视频拆成两个定价场景。原币/基准秒和 USD 价格均由公式生成。</x:t>
  </x:si>
  <x:si>
    <x:t xml:space="preserve">客户端模型</x:t>
  </x:si>
  <x:si>
    <x:t xml:space="preserve">定价场景</x:t>
  </x:si>
  <x:si>
    <x:t xml:space="preserve">计费模式</x:t>
  </x:si>
  <x:si>
    <x:t xml:space="preserve">币种</x:t>
  </x:si>
  <x:si>
    <x:t xml:space="preserve">原币/1M</x:t>
  </x:si>
  <x:si>
    <x:t xml:space="preserve">Token/基准秒</x:t>
  </x:si>
  <x:si>
    <x:t xml:space="preserve">原币/基准秒</x:t>
  </x:si>
  <x:si>
    <x:t xml:space="preserve">USD/1M</x:t>
  </x:si>
  <x:si>
    <x:t xml:space="preserve">USD/基准秒</x:t>
  </x:si>
  <x:si>
    <x:t xml:space="preserve">生效时间</x:t>
  </x:si>
  <x:si>
    <x:t xml:space="preserve">失效时间</x:t>
  </x:si>
  <x:si>
    <x:t xml:space="preserve">SALE-SEEDANCE-2-0-1080P-NOV</x:t>
  </x:si>
  <x:si>
    <x:t xml:space="preserve">no_video</x:t>
  </x:si>
  <x:si>
    <x:t xml:space="preserve">per_token</x:t>
  </x:si>
  <x:si>
    <x:t xml:space="preserve">51</x:t>
  </x:si>
  <x:si>
    <x:t xml:space="preserve">2.479</x:t>
  </x:si>
  <x:si>
    <x:t xml:space="preserve">由 sd官价生成；USD 为预览值。</x:t>
  </x:si>
  <x:si>
    <x:t xml:space="preserve">SALE-SEEDANCE-2-0-1080P-VID</x:t>
  </x:si>
  <x:si>
    <x:t xml:space="preserve">with_video</x:t>
  </x:si>
  <x:si>
    <x:t xml:space="preserve">31</x:t>
  </x:si>
  <x:si>
    <x:t xml:space="preserve">1.507</x:t>
  </x:si>
  <x:si>
    <x:t xml:space="preserve">SALE-SEEDANCE-2-0-480P-NOV</x:t>
  </x:si>
  <x:si>
    <x:t xml:space="preserve">46</x:t>
  </x:si>
  <x:si>
    <x:t xml:space="preserve">0.462</x:t>
  </x:si>
  <x:si>
    <x:t xml:space="preserve">SALE-SEEDANCE-2-0-480P-VID</x:t>
  </x:si>
  <x:si>
    <x:t xml:space="preserve">28</x:t>
  </x:si>
  <x:si>
    <x:t xml:space="preserve">0.281</x:t>
  </x:si>
  <x:si>
    <x:t xml:space="preserve">SALE-SEEDANCE-2-0-4K-NOV</x:t>
  </x:si>
  <x:si>
    <x:t xml:space="preserve">26</x:t>
  </x:si>
  <x:si>
    <x:t xml:space="preserve">5.054</x:t>
  </x:si>
  <x:si>
    <x:t xml:space="preserve">SALE-SEEDANCE-2-0-4K-VID</x:t>
  </x:si>
  <x:si>
    <x:t xml:space="preserve">16</x:t>
  </x:si>
  <x:si>
    <x:t xml:space="preserve">3.11</x:t>
  </x:si>
  <x:si>
    <x:t xml:space="preserve">SALE-SEEDANCE-2-0-720P-NOV</x:t>
  </x:si>
  <x:si>
    <x:t xml:space="preserve">0.994</x:t>
  </x:si>
  <x:si>
    <x:t xml:space="preserve">SALE-SEEDANCE-2-0-720P-VID</x:t>
  </x:si>
  <x:si>
    <x:t xml:space="preserve">0.605</x:t>
  </x:si>
  <x:si>
    <x:t xml:space="preserve">SALE-SEEDANCE-2-0-FAST-480P-NOV</x:t>
  </x:si>
  <x:si>
    <x:t xml:space="preserve">37</x:t>
  </x:si>
  <x:si>
    <x:t xml:space="preserve">0.372</x:t>
  </x:si>
  <x:si>
    <x:t xml:space="preserve">SALE-SEEDANCE-2-0-FAST-480P-VID</x:t>
  </x:si>
  <x:si>
    <x:t xml:space="preserve">22</x:t>
  </x:si>
  <x:si>
    <x:t xml:space="preserve">0.221</x:t>
  </x:si>
  <x:si>
    <x:t xml:space="preserve">SALE-SEEDANCE-2-0-FAST-720P-NOV</x:t>
  </x:si>
  <x:si>
    <x:t xml:space="preserve">0.799</x:t>
  </x:si>
  <x:si>
    <x:t xml:space="preserve">SALE-SEEDANCE-2-0-FAST-720P-VID</x:t>
  </x:si>
  <x:si>
    <x:t xml:space="preserve">0.475</x:t>
  </x:si>
  <x:si>
    <x:t xml:space="preserve">SALE-SEEDANCE-2-0-MINI-480P-NOV</x:t>
  </x:si>
  <x:si>
    <x:t xml:space="preserve">23</x:t>
  </x:si>
  <x:si>
    <x:t xml:space="preserve">0.231</x:t>
  </x:si>
  <x:si>
    <x:t xml:space="preserve">SALE-SEEDANCE-2-0-MINI-480P-VID</x:t>
  </x:si>
  <x:si>
    <x:t xml:space="preserve">14</x:t>
  </x:si>
  <x:si>
    <x:t xml:space="preserve">0.141</x:t>
  </x:si>
  <x:si>
    <x:t xml:space="preserve">SALE-SEEDANCE-2-0-MINI-720P-NOV</x:t>
  </x:si>
  <x:si>
    <x:t xml:space="preserve">0.497</x:t>
  </x:si>
  <x:si>
    <x:t xml:space="preserve">SALE-SEEDANCE-2-0-MINI-720P-VID</x:t>
  </x:si>
  <x:si>
    <x:t xml:space="preserve">0.302</x:t>
  </x:si>
  <x:si>
    <x:t xml:space="preserve">一行代表一个渠道模型成本规则变体。标准USD单价由原币价格及商务换算参数计算。</x:t>
  </x:si>
  <x:si>
    <x:t xml:space="preserve">上游模型</x:t>
  </x:si>
  <x:si>
    <x:t xml:space="preserve">成本模式</x:t>
  </x:si>
  <x:si>
    <x:t xml:space="preserve">Token子模式</x:t>
  </x:si>
  <x:si>
    <x:t xml:space="preserve">计量来源</x:t>
  </x:si>
  <x:si>
    <x:t xml:space="preserve">Token字段</x:t>
  </x:si>
  <x:si>
    <x:t xml:space="preserve">计费事件</x:t>
  </x:si>
  <x:si>
    <x:t xml:space="preserve">原币按次</x:t>
  </x:si>
  <x:si>
    <x:t xml:space="preserve">原币/秒</x:t>
  </x:si>
  <x:si>
    <x:t xml:space="preserve">原币基础单价</x:t>
  </x:si>
  <x:si>
    <x:t xml:space="preserve">采购折扣</x:t>
  </x:si>
  <x:si>
    <x:t xml:space="preserve">原币兑USD</x:t>
  </x:si>
  <x:si>
    <x:t xml:space="preserve">计价单位</x:t>
  </x:si>
  <x:si>
    <x:t xml:space="preserve">COST-4STOKEN-R128-480-DUR-NOV</x:t>
  </x:si>
  <x:si>
    <x:t xml:space="preserve">4sdance_mini431</x:t>
  </x:si>
  <x:si>
    <x:t xml:space="preserve">per_duration</x:t>
  </x:si>
  <x:si>
    <x:t xml:space="preserve">319</x:t>
  </x:si>
  <x:si>
    <x:t xml:space="preserve">task_succeeded</x:t>
  </x:si>
  <x:si>
    <x:t xml:space="preserve">0.15</x:t>
  </x:si>
  <x:si>
    <x:t xml:space="preserve">0.136986301369863</x:t>
  </x:si>
  <x:si>
    <x:t xml:space="preserve">USD/second</x:t>
  </x:si>
  <x:si>
    <x:t xml:space="preserve">时长=4-15; 原模型=4sdance_mini431; 上游模型分组=默认; 真人脸=是; 原备注=</x:t>
  </x:si>
  <x:si>
    <x:t xml:space="preserve">COST-4STOKEN-R128-480-DUR-VID</x:t>
  </x:si>
  <x:si>
    <x:t xml:space="preserve">COST-4STOKEN-R129-720-DUR-NOV</x:t>
  </x:si>
  <x:si>
    <x:t xml:space="preserve">0.23</x:t>
  </x:si>
  <x:si>
    <x:t xml:space="preserve">COST-4STOKEN-R129-720-DUR-VID</x:t>
  </x:si>
  <x:si>
    <x:t xml:space="preserve">COST-4STOKEN-R130-480-REQ-NOV</x:t>
  </x:si>
  <x:si>
    <x:t xml:space="preserve">4sdance_mini933</x:t>
  </x:si>
  <x:si>
    <x:t xml:space="preserve">per_request</x:t>
  </x:si>
  <x:si>
    <x:t xml:space="preserve">3.5</x:t>
  </x:si>
  <x:si>
    <x:t xml:space="preserve">USD/request</x:t>
  </x:si>
  <x:si>
    <x:t xml:space="preserve">时长=4-15; 原模型=4sdance_mini933; 上游模型分组=默认; 真人脸=是; 原备注=</x:t>
  </x:si>
  <x:si>
    <x:t xml:space="preserve">COST-4STOKEN-R130-480-REQ-VID</x:t>
  </x:si>
  <x:si>
    <x:t xml:space="preserve">COST-4STOKEN-R131-720-REQ-NOV</x:t>
  </x:si>
  <x:si>
    <x:t xml:space="preserve">6.3</x:t>
  </x:si>
  <x:si>
    <x:t xml:space="preserve">COST-4STOKEN-R131-720-REQ-VID</x:t>
  </x:si>
  <x:si>
    <x:t xml:space="preserve">COST-4STOKEN-R132-480-REQ-NOV</x:t>
  </x:si>
  <x:si>
    <x:t xml:space="preserve">4sdance_fast431</x:t>
  </x:si>
  <x:si>
    <x:t xml:space="preserve">2.7</x:t>
  </x:si>
  <x:si>
    <x:t xml:space="preserve">时长=4-15; 原模型=4sdance_fast431; 上游模型分组=默认; 真人脸=是; 原备注=</x:t>
  </x:si>
  <x:si>
    <x:t xml:space="preserve">COST-4STOKEN-R132-480-REQ-VID</x:t>
  </x:si>
  <x:si>
    <x:t xml:space="preserve">COST-4STOKEN-R133-720-REQ-NOV</x:t>
  </x:si>
  <x:si>
    <x:t xml:space="preserve">4.5</x:t>
  </x:si>
  <x:si>
    <x:t xml:space="preserve">COST-4STOKEN-R133-720-REQ-VID</x:t>
  </x:si>
  <x:si>
    <x:t xml:space="preserve">COST-4STOKEN-R134-480-DUR-NOV</x:t>
  </x:si>
  <x:si>
    <x:t xml:space="preserve">0.24</x:t>
  </x:si>
  <x:si>
    <x:t xml:space="preserve">COST-4STOKEN-R134-480-DUR-VID</x:t>
  </x:si>
  <x:si>
    <x:t xml:space="preserve">COST-4STOKEN-R135-720-DUR-NOV</x:t>
  </x:si>
  <x:si>
    <x:t xml:space="preserve">0.42</x:t>
  </x:si>
  <x:si>
    <x:t xml:space="preserve">COST-4STOKEN-R135-720-DUR-VID</x:t>
  </x:si>
  <x:si>
    <x:t xml:space="preserve">COST-4STOKEN-R136-480-REQ-NOV</x:t>
  </x:si>
  <x:si>
    <x:t xml:space="preserve">4sdance_fast_933face</x:t>
  </x:si>
  <x:si>
    <x:t xml:space="preserve">7.2</x:t>
  </x:si>
  <x:si>
    <x:t xml:space="preserve">时长=4-15; 原模型=4sdance_fast_933face; 上游模型分组=默认; 真人脸=是; 原备注=</x:t>
  </x:si>
  <x:si>
    <x:t xml:space="preserve">COST-4STOKEN-R136-480-REQ-VID</x:t>
  </x:si>
  <x:si>
    <x:t xml:space="preserve">COST-4STOKEN-R137-720-REQ-NOV</x:t>
  </x:si>
  <x:si>
    <x:t xml:space="preserve">8.9</x:t>
  </x:si>
  <x:si>
    <x:t xml:space="preserve">COST-4STOKEN-R137-720-REQ-VID</x:t>
  </x:si>
  <x:si>
    <x:t xml:space="preserve">COST-4STOKEN-R138-480-REQ-NOV</x:t>
  </x:si>
  <x:si>
    <x:t xml:space="preserve">4sdance_fast_933</x:t>
  </x:si>
  <x:si>
    <x:t xml:space="preserve">2.9</x:t>
  </x:si>
  <x:si>
    <x:t xml:space="preserve">时长=4-15; 原模型=4sdance_fast_933; 上游模型分组=默认; 真人脸=否; 原备注=</x:t>
  </x:si>
  <x:si>
    <x:t xml:space="preserve">COST-4STOKEN-R138-480-REQ-VID</x:t>
  </x:si>
  <x:si>
    <x:t xml:space="preserve">COST-4STOKEN-R139-720-REQ-NOV</x:t>
  </x:si>
  <x:si>
    <x:t xml:space="preserve">5</x:t>
  </x:si>
  <x:si>
    <x:t xml:space="preserve">COST-4STOKEN-R139-720-REQ-VID</x:t>
  </x:si>
  <x:si>
    <x:t xml:space="preserve">COST-4STOKEN-R140-720-DUR-NOV</x:t>
  </x:si>
  <x:si>
    <x:t xml:space="preserve">0.48</x:t>
  </x:si>
  <x:si>
    <x:t xml:space="preserve">COST-4STOKEN-R140-720-DUR-VID</x:t>
  </x:si>
  <x:si>
    <x:t xml:space="preserve">COST-4STOKEN-R141-480-REQ-NOV</x:t>
  </x:si>
  <x:si>
    <x:t xml:space="preserve">4sdance431</x:t>
  </x:si>
  <x:si>
    <x:t xml:space="preserve">3.6</x:t>
  </x:si>
  <x:si>
    <x:t xml:space="preserve">时长=4-15; 原模型=4sdance431; 上游模型分组=默认; 真人脸=是; 原备注=</x:t>
  </x:si>
  <x:si>
    <x:t xml:space="preserve">COST-4STOKEN-R141-480-REQ-VID</x:t>
  </x:si>
  <x:si>
    <x:t xml:space="preserve">COST-4STOKEN-R142-720-REQ-NOV</x:t>
  </x:si>
  <x:si>
    <x:t xml:space="preserve">5.4</x:t>
  </x:si>
  <x:si>
    <x:t xml:space="preserve">COST-4STOKEN-R142-720-REQ-VID</x:t>
  </x:si>
  <x:si>
    <x:t xml:space="preserve">COST-4STOKEN-R143-480-DUR-NOV</x:t>
  </x:si>
  <x:si>
    <x:t xml:space="preserve">COST-4STOKEN-R143-480-DUR-VID</x:t>
  </x:si>
  <x:si>
    <x:t xml:space="preserve">COST-4STOKEN-R144-720-DUR-NOV</x:t>
  </x:si>
  <x:si>
    <x:t xml:space="preserve">0.6</x:t>
  </x:si>
  <x:si>
    <x:t xml:space="preserve">COST-4STOKEN-R144-720-DUR-VID</x:t>
  </x:si>
  <x:si>
    <x:t xml:space="preserve">COST-4STOKEN-R145-720-DUR-NOV</x:t>
  </x:si>
  <x:si>
    <x:t xml:space="preserve">4sdance933</x:t>
  </x:si>
  <x:si>
    <x:t xml:space="preserve">0.36</x:t>
  </x:si>
  <x:si>
    <x:t xml:space="preserve">时长=4-15; 原模型=4sdance933; 上游模型分组=默认; 真人脸=否; 原备注=</x:t>
  </x:si>
  <x:si>
    <x:t xml:space="preserve">COST-4STOKEN-R145-720-DUR-VID</x:t>
  </x:si>
  <x:si>
    <x:t xml:space="preserve">COST-4STOKEN-R146-480-REQ-NOV</x:t>
  </x:si>
  <x:si>
    <x:t xml:space="preserve">5.1</x:t>
  </x:si>
  <x:si>
    <x:t xml:space="preserve">COST-4STOKEN-R146-480-REQ-VID</x:t>
  </x:si>
  <x:si>
    <x:t xml:space="preserve">COST-4STOKEN-R147-720-REQ-NOV</x:t>
  </x:si>
  <x:si>
    <x:t xml:space="preserve">COST-4STOKEN-R147-720-REQ-VID</x:t>
  </x:si>
  <x:si>
    <x:t xml:space="preserve">COST-4STOKEN-R148-720-REQ-NOV</x:t>
  </x:si>
  <x:si>
    <x:t xml:space="preserve">4sdance_v2.0_900</x:t>
  </x:si>
  <x:si>
    <x:t xml:space="preserve">时长=4-15; 原模型=4sdance_v2.0_900; 上游模型分组=默认; 真人脸=是; 原备注=</x:t>
  </x:si>
  <x:si>
    <x:t xml:space="preserve">COST-4STOKEN-R148-720-REQ-VID</x:t>
  </x:si>
  <x:si>
    <x:t xml:space="preserve">COST-4STOKEN-R149-480-REQ-NOV</x:t>
  </x:si>
  <x:si>
    <x:t xml:space="preserve">4sdance933_face</x:t>
  </x:si>
  <x:si>
    <x:t xml:space="preserve">时长=4-15; 原模型=4sdance933_face; 上游模型分组=默认; 真人脸=是; 原备注=</x:t>
  </x:si>
  <x:si>
    <x:t xml:space="preserve">COST-4STOKEN-R149-480-REQ-VID</x:t>
  </x:si>
  <x:si>
    <x:t xml:space="preserve">COST-4STOKEN-R150-720-REQ-NOV</x:t>
  </x:si>
  <x:si>
    <x:t xml:space="preserve">13</x:t>
  </x:si>
  <x:si>
    <x:t xml:space="preserve">COST-4STOKEN-R150-720-REQ-VID</x:t>
  </x:si>
  <x:si>
    <x:t xml:space="preserve">COST-4STOKEN-R151-1080-REQ-NOV</x:t>
  </x:si>
  <x:si>
    <x:t xml:space="preserve">15</x:t>
  </x:si>
  <x:si>
    <x:t xml:space="preserve">COST-4STOKEN-R151-1080-REQ-VID</x:t>
  </x:si>
  <x:si>
    <x:t xml:space="preserve">COST-4STOKEN-R152-4K-REQ-NOV</x:t>
  </x:si>
  <x:si>
    <x:t xml:space="preserve">45</x:t>
  </x:si>
  <x:si>
    <x:t xml:space="preserve">COST-4STOKEN-R152-4K-REQ-VID</x:t>
  </x:si>
  <x:si>
    <x:t xml:space="preserve">COST-4STOKEN-R153-720-REQ-NOV</x:t>
  </x:si>
  <x:si>
    <x:t xml:space="preserve">4sdance2.0</x:t>
  </x:si>
  <x:si>
    <x:t xml:space="preserve">0.8</x:t>
  </x:si>
  <x:si>
    <x:t xml:space="preserve">时长=4-15; 原模型=4sdance2.0; 上游模型分组=默认; 真人脸=否; 原备注=</x:t>
  </x:si>
  <x:si>
    <x:t xml:space="preserve">COST-4STOKEN-R153-720-REQ-VID</x:t>
  </x:si>
  <x:si>
    <x:t xml:space="preserve">COST-8YES-R56-480-DUR-NOV</x:t>
  </x:si>
  <x:si>
    <x:t xml:space="preserve">videos-4-480p</x:t>
  </x:si>
  <x:si>
    <x:t xml:space="preserve">0.35</x:t>
  </x:si>
  <x:si>
    <x:t xml:space="preserve">时长=4-15; 原模型=videos-4-480p; 上游模型分组=默认; 真人脸=否; 原备注=</x:t>
  </x:si>
  <x:si>
    <x:t xml:space="preserve">COST-8YES-R56-480-DUR-VID</x:t>
  </x:si>
  <x:si>
    <x:t xml:space="preserve">COST-8YES-R57-720-DUR-NOV</x:t>
  </x:si>
  <x:si>
    <x:t xml:space="preserve">videos-4-720p</x:t>
  </x:si>
  <x:si>
    <x:t xml:space="preserve">0.5</x:t>
  </x:si>
  <x:si>
    <x:t xml:space="preserve">时长=4-15; 原模型=videos-4-720p; 上游模型分组=默认; 真人脸=否; 原备注=</x:t>
  </x:si>
  <x:si>
    <x:t xml:space="preserve">COST-8YES-R57-720-DUR-VID</x:t>
  </x:si>
  <x:si>
    <x:t xml:space="preserve">COST-8YES-R58-480-DUR-NOV</x:t>
  </x:si>
  <x:si>
    <x:t xml:space="preserve">videos-4-fast-480p</x:t>
  </x:si>
  <x:si>
    <x:t xml:space="preserve">0.2</x:t>
  </x:si>
  <x:si>
    <x:t xml:space="preserve">时长=4-15; 原模型=videos-4-fast-480p; 上游模型分组=默认; 真人脸=否; 原备注=</x:t>
  </x:si>
  <x:si>
    <x:t xml:space="preserve">COST-8YES-R58-480-DUR-VID</x:t>
  </x:si>
  <x:si>
    <x:t xml:space="preserve">COST-8YES-R59-720-DUR-NOV</x:t>
  </x:si>
  <x:si>
    <x:t xml:space="preserve">videos-4-fast-720p</x:t>
  </x:si>
  <x:si>
    <x:t xml:space="preserve">时长=4-15; 原模型=videos-4-fast-720p; 上游模型分组=默认; 真人脸=否; 原备注=</x:t>
  </x:si>
  <x:si>
    <x:t xml:space="preserve">COST-8YES-R59-720-DUR-VID</x:t>
  </x:si>
  <x:si>
    <x:t xml:space="preserve">COST-8YES-R60-480-DUR-NOV</x:t>
  </x:si>
  <x:si>
    <x:t xml:space="preserve">videos-4-mini-480p</x:t>
  </x:si>
  <x:si>
    <x:t xml:space="preserve">0.14</x:t>
  </x:si>
  <x:si>
    <x:t xml:space="preserve">时长=4-15; 原模型=videos-4-mini-480p; 上游模型分组=默认; 真人脸=否; 原备注=</x:t>
  </x:si>
  <x:si>
    <x:t xml:space="preserve">COST-8YES-R60-480-DUR-VID</x:t>
  </x:si>
  <x:si>
    <x:t xml:space="preserve">COST-8YES-R61-720-DUR-NOV</x:t>
  </x:si>
  <x:si>
    <x:t xml:space="preserve">videos-4-mini-720p</x:t>
  </x:si>
  <x:si>
    <x:t xml:space="preserve">时长=4-15; 原模型=videos-4-mini-720p; 上游模型分组=默认; 真人脸=否; 原备注=</x:t>
  </x:si>
  <x:si>
    <x:t xml:space="preserve">COST-8YES-R61-720-DUR-VID</x:t>
  </x:si>
  <x:si>
    <x:t xml:space="preserve">COST-8YES-R62-480-REQ-NOV</x:t>
  </x:si>
  <x:si>
    <x:t xml:space="preserve">videos-fast-480p</x:t>
  </x:si>
  <x:si>
    <x:t xml:space="preserve">时长=4-15; 原模型=videos-fast-480p; 上游模型分组=默认; 真人脸=否; 原备注=</x:t>
  </x:si>
  <x:si>
    <x:t xml:space="preserve">COST-8YES-R62-480-REQ-VID</x:t>
  </x:si>
  <x:si>
    <x:t xml:space="preserve">COST-8YES-R63-720-REQ-NOV</x:t>
  </x:si>
  <x:si>
    <x:t xml:space="preserve">videos-fast-720p</x:t>
  </x:si>
  <x:si>
    <x:t xml:space="preserve">5.85</x:t>
  </x:si>
  <x:si>
    <x:t xml:space="preserve">时长=4-15; 原模型=videos-fast-720p; 上游模型分组=默认; 真人脸=否; 原备注=</x:t>
  </x:si>
  <x:si>
    <x:t xml:space="preserve">COST-8YES-R63-720-REQ-VID</x:t>
  </x:si>
  <x:si>
    <x:t xml:space="preserve">COST-8YES-R64-720-REQ-NOV</x:t>
  </x:si>
  <x:si>
    <x:t xml:space="preserve">videos-mini-480p</x:t>
  </x:si>
  <x:si>
    <x:t xml:space="preserve">3</x:t>
  </x:si>
  <x:si>
    <x:t xml:space="preserve">时长=4-15; 原模型=videos-mini-480p; 上游模型分组=默认; 真人脸=否; 原备注=</x:t>
  </x:si>
  <x:si>
    <x:t xml:space="preserve">COST-8YES-R64-720-REQ-VID</x:t>
  </x:si>
  <x:si>
    <x:t xml:space="preserve">COST-8YES-R65-720-REQ-NOV</x:t>
  </x:si>
  <x:si>
    <x:t xml:space="preserve">videos-mini-720p</x:t>
  </x:si>
  <x:si>
    <x:t xml:space="preserve">时长=4-15; 原模型=videos-mini-720p; 上游模型分组=默认; 真人脸=否; 原备注=</x:t>
  </x:si>
  <x:si>
    <x:t xml:space="preserve">COST-8YES-R65-720-REQ-VID</x:t>
  </x:si>
  <x:si>
    <x:t xml:space="preserve">COST-8YES-R66-480-REQ-NOV</x:t>
  </x:si>
  <x:si>
    <x:t xml:space="preserve">videos-standard-480p</x:t>
  </x:si>
  <x:si>
    <x:t xml:space="preserve">6.75</x:t>
  </x:si>
  <x:si>
    <x:t xml:space="preserve">时长=4-15; 原模型=videos-standard-480p; 上游模型分组=默认; 真人脸=否; 原备注=</x:t>
  </x:si>
  <x:si>
    <x:t xml:space="preserve">COST-8YES-R66-480-REQ-VID</x:t>
  </x:si>
  <x:si>
    <x:t xml:space="preserve">COST-8YES-R67-720-REQ-NOV</x:t>
  </x:si>
  <x:si>
    <x:t xml:space="preserve">videos-standard-720p</x:t>
  </x:si>
  <x:si>
    <x:t xml:space="preserve">8.25</x:t>
  </x:si>
  <x:si>
    <x:t xml:space="preserve">时长=4-15; 原模型=videos-standard-720p; 上游模型分组=默认; 真人脸=否; 原备注=</x:t>
  </x:si>
  <x:si>
    <x:t xml:space="preserve">COST-8YES-R67-720-REQ-VID</x:t>
  </x:si>
  <x:si>
    <x:t xml:space="preserve">COST-CANGYUANSUANLI-R80-480-REQ-NOV</x:t>
  </x:si>
  <x:si>
    <x:t xml:space="preserve">3.9</x:t>
  </x:si>
  <x:si>
    <x:t xml:space="preserve">时长=4-15; 原模型=seedance-2.0; 上游模型分组=默认; 真人脸=否; 原备注=</x:t>
  </x:si>
  <x:si>
    <x:t xml:space="preserve">COST-CANGYUANSUANLI-R80-480-REQ-VID</x:t>
  </x:si>
  <x:si>
    <x:t xml:space="preserve">COST-CANGYUANSUANLI-R81-720-REQ-NOV</x:t>
  </x:si>
  <x:si>
    <x:t xml:space="preserve">COST-CANGYUANSUANLI-R81-720-REQ-VID</x:t>
  </x:si>
  <x:si>
    <x:t xml:space="preserve">COST-CANGYUANSUANLI-R82-480-DUR-NOV</x:t>
  </x:si>
  <x:si>
    <x:t xml:space="preserve">seedance-2.0-480p</x:t>
  </x:si>
  <x:si>
    <x:t xml:space="preserve">0.45</x:t>
  </x:si>
  <x:si>
    <x:t xml:space="preserve">时长=4-15; 原模型=seedance-2.0-480p; 上游模型分组=默认; 真人脸=否; 原备注=</x:t>
  </x:si>
  <x:si>
    <x:t xml:space="preserve">COST-CANGYUANSUANLI-R82-480-DUR-VID</x:t>
  </x:si>
  <x:si>
    <x:t xml:space="preserve">COST-CANGYUANSUANLI-R83-720-DUR-NOV</x:t>
  </x:si>
  <x:si>
    <x:t xml:space="preserve">seedance-2.0-720p</x:t>
  </x:si>
  <x:si>
    <x:t xml:space="preserve">0.975</x:t>
  </x:si>
  <x:si>
    <x:t xml:space="preserve">时长=4-15; 原模型=seedance-2.0-720p; 上游模型分组=默认; 真人脸=否; 原备注=</x:t>
  </x:si>
  <x:si>
    <x:t xml:space="preserve">COST-CANGYUANSUANLI-R83-720-DUR-VID</x:t>
  </x:si>
  <x:si>
    <x:t xml:space="preserve">COST-CANGYUANSUANLI-R84-480-REQ-NOV</x:t>
  </x:si>
  <x:si>
    <x:t xml:space="preserve">时长=4-15; 原模型=seedance-2.0-fast; 上游模型分组=默认; 真人脸=否; 原备注=</x:t>
  </x:si>
  <x:si>
    <x:t xml:space="preserve">COST-CANGYUANSUANLI-R84-480-REQ-VID</x:t>
  </x:si>
  <x:si>
    <x:t xml:space="preserve">COST-CANGYUANSUANLI-R85-720-REQ-NOV</x:t>
  </x:si>
  <x:si>
    <x:t xml:space="preserve">COST-CANGYUANSUANLI-R85-720-REQ-VID</x:t>
  </x:si>
  <x:si>
    <x:t xml:space="preserve">COST-CANGYUANSUANLI-R86-480-REQ-NOV</x:t>
  </x:si>
  <x:si>
    <x:t xml:space="preserve">2.4</x:t>
  </x:si>
  <x:si>
    <x:t xml:space="preserve">时长=4-15; 原模型=seedance-2.0-mini; 上游模型分组=默认; 真人脸=否; 原备注=</x:t>
  </x:si>
  <x:si>
    <x:t xml:space="preserve">COST-CANGYUANSUANLI-R86-480-REQ-VID</x:t>
  </x:si>
  <x:si>
    <x:t xml:space="preserve">COST-CANGYUANSUANLI-R87-720-REQ-NOV</x:t>
  </x:si>
  <x:si>
    <x:t xml:space="preserve">COST-CANGYUANSUANLI-R87-720-REQ-VID</x:t>
  </x:si>
  <x:si>
    <x:t xml:space="preserve">COST-CANGYUANSUANLI-R88-480-DUR-NOV</x:t>
  </x:si>
  <x:si>
    <x:t xml:space="preserve">seedance-2.0-fast-480p</x:t>
  </x:si>
  <x:si>
    <x:t xml:space="preserve">0.25</x:t>
  </x:si>
  <x:si>
    <x:t xml:space="preserve">时长=4-15; 原模型=seedance-2.0-fast-480p; 上游模型分组=默认; 真人脸=否; 原备注=</x:t>
  </x:si>
  <x:si>
    <x:t xml:space="preserve">COST-CANGYUANSUANLI-R88-480-DUR-VID</x:t>
  </x:si>
  <x:si>
    <x:t xml:space="preserve">COST-CANGYUANSUANLI-R89-720-DUR-NOV</x:t>
  </x:si>
  <x:si>
    <x:t xml:space="preserve">seedance-2.0-fast-720p</x:t>
  </x:si>
  <x:si>
    <x:t xml:space="preserve">0.75</x:t>
  </x:si>
  <x:si>
    <x:t xml:space="preserve">时长=4-15; 原模型=seedance-2.0-fast-720p; 上游模型分组=默认; 真人脸=否; 原备注=</x:t>
  </x:si>
  <x:si>
    <x:t xml:space="preserve">COST-CANGYUANSUANLI-R89-720-DUR-VID</x:t>
  </x:si>
  <x:si>
    <x:t xml:space="preserve">COST-CANGYUANSUANLI-R90-480-DUR-NOV</x:t>
  </x:si>
  <x:si>
    <x:t xml:space="preserve">seedance-2.0-mini-480p</x:t>
  </x:si>
  <x:si>
    <x:t xml:space="preserve">0.3</x:t>
  </x:si>
  <x:si>
    <x:t xml:space="preserve">时长=4-15; 原模型=seedance-2.0-mini-480p; 上游模型分组=默认; 真人脸=否; 原备注=</x:t>
  </x:si>
  <x:si>
    <x:t xml:space="preserve">COST-CANGYUANSUANLI-R90-480-DUR-VID</x:t>
  </x:si>
  <x:si>
    <x:t xml:space="preserve">COST-CANGYUANSUANLI-R91-720-DUR-NOV</x:t>
  </x:si>
  <x:si>
    <x:t xml:space="preserve">seedance-2.0-mini-720p</x:t>
  </x:si>
  <x:si>
    <x:t xml:space="preserve">0.525</x:t>
  </x:si>
  <x:si>
    <x:t xml:space="preserve">时长=4-15; 原模型=seedance-2.0-mini-720p; 上游模型分组=默认; 真人脸=否; 原备注=</x:t>
  </x:si>
  <x:si>
    <x:t xml:space="preserve">COST-CANGYUANSUANLI-R91-720-DUR-VID</x:t>
  </x:si>
  <x:si>
    <x:t xml:space="preserve">COST-CLMM-R10-480-REQ-NOV</x:t>
  </x:si>
  <x:si>
    <x:t xml:space="preserve">mg-seedance2.0 -480p-fast-gz-15s</x:t>
  </x:si>
  <x:si>
    <x:t xml:space="preserve">4.48</x:t>
  </x:si>
  <x:si>
    <x:t xml:space="preserve">时长=0-0; 原模型=mg-seedance2.0 -480p-fast-gz-15s; 上游模型分组=默认; 真人脸=是; 原备注=</x:t>
  </x:si>
  <x:si>
    <x:t xml:space="preserve">COST-CLMM-R10-480-REQ-VID</x:t>
  </x:si>
  <x:si>
    <x:t xml:space="preserve">COST-CLMM-R11-480-REQ-NOV</x:t>
  </x:si>
  <x:si>
    <x:t xml:space="preserve">mg-seedance2.0 -480p-gz-15s</x:t>
  </x:si>
  <x:si>
    <x:t xml:space="preserve">4.98</x:t>
  </x:si>
  <x:si>
    <x:t xml:space="preserve">时长=0-0; 原模型=mg-seedance2.0 -480p-gz-15s; 上游模型分组=默认; 真人脸=是; 原备注=</x:t>
  </x:si>
  <x:si>
    <x:t xml:space="preserve">COST-CLMM-R11-480-REQ-VID</x:t>
  </x:si>
  <x:si>
    <x:t xml:space="preserve">COST-CLMM-R12-720-REQ-NOV</x:t>
  </x:si>
  <x:si>
    <x:t xml:space="preserve">mg-seedance2.0 -720p-fast-gz-15s</x:t>
  </x:si>
  <x:si>
    <x:t xml:space="preserve">4.68</x:t>
  </x:si>
  <x:si>
    <x:t xml:space="preserve">时长=0-0; 原模型=mg-seedance2.0 -720p-fast-gz-15s; 上游模型分组=默认; 真人脸=是; 原备注=</x:t>
  </x:si>
  <x:si>
    <x:t xml:space="preserve">COST-CLMM-R12-720-REQ-VID</x:t>
  </x:si>
  <x:si>
    <x:t xml:space="preserve">COST-CLMM-R13-720-REQ-NOV</x:t>
  </x:si>
  <x:si>
    <x:t xml:space="preserve">mg-seedance2.0 -720p-mini-gz-15s</x:t>
  </x:si>
  <x:si>
    <x:t xml:space="preserve">3.98</x:t>
  </x:si>
  <x:si>
    <x:t xml:space="preserve">时长=0-0; 原模型=mg-seedance2.0 -720p-mini-gz-15s; 上游模型分组=默认; 真人脸=是; 原备注=</x:t>
  </x:si>
  <x:si>
    <x:t xml:space="preserve">COST-CLMM-R13-720-REQ-VID</x:t>
  </x:si>
  <x:si>
    <x:t xml:space="preserve">COST-CLMM-R14-720-REQ-NOV</x:t>
  </x:si>
  <x:si>
    <x:t xml:space="preserve">ov-Seedance2.0 fast 720p-15s</x:t>
  </x:si>
  <x:si>
    <x:t xml:space="preserve">时长=0-0; 原模型=ov-Seedance2.0 fast 720p-15s; 上游模型分组=默认; 真人脸=是; 原备注=</x:t>
  </x:si>
  <x:si>
    <x:t xml:space="preserve">COST-CLMM-R14-720-REQ-VID</x:t>
  </x:si>
  <x:si>
    <x:t xml:space="preserve">COST-CLMM-R15-720-REQ-NOV</x:t>
  </x:si>
  <x:si>
    <x:t xml:space="preserve">seedance2.0 -720p-gz-15s</x:t>
  </x:si>
  <x:si>
    <x:t xml:space="preserve">时长=0-0; 原模型=seedance2.0 -720p-gz-15s; 上游模型分组=默认; 真人脸=是; 原备注=</x:t>
  </x:si>
  <x:si>
    <x:t xml:space="preserve">COST-CLMM-R15-720-REQ-VID</x:t>
  </x:si>
  <x:si>
    <x:t xml:space="preserve">COST-CLMM-R16-480-DUR-NOV</x:t>
  </x:si>
  <x:si>
    <x:t xml:space="preserve">seedance2.0 480p-fast-nsp</x:t>
  </x:si>
  <x:si>
    <x:t xml:space="preserve">0.298</x:t>
  </x:si>
  <x:si>
    <x:t xml:space="preserve">时长=4-15; 原模型=seedance2.0 480p-fast-nsp; 上游模型分组=默认; 真人脸=是; 原备注=</x:t>
  </x:si>
  <x:si>
    <x:t xml:space="preserve">COST-CLMM-R16-480-DUR-VID</x:t>
  </x:si>
  <x:si>
    <x:t xml:space="preserve">COST-CLMM-R17-480-DUR-NOV</x:t>
  </x:si>
  <x:si>
    <x:t xml:space="preserve">seedance2.0 480p-nsp</x:t>
  </x:si>
  <x:si>
    <x:t xml:space="preserve">0.338</x:t>
  </x:si>
  <x:si>
    <x:t xml:space="preserve">时长=4-15; 原模型=seedance2.0 480p-nsp; 上游模型分组=默认; 真人脸=是; 原备注=</x:t>
  </x:si>
  <x:si>
    <x:t xml:space="preserve">COST-CLMM-R17-480-DUR-VID</x:t>
  </x:si>
  <x:si>
    <x:t xml:space="preserve">COST-CLMM-R18-720-DUR-NOV</x:t>
  </x:si>
  <x:si>
    <x:t xml:space="preserve">seedance2.0 720p-fast-nsp</x:t>
  </x:si>
  <x:si>
    <x:t xml:space="preserve">0.558</x:t>
  </x:si>
  <x:si>
    <x:t xml:space="preserve">时长=4-15; 原模型=seedance2.0 720p-fast-nsp; 上游模型分组=默认; 真人脸=是; 原备注=</x:t>
  </x:si>
  <x:si>
    <x:t xml:space="preserve">COST-CLMM-R18-720-DUR-VID</x:t>
  </x:si>
  <x:si>
    <x:t xml:space="preserve">COST-CLMM-R19-720-DUR-NOV</x:t>
  </x:si>
  <x:si>
    <x:t xml:space="preserve">seedance2.0 720p-fast</x:t>
  </x:si>
  <x:si>
    <x:t xml:space="preserve">0.65</x:t>
  </x:si>
  <x:si>
    <x:t xml:space="preserve">时长=4-15; 原模型=seedance2.0 720p-fast; 上游模型分组=默认; 真人脸=是; 原备注=</x:t>
  </x:si>
  <x:si>
    <x:t xml:space="preserve">COST-CLMM-R19-720-DUR-VID</x:t>
  </x:si>
  <x:si>
    <x:t xml:space="preserve">COST-CLMM-R20-720-DUR-NOV</x:t>
  </x:si>
  <x:si>
    <x:t xml:space="preserve">seedance2.0 720p-pro</x:t>
  </x:si>
  <x:si>
    <x:t xml:space="preserve">时长=4-15; 原模型=seedance2.0 720p-pro; 上游模型分组=默认; 真人脸=是; 原备注=</x:t>
  </x:si>
  <x:si>
    <x:t xml:space="preserve">COST-CLMM-R20-720-DUR-VID</x:t>
  </x:si>
  <x:si>
    <x:t xml:space="preserve">COST-CLMM-R3-720-DUR-NOV</x:t>
  </x:si>
  <x:si>
    <x:t xml:space="preserve">seedance 720p-fast</x:t>
  </x:si>
  <x:si>
    <x:t xml:space="preserve">1.38</x:t>
  </x:si>
  <x:si>
    <x:t xml:space="preserve">时长=4-15; 原模型=seedance 720p-fast; 上游模型分组=默认; 真人脸=是; 原备注=破甲,破限,无审核,除了版权都能过</x:t>
  </x:si>
  <x:si>
    <x:t xml:space="preserve">COST-CLMM-R3-720-DUR-VID</x:t>
  </x:si>
  <x:si>
    <x:t xml:space="preserve">COST-CLMM-R4-480-DUR-NOV</x:t>
  </x:si>
  <x:si>
    <x:t xml:space="preserve">mg-seedance2.0 -480p</x:t>
  </x:si>
  <x:si>
    <x:t xml:space="preserve">0.268</x:t>
  </x:si>
  <x:si>
    <x:t xml:space="preserve">时长=4-15; 原模型=mg-seedance2.0 -480p; 上游模型分组=默认; 真人脸=是; 原备注=</x:t>
  </x:si>
  <x:si>
    <x:t xml:space="preserve">COST-CLMM-R4-480-DUR-VID</x:t>
  </x:si>
  <x:si>
    <x:t xml:space="preserve">COST-CLMM-R5-480-DUR-NOV</x:t>
  </x:si>
  <x:si>
    <x:t xml:space="preserve">mg-seedance2.0 -480p fast</x:t>
  </x:si>
  <x:si>
    <x:t xml:space="preserve">0.165</x:t>
  </x:si>
  <x:si>
    <x:t xml:space="preserve">时长=4-15; 原模型=mg-seedance2.0 -480p fast; 上游模型分组=默认; 真人脸=是; 原备注=</x:t>
  </x:si>
  <x:si>
    <x:t xml:space="preserve">COST-CLMM-R5-480-DUR-VID</x:t>
  </x:si>
  <x:si>
    <x:t xml:space="preserve">COST-CLMM-R6-480-DUR-NOV</x:t>
  </x:si>
  <x:si>
    <x:t xml:space="preserve">mg-seedance2.0 -480p mini</x:t>
  </x:si>
  <x:si>
    <x:t xml:space="preserve">0.128</x:t>
  </x:si>
  <x:si>
    <x:t xml:space="preserve">时长=4-15; 原模型=mg-seedance2.0 -480p mini; 上游模型分组=默认; 真人脸=是; 原备注=</x:t>
  </x:si>
  <x:si>
    <x:t xml:space="preserve">COST-CLMM-R6-480-DUR-VID</x:t>
  </x:si>
  <x:si>
    <x:t xml:space="preserve">COST-CLMM-R7-720-DUR-NOV</x:t>
  </x:si>
  <x:si>
    <x:t xml:space="preserve">mg-seedance2.0 -720p fast</x:t>
  </x:si>
  <x:si>
    <x:t xml:space="preserve">时长=4-15; 原模型=mg-seedance2.0 -720p fast; 上游模型分组=默认; 真人脸=是; 原备注=</x:t>
  </x:si>
  <x:si>
    <x:t xml:space="preserve">COST-CLMM-R7-720-DUR-VID</x:t>
  </x:si>
  <x:si>
    <x:t xml:space="preserve">COST-CLMM-R8-720-DUR-NOV</x:t>
  </x:si>
  <x:si>
    <x:t xml:space="preserve">mg-seedance2.0 -720p mini</x:t>
  </x:si>
  <x:si>
    <x:t xml:space="preserve">0.198</x:t>
  </x:si>
  <x:si>
    <x:t xml:space="preserve">时长=4-15; 原模型=mg-seedance2.0 -720p mini; 上游模型分组=默认; 真人脸=是; 原备注=</x:t>
  </x:si>
  <x:si>
    <x:t xml:space="preserve">COST-CLMM-R8-720-DUR-VID</x:t>
  </x:si>
  <x:si>
    <x:t xml:space="preserve">COST-CLMM-R9-720-DUR-NOV</x:t>
  </x:si>
  <x:si>
    <x:t xml:space="preserve">mg-seedance2.0 -720p pro</x:t>
  </x:si>
  <x:si>
    <x:t xml:space="preserve">0.368</x:t>
  </x:si>
  <x:si>
    <x:t xml:space="preserve">时长=4-15; 原模型=mg-seedance2.0 -720p pro; 上游模型分组=默认; 真人脸=是; 原备注=</x:t>
  </x:si>
  <x:si>
    <x:t xml:space="preserve">COST-CLMM-R9-720-DUR-VID</x:t>
  </x:si>
  <x:si>
    <x:t xml:space="preserve">COST-DIMENSIO-R100-720-DUR-NOV</x:t>
  </x:si>
  <x:si>
    <x:t xml:space="preserve">pxv-seedance-2.0-mini</x:t>
  </x:si>
  <x:si>
    <x:t xml:space="preserve">时长=4-15; 原模型=pxv-seedance-2.0-mini; 上游模型分组=默认; 真人脸=否; 原备注=国际剪映URL</x:t>
  </x:si>
  <x:si>
    <x:t xml:space="preserve">COST-DIMENSIO-R100-720-DUR-VID</x:t>
  </x:si>
  <x:si>
    <x:t xml:space="preserve">COST-DIMENSIO-R101-480-DUR-NOV</x:t>
  </x:si>
  <x:si>
    <x:t xml:space="preserve">pxv-seedance-2.0-standard</x:t>
  </x:si>
  <x:si>
    <x:t xml:space="preserve">draft</x:t>
  </x:si>
  <x:si>
    <x:t xml:space="preserve">时长=4-15; 原模型=pxv-seedance-2.0-standard; 上游模型分组=默认; 真人脸=否; 原备注=国际剪映URL</x:t>
  </x:si>
  <x:si>
    <x:t xml:space="preserve">COST-DIMENSIO-R101-480-DUR-VID</x:t>
  </x:si>
  <x:si>
    <x:t xml:space="preserve">COST-DIMENSIO-R102-720-DUR-NOV</x:t>
  </x:si>
  <x:si>
    <x:t xml:space="preserve">COST-DIMENSIO-R102-720-DUR-VID</x:t>
  </x:si>
  <x:si>
    <x:t xml:space="preserve">COST-DIMENSIO-R103-1080-DUR-NOV</x:t>
  </x:si>
  <x:si>
    <x:t xml:space="preserve">1.2</x:t>
  </x:si>
  <x:si>
    <x:t xml:space="preserve">COST-DIMENSIO-R103-1080-DUR-VID</x:t>
  </x:si>
  <x:si>
    <x:t xml:space="preserve">COST-DIMENSIO-R104-4K-DUR-NOV</x:t>
  </x:si>
  <x:si>
    <x:t xml:space="preserve">COST-DIMENSIO-R104-4K-DUR-VID</x:t>
  </x:si>
  <x:si>
    <x:t xml:space="preserve">COST-DIMENSIO-R93-720-DUR-NOV</x:t>
  </x:si>
  <x:si>
    <x:t xml:space="preserve">jmg-video-seedance-2.0-fast-vip</x:t>
  </x:si>
  <x:si>
    <x:t xml:space="preserve">时长=4-15; 原模型=jmg-video-seedance-2.0-fast-vip; 上游模型分组=默认; 真人脸=否; 原备注=国际剪映URL</x:t>
  </x:si>
  <x:si>
    <x:t xml:space="preserve">COST-DIMENSIO-R93-720-DUR-VID</x:t>
  </x:si>
  <x:si>
    <x:t xml:space="preserve">COST-DIMENSIO-R94-720-DUR-NOV</x:t>
  </x:si>
  <x:si>
    <x:t xml:space="preserve">jmg-video-seedance-2.0-mini</x:t>
  </x:si>
  <x:si>
    <x:t xml:space="preserve">0.39</x:t>
  </x:si>
  <x:si>
    <x:t xml:space="preserve">时长=4-15; 原模型=jmg-video-seedance-2.0-mini; 上游模型分组=默认; 真人脸=否; 原备注=国际剪映URL</x:t>
  </x:si>
  <x:si>
    <x:t xml:space="preserve">COST-DIMENSIO-R94-720-DUR-VID</x:t>
  </x:si>
  <x:si>
    <x:t xml:space="preserve">COST-DIMENSIO-R95-720-DUR-NOV</x:t>
  </x:si>
  <x:si>
    <x:t xml:space="preserve">jmg-video-seedance-2.0-vip</x:t>
  </x:si>
  <x:si>
    <x:t xml:space="preserve">0.62</x:t>
  </x:si>
  <x:si>
    <x:t xml:space="preserve">时长=4-15; 原模型=jmg-video-seedance-2.0-vip; 上游模型分组=默认; 真人脸=否; 原备注=国际剪映URL</x:t>
  </x:si>
  <x:si>
    <x:t xml:space="preserve">COST-DIMENSIO-R95-720-DUR-VID</x:t>
  </x:si>
  <x:si>
    <x:t xml:space="preserve">COST-DIMENSIO-R96-1080-DUR-NOV</x:t>
  </x:si>
  <x:si>
    <x:t xml:space="preserve">1.55</x:t>
  </x:si>
  <x:si>
    <x:t xml:space="preserve">COST-DIMENSIO-R96-1080-DUR-VID</x:t>
  </x:si>
  <x:si>
    <x:t xml:space="preserve">COST-DIMENSIO-R97-480-DUR-NOV</x:t>
  </x:si>
  <x:si>
    <x:t xml:space="preserve">pxv-seedance-2.0-fast</x:t>
  </x:si>
  <x:si>
    <x:t xml:space="preserve">时长=4-15; 原模型=pxv-seedance-2.0-fast; 上游模型分组=默认; 真人脸=否; 原备注=国际剪映URL</x:t>
  </x:si>
  <x:si>
    <x:t xml:space="preserve">COST-DIMENSIO-R97-480-DUR-VID</x:t>
  </x:si>
  <x:si>
    <x:t xml:space="preserve">COST-DIMENSIO-R98-720-DUR-NOV</x:t>
  </x:si>
  <x:si>
    <x:t xml:space="preserve">0.47</x:t>
  </x:si>
  <x:si>
    <x:t xml:space="preserve">COST-DIMENSIO-R98-720-DUR-VID</x:t>
  </x:si>
  <x:si>
    <x:t xml:space="preserve">COST-DIMENSIO-R99-480-DUR-NOV</x:t>
  </x:si>
  <x:si>
    <x:t xml:space="preserve">0.16</x:t>
  </x:si>
  <x:si>
    <x:t xml:space="preserve">COST-DIMENSIO-R99-480-DUR-VID</x:t>
  </x:si>
  <x:si>
    <x:t xml:space="preserve">COST-LUCEN-R43-720-DUR-NOV</x:t>
  </x:si>
  <x:si>
    <x:t xml:space="preserve">seedance-720p-5s</x:t>
  </x:si>
  <x:si>
    <x:t xml:space="preserve">时长=0-0; 原模型=seedance-720p-5s; 上游模型分组=默认; 真人脸=否; 原备注=火山URL</x:t>
  </x:si>
  <x:si>
    <x:t xml:space="preserve">COST-LUCEN-R43-720-DUR-VID</x:t>
  </x:si>
  <x:si>
    <x:t xml:space="preserve">COST-LUCEN-R44-720-DUR-NOV</x:t>
  </x:si>
  <x:si>
    <x:t xml:space="preserve">seedance-720p-10s</x:t>
  </x:si>
  <x:si>
    <x:t xml:space="preserve">时长=0-0; 原模型=seedance-720p-10s; 上游模型分组=默认; 真人脸=否; 原备注=火山URL</x:t>
  </x:si>
  <x:si>
    <x:t xml:space="preserve">COST-LUCEN-R44-720-DUR-VID</x:t>
  </x:si>
  <x:si>
    <x:t xml:space="preserve">COST-LUCEN-R45-720-DUR-NOV</x:t>
  </x:si>
  <x:si>
    <x:t xml:space="preserve">seedance-720p-15s</x:t>
  </x:si>
  <x:si>
    <x:t xml:space="preserve">时长=0-0; 原模型=seedance-720p-15s; 上游模型分组=默认; 真人脸=否; 原备注=火山URL</x:t>
  </x:si>
  <x:si>
    <x:t xml:space="preserve">COST-LUCEN-R45-720-DUR-VID</x:t>
  </x:si>
  <x:si>
    <x:t xml:space="preserve">COST-LUCEN-R46-480-DUR-NOV</x:t>
  </x:si>
  <x:si>
    <x:t xml:space="preserve">seedance-480p-5s</x:t>
  </x:si>
  <x:si>
    <x:t xml:space="preserve">时长=0-0; 原模型=seedance-480p-5s; 上游模型分组=默认; 真人脸=否; 原备注=火山URL</x:t>
  </x:si>
  <x:si>
    <x:t xml:space="preserve">COST-LUCEN-R46-480-DUR-VID</x:t>
  </x:si>
  <x:si>
    <x:t xml:space="preserve">COST-LUCEN-R47-480-DUR-NOV</x:t>
  </x:si>
  <x:si>
    <x:t xml:space="preserve">seedance-480p-10s</x:t>
  </x:si>
  <x:si>
    <x:t xml:space="preserve">时长=0-0; 原模型=seedance-480p-10s; 上游模型分组=默认; 真人脸=否; 原备注=火山URL</x:t>
  </x:si>
  <x:si>
    <x:t xml:space="preserve">COST-LUCEN-R47-480-DUR-VID</x:t>
  </x:si>
  <x:si>
    <x:t xml:space="preserve">COST-LUCEN-R48-480-DUR-NOV</x:t>
  </x:si>
  <x:si>
    <x:t xml:space="preserve">seedance-480p-15s</x:t>
  </x:si>
  <x:si>
    <x:t xml:space="preserve">时长=0-0; 原模型=seedance-480p-15s; 上游模型分组=默认; 真人脸=否; 原备注=火山URL</x:t>
  </x:si>
  <x:si>
    <x:t xml:space="preserve">COST-LUCEN-R48-480-DUR-VID</x:t>
  </x:si>
  <x:si>
    <x:t xml:space="preserve">COST-LUCEN-R49-1080-DUR-NOV</x:t>
  </x:si>
  <x:si>
    <x:t xml:space="preserve">seedance-1080p-5s</x:t>
  </x:si>
  <x:si>
    <x:t xml:space="preserve">2.5</x:t>
  </x:si>
  <x:si>
    <x:t xml:space="preserve">时长=0-0; 原模型=seedance-1080p-5s; 上游模型分组=默认; 真人脸=否; 原备注=火山URL</x:t>
  </x:si>
  <x:si>
    <x:t xml:space="preserve">COST-LUCEN-R49-1080-DUR-VID</x:t>
  </x:si>
  <x:si>
    <x:t xml:space="preserve">COST-LUCEN-R50-1080-DUR-NOV</x:t>
  </x:si>
  <x:si>
    <x:t xml:space="preserve">seedance-1080p-10s</x:t>
  </x:si>
  <x:si>
    <x:t xml:space="preserve">时长=0-0; 原模型=seedance-1080p-10s; 上游模型分组=默认; 真人脸=否; 原备注=火山URL</x:t>
  </x:si>
  <x:si>
    <x:t xml:space="preserve">COST-LUCEN-R50-1080-DUR-VID</x:t>
  </x:si>
  <x:si>
    <x:t xml:space="preserve">COST-LUCEN-R51-1080-DUR-NOV</x:t>
  </x:si>
  <x:si>
    <x:t xml:space="preserve">seedance-1080p-15s</x:t>
  </x:si>
  <x:si>
    <x:t xml:space="preserve">时长=0-0; 原模型=seedance-1080p-15s; 上游模型分组=默认; 真人脸=否; 原备注=火山URL</x:t>
  </x:si>
  <x:si>
    <x:t xml:space="preserve">COST-LUCEN-R51-1080-DUR-VID</x:t>
  </x:si>
  <x:si>
    <x:t xml:space="preserve">COST-LUCEN-R52-480-TOK-NOV</x:t>
  </x:si>
  <x:si>
    <x:t xml:space="preserve">seedance-480p-token</x:t>
  </x:si>
  <x:si>
    <x:t xml:space="preserve">total_tokens</x:t>
  </x:si>
  <x:si>
    <x:t xml:space="preserve">upstream_usage</x:t>
  </x:si>
  <x:si>
    <x:t xml:space="preserve">USD/1M tokens</x:t>
  </x:si>
  <x:si>
    <x:t xml:space="preserve">时长=4-15; 原模型=seedance-480p-token; 上游模型分组=默认; 真人脸=否; 原备注=火山URL</x:t>
  </x:si>
  <x:si>
    <x:t xml:space="preserve">COST-LUCEN-R52-480-TOK-VID</x:t>
  </x:si>
  <x:si>
    <x:t xml:space="preserve">COST-LUCEN-R53-720-TOK-NOV</x:t>
  </x:si>
  <x:si>
    <x:t xml:space="preserve">seedance-720p-token</x:t>
  </x:si>
  <x:si>
    <x:t xml:space="preserve">时长=4-15; 原模型=seedance-720p-token; 上游模型分组=默认; 真人脸=否; 原备注=火山URL</x:t>
  </x:si>
  <x:si>
    <x:t xml:space="preserve">COST-LUCEN-R53-720-TOK-VID</x:t>
  </x:si>
  <x:si>
    <x:t xml:space="preserve">COST-LUCEN-R54-1080-TOK-NOV</x:t>
  </x:si>
  <x:si>
    <x:t xml:space="preserve">seedance-1080p-token</x:t>
  </x:si>
  <x:si>
    <x:t xml:space="preserve">时长=4-15; 原模型=seedance-1080p-token; 上游模型分组=默认; 真人脸=否; 原备注=火山URL</x:t>
  </x:si>
  <x:si>
    <x:t xml:space="preserve">COST-LUCEN-R54-1080-TOK-VID</x:t>
  </x:si>
  <x:si>
    <x:t xml:space="preserve">COST-MEGABYAI-R106-480-REQ-NOV</x:t>
  </x:si>
  <x:si>
    <x:t xml:space="preserve">videos-standard</x:t>
  </x:si>
  <x:si>
    <x:t xml:space="preserve">4.9</x:t>
  </x:si>
  <x:si>
    <x:t xml:space="preserve">时长=4-15; 原模型=videos-standard; 上游模型分组=默认; 真人脸=是; 原备注=</x:t>
  </x:si>
  <x:si>
    <x:t xml:space="preserve">COST-MEGABYAI-R106-480-REQ-VID</x:t>
  </x:si>
  <x:si>
    <x:t xml:space="preserve">COST-MEGABYAI-R107-720-REQ-NOV</x:t>
  </x:si>
  <x:si>
    <x:t xml:space="preserve">7</x:t>
  </x:si>
  <x:si>
    <x:t xml:space="preserve">COST-MEGABYAI-R107-720-REQ-VID</x:t>
  </x:si>
  <x:si>
    <x:t xml:space="preserve">COST-MEGABYAI-R108-1080-DUR-NOV</x:t>
  </x:si>
  <x:si>
    <x:t xml:space="preserve">0.84</x:t>
  </x:si>
  <x:si>
    <x:t xml:space="preserve">COST-MEGABYAI-R108-1080-DUR-VID</x:t>
  </x:si>
  <x:si>
    <x:t xml:space="preserve">COST-MEGABYAI-R109-4K-DUR-NOV</x:t>
  </x:si>
  <x:si>
    <x:t xml:space="preserve">1.68</x:t>
  </x:si>
  <x:si>
    <x:t xml:space="preserve">COST-MEGABYAI-R109-4K-DUR-VID</x:t>
  </x:si>
  <x:si>
    <x:t xml:space="preserve">COST-MEGABYAI-R110-480-REQ-NOV</x:t>
  </x:si>
  <x:si>
    <x:t xml:space="preserve">1.47</x:t>
  </x:si>
  <x:si>
    <x:t xml:space="preserve">时长=4-15; 原模型=videos-standard; 上游模型分组=默认; 真人脸=否; 原备注=</x:t>
  </x:si>
  <x:si>
    <x:t xml:space="preserve">COST-MEGABYAI-R110-480-REQ-VID</x:t>
  </x:si>
  <x:si>
    <x:t xml:space="preserve">COST-MEGABYAI-R111-720-REQ-NOV</x:t>
  </x:si>
  <x:si>
    <x:t xml:space="preserve">2.1</x:t>
  </x:si>
  <x:si>
    <x:t xml:space="preserve">COST-MEGABYAI-R111-720-REQ-VID</x:t>
  </x:si>
  <x:si>
    <x:t xml:space="preserve">COST-MEGABYAI-R112-1080-DUR-NOV</x:t>
  </x:si>
  <x:si>
    <x:t xml:space="preserve">0.252</x:t>
  </x:si>
  <x:si>
    <x:t xml:space="preserve">COST-MEGABYAI-R112-1080-DUR-VID</x:t>
  </x:si>
  <x:si>
    <x:t xml:space="preserve">COST-MEGABYAI-R113-4K-DUR-NOV</x:t>
  </x:si>
  <x:si>
    <x:t xml:space="preserve">0.504</x:t>
  </x:si>
  <x:si>
    <x:t xml:space="preserve">COST-MEGABYAI-R113-4K-DUR-VID</x:t>
  </x:si>
  <x:si>
    <x:t xml:space="preserve">COST-MEGABYAI-R114-480-REQ-NOV</x:t>
  </x:si>
  <x:si>
    <x:t xml:space="preserve">videos-fast</x:t>
  </x:si>
  <x:si>
    <x:t xml:space="preserve">2.8</x:t>
  </x:si>
  <x:si>
    <x:t xml:space="preserve">时长=4-15; 原模型=videos-fast; 上游模型分组=默认; 真人脸=是; 原备注=</x:t>
  </x:si>
  <x:si>
    <x:t xml:space="preserve">COST-MEGABYAI-R114-480-REQ-VID</x:t>
  </x:si>
  <x:si>
    <x:t xml:space="preserve">COST-MEGABYAI-R115-720-REQ-NOV</x:t>
  </x:si>
  <x:si>
    <x:t xml:space="preserve">COST-MEGABYAI-R115-720-REQ-VID</x:t>
  </x:si>
  <x:si>
    <x:t xml:space="preserve">COST-MEGABYAI-R116-480-REQ-NOV</x:t>
  </x:si>
  <x:si>
    <x:t xml:space="preserve">COST-MEGABYAI-R116-480-REQ-VID</x:t>
  </x:si>
  <x:si>
    <x:t xml:space="preserve">COST-MEGABYAI-R117-720-REQ-NOV</x:t>
  </x:si>
  <x:si>
    <x:t xml:space="preserve">COST-MEGABYAI-R117-720-REQ-VID</x:t>
  </x:si>
  <x:si>
    <x:t xml:space="preserve">COST-MEGABYAI-R118-480-REQ-NOV</x:t>
  </x:si>
  <x:si>
    <x:t xml:space="preserve">videos-mini</x:t>
  </x:si>
  <x:si>
    <x:t xml:space="preserve">时长=4-15; 原模型=videos-mini; 上游模型分组=默认; 真人脸=是; 原备注=</x:t>
  </x:si>
  <x:si>
    <x:t xml:space="preserve">COST-MEGABYAI-R118-480-REQ-VID</x:t>
  </x:si>
  <x:si>
    <x:t xml:space="preserve">COST-MEGABYAI-R119-720-REQ-NOV</x:t>
  </x:si>
  <x:si>
    <x:t xml:space="preserve">COST-MEGABYAI-R119-720-REQ-VID</x:t>
  </x:si>
  <x:si>
    <x:t xml:space="preserve">COST-MEGABYAI-R120-720-DUR-NOV</x:t>
  </x:si>
  <x:si>
    <x:t xml:space="preserve">0.33</x:t>
  </x:si>
  <x:si>
    <x:t xml:space="preserve">时长=4-15; 原模型=videos-4-720p; 上游模型分组=默认; 真人脸=; 原备注=</x:t>
  </x:si>
  <x:si>
    <x:t xml:space="preserve">COST-MEGABYAI-R120-720-DUR-VID</x:t>
  </x:si>
  <x:si>
    <x:t xml:space="preserve">COST-MEGABYAI-R121-480-DUR-NOV</x:t>
  </x:si>
  <x:si>
    <x:t xml:space="preserve">时长=4-15; 原模型=videos-4-480p; 上游模型分组=默认; 真人脸=; 原备注=</x:t>
  </x:si>
  <x:si>
    <x:t xml:space="preserve">COST-MEGABYAI-R121-480-DUR-VID</x:t>
  </x:si>
  <x:si>
    <x:t xml:space="preserve">COST-MEGABYAI-R122-720-DUR-NOV</x:t>
  </x:si>
  <x:si>
    <x:t xml:space="preserve">COST-MEGABYAI-R122-720-DUR-VID</x:t>
  </x:si>
  <x:si>
    <x:t xml:space="preserve">COST-MEGABYAI-R123-480-DUR-NOV</x:t>
  </x:si>
  <x:si>
    <x:t xml:space="preserve">0.13</x:t>
  </x:si>
  <x:si>
    <x:t xml:space="preserve">时长=4-15; 原模型=videos-4-fast-480p; 上游模型分组=默认; 真人脸=; 原备注=</x:t>
  </x:si>
  <x:si>
    <x:t xml:space="preserve">COST-MEGABYAI-R123-480-DUR-VID</x:t>
  </x:si>
  <x:si>
    <x:t xml:space="preserve">COST-MEGABYAI-R124-720-DUR-NOV</x:t>
  </x:si>
  <x:si>
    <x:t xml:space="preserve">时长=4-15; 原模型=videos-4-fast-720p; 上游模型分组=默认; 真人脸=; 原备注=</x:t>
  </x:si>
  <x:si>
    <x:t xml:space="preserve">COST-MEGABYAI-R124-720-DUR-VID</x:t>
  </x:si>
  <x:si>
    <x:t xml:space="preserve">COST-MEGABYAI-R125-480-DUR-NOV</x:t>
  </x:si>
  <x:si>
    <x:t xml:space="preserve">0.09</x:t>
  </x:si>
  <x:si>
    <x:t xml:space="preserve">时长=4-15; 原模型=videos-4-mini-480p; 上游模型分组=默认; 真人脸=; 原备注=</x:t>
  </x:si>
  <x:si>
    <x:t xml:space="preserve">COST-MEGABYAI-R125-480-DUR-VID</x:t>
  </x:si>
  <x:si>
    <x:t xml:space="preserve">COST-MEGABYAI-R126-720-DUR-NOV</x:t>
  </x:si>
  <x:si>
    <x:t xml:space="preserve">时长=4-15; 原模型=videos-4-mini-720p; 上游模型分组=默认; 真人脸=; 原备注=</x:t>
  </x:si>
  <x:si>
    <x:t xml:space="preserve">COST-MEGABYAI-R126-720-DUR-VID</x:t>
  </x:si>
  <x:si>
    <x:t xml:space="preserve">COST-OMEGAAI-R155-720-REQ-NOV</x:t>
  </x:si>
  <x:si>
    <x:t xml:space="preserve">klsdpro2-720p</x:t>
  </x:si>
  <x:si>
    <x:t xml:space="preserve">3.8</x:t>
  </x:si>
  <x:si>
    <x:t xml:space="preserve">时长=4-15; 原模型=klsdpro2-720p; 上游模型分组=默认; 真人脸=否; 原备注=</x:t>
  </x:si>
  <x:si>
    <x:t xml:space="preserve">COST-OMEGAAI-R155-720-REQ-VID</x:t>
  </x:si>
  <x:si>
    <x:t xml:space="preserve">COST-OMEGAAI-R156-720-DUR-NOV</x:t>
  </x:si>
  <x:si>
    <x:t xml:space="preserve">seedance-v2-720p</x:t>
  </x:si>
  <x:si>
    <x:t xml:space="preserve">时长=4-15; 原模型=seedance-v2-720p; 上游模型分组=默认; 真人脸=是; 原备注=</x:t>
  </x:si>
  <x:si>
    <x:t xml:space="preserve">COST-OMEGAAI-R156-720-DUR-VID</x:t>
  </x:si>
  <x:si>
    <x:t xml:space="preserve">COST-OMEGAAI-R157-720-DUR-NOV</x:t>
  </x:si>
  <x:si>
    <x:t xml:space="preserve">dola-seedance-2.0</x:t>
  </x:si>
  <x:si>
    <x:t xml:space="preserve">0.12</x:t>
  </x:si>
  <x:si>
    <x:t xml:space="preserve">时长=0-0; 原模型=dola-seedance-2.0; 上游模型分组=默认; 真人脸=否; 原备注=</x:t>
  </x:si>
  <x:si>
    <x:t xml:space="preserve">COST-OMEGAAI-R157-720-DUR-VID</x:t>
  </x:si>
  <x:si>
    <x:t xml:space="preserve">COST-OMEGAAI-R158-720-DUR-NOV</x:t>
  </x:si>
  <x:si>
    <x:t xml:space="preserve">lingjing-video-v1</x:t>
  </x:si>
  <x:si>
    <x:t xml:space="preserve">0.22</x:t>
  </x:si>
  <x:si>
    <x:t xml:space="preserve">时长=0-0; 原模型=lingjing-video-v1; 上游模型分组=默认; 真人脸=否; 原备注=</x:t>
  </x:si>
  <x:si>
    <x:t xml:space="preserve">COST-OMEGAAI-R158-720-DUR-VID</x:t>
  </x:si>
  <x:si>
    <x:t xml:space="preserve">COST-PAIPU-R22-720-REQ-NOV</x:t>
  </x:si>
  <x:si>
    <x:t xml:space="preserve">lec-seedance-2-0</x:t>
  </x:si>
  <x:si>
    <x:t xml:space="preserve">2.3</x:t>
  </x:si>
  <x:si>
    <x:t xml:space="preserve">时长=0-0; 原模型=lec-seedance-2-0; 上游模型分组=默认; 真人脸=是; 原备注=</x:t>
  </x:si>
  <x:si>
    <x:t xml:space="preserve">COST-PAIPU-R22-720-REQ-VID</x:t>
  </x:si>
  <x:si>
    <x:t xml:space="preserve">COST-PAIPU-R23-720-REQ-NOV</x:t>
  </x:si>
  <x:si>
    <x:t xml:space="preserve">lec-seedance-fast-ht-720p</x:t>
  </x:si>
  <x:si>
    <x:t xml:space="preserve">2</x:t>
  </x:si>
  <x:si>
    <x:t xml:space="preserve">时长=0-0; 原模型=lec-seedance-fast-ht-720p; 上游模型分组=默认; 真人脸=否; 原备注=</x:t>
  </x:si>
  <x:si>
    <x:t xml:space="preserve">COST-PAIPU-R23-720-REQ-VID</x:t>
  </x:si>
  <x:si>
    <x:t xml:space="preserve">COST-PAIPU-R24-480-REQ-NOV</x:t>
  </x:si>
  <x:si>
    <x:t xml:space="preserve">lec-seedance-videos-standard</x:t>
  </x:si>
  <x:si>
    <x:t xml:space="preserve">4.8</x:t>
  </x:si>
  <x:si>
    <x:t xml:space="preserve">时长=4-15; 原模型=lec-seedance-videos-standard; 上游模型分组=默认; 真人脸=是; 原备注=</x:t>
  </x:si>
  <x:si>
    <x:t xml:space="preserve">COST-PAIPU-R24-480-REQ-VID</x:t>
  </x:si>
  <x:si>
    <x:t xml:space="preserve">COST-PAIPU-R25-720-REQ-NOV</x:t>
  </x:si>
  <x:si>
    <x:t xml:space="preserve">5.8</x:t>
  </x:si>
  <x:si>
    <x:t xml:space="preserve">COST-PAIPU-R25-720-REQ-VID</x:t>
  </x:si>
  <x:si>
    <x:t xml:space="preserve">COST-PAIPU-R26-1080-DUR-NOV</x:t>
  </x:si>
  <x:si>
    <x:t xml:space="preserve">COST-PAIPU-R26-1080-DUR-VID</x:t>
  </x:si>
  <x:si>
    <x:t xml:space="preserve">COST-PAIPU-R27-4K-DUR-NOV</x:t>
  </x:si>
  <x:si>
    <x:t xml:space="preserve">1.71</x:t>
  </x:si>
  <x:si>
    <x:t xml:space="preserve">COST-PAIPU-R27-4K-DUR-VID</x:t>
  </x:si>
  <x:si>
    <x:t xml:space="preserve">COST-PAIPU-R28-480-REQ-NOV</x:t>
  </x:si>
  <x:si>
    <x:t xml:space="preserve">lec-seedance-videos-fast</x:t>
  </x:si>
  <x:si>
    <x:t xml:space="preserve">3.3</x:t>
  </x:si>
  <x:si>
    <x:t xml:space="preserve">时长=4-15; 原模型=lec-seedance-videos-fast; 上游模型分组=默认; 真人脸=是; 原备注=</x:t>
  </x:si>
  <x:si>
    <x:t xml:space="preserve">COST-PAIPU-R28-480-REQ-VID</x:t>
  </x:si>
  <x:si>
    <x:t xml:space="preserve">COST-PAIPU-R29-720-REQ-NOV</x:t>
  </x:si>
  <x:si>
    <x:t xml:space="preserve">COST-PAIPU-R29-720-REQ-VID</x:t>
  </x:si>
  <x:si>
    <x:t xml:space="preserve">COST-PAIPU-R30-480-REQ-NOV</x:t>
  </x:si>
  <x:si>
    <x:t xml:space="preserve">lec-seedance-videos-mini</x:t>
  </x:si>
  <x:si>
    <x:t xml:space="preserve">时长=4-15; 原模型=lec-seedance-videos-mini; 上游模型分组=默认; 真人脸=是; 原备注=</x:t>
  </x:si>
  <x:si>
    <x:t xml:space="preserve">COST-PAIPU-R30-480-REQ-VID</x:t>
  </x:si>
  <x:si>
    <x:t xml:space="preserve">COST-PAIPU-R31-720-REQ-NOV</x:t>
  </x:si>
  <x:si>
    <x:t xml:space="preserve">COST-PAIPU-R31-720-REQ-VID</x:t>
  </x:si>
  <x:si>
    <x:t xml:space="preserve">COST-PAIPU-R32-480-DUR-NOV</x:t>
  </x:si>
  <x:si>
    <x:t xml:space="preserve">lec-seedance-videos-stable</x:t>
  </x:si>
  <x:si>
    <x:t xml:space="preserve">0.27</x:t>
  </x:si>
  <x:si>
    <x:t xml:space="preserve">时长=4-15; 原模型=lec-seedance-videos-stable; 上游模型分组=默认; 真人脸=是; 原备注=</x:t>
  </x:si>
  <x:si>
    <x:t xml:space="preserve">COST-PAIPU-R32-480-DUR-VID</x:t>
  </x:si>
  <x:si>
    <x:t xml:space="preserve">COST-PAIPU-R33-720-DUR-NOV</x:t>
  </x:si>
  <x:si>
    <x:t xml:space="preserve">0.37</x:t>
  </x:si>
  <x:si>
    <x:t xml:space="preserve">COST-PAIPU-R33-720-DUR-VID</x:t>
  </x:si>
  <x:si>
    <x:t xml:space="preserve">COST-PAIPU-R34-480-DUR-NOV</x:t>
  </x:si>
  <x:si>
    <x:t xml:space="preserve">lec-seedance-videos-stable-fast</x:t>
  </x:si>
  <x:si>
    <x:t xml:space="preserve">0.17</x:t>
  </x:si>
  <x:si>
    <x:t xml:space="preserve">时长=4-15; 原模型=lec-seedance-videos-stable-fast; 上游模型分组=默认; 真人脸=是; 原备注=</x:t>
  </x:si>
  <x:si>
    <x:t xml:space="preserve">COST-PAIPU-R34-480-DUR-VID</x:t>
  </x:si>
  <x:si>
    <x:t xml:space="preserve">COST-PAIPU-R35-720-DUR-NOV</x:t>
  </x:si>
  <x:si>
    <x:t xml:space="preserve">COST-PAIPU-R35-720-DUR-VID</x:t>
  </x:si>
  <x:si>
    <x:t xml:space="preserve">COST-PAIPU-R36-480-DUR-NOV</x:t>
  </x:si>
  <x:si>
    <x:t xml:space="preserve">lec-seedance-videos-stable-mini</x:t>
  </x:si>
  <x:si>
    <x:t xml:space="preserve">时长=4-15; 原模型=lec-seedance-videos-stable-mini; 上游模型分组=默认; 真人脸=是; 原备注=</x:t>
  </x:si>
  <x:si>
    <x:t xml:space="preserve">COST-PAIPU-R36-480-DUR-VID</x:t>
  </x:si>
  <x:si>
    <x:t xml:space="preserve">COST-PAIPU-R37-720-DUR-NOV</x:t>
  </x:si>
  <x:si>
    <x:t xml:space="preserve">COST-PAIPU-R37-720-DUR-VID</x:t>
  </x:si>
  <x:si>
    <x:t xml:space="preserve">COST-PAIPU-R38-720-REQ-NOV</x:t>
  </x:si>
  <x:si>
    <x:t xml:space="preserve">lec-fd-seedance-2-0-933-720p</x:t>
  </x:si>
  <x:si>
    <x:t xml:space="preserve">4</x:t>
  </x:si>
  <x:si>
    <x:t xml:space="preserve">时长=4-15; 原模型=lec-fd-seedance-2-0-933-720p; 上游模型分组=默认; 真人脸=是; 原备注=</x:t>
  </x:si>
  <x:si>
    <x:t xml:space="preserve">COST-PAIPU-R38-720-REQ-VID</x:t>
  </x:si>
  <x:si>
    <x:t xml:space="preserve">COST-PAIPU-R39-720-REQ-NOV</x:t>
  </x:si>
  <x:si>
    <x:t xml:space="preserve">lec-ac-seedance-933-720p</x:t>
  </x:si>
  <x:si>
    <x:t xml:space="preserve">时长=4-15; 原模型=lec-ac-seedance-933-720p; 上游模型分组=默认; 真人脸=是; 原备注=</x:t>
  </x:si>
  <x:si>
    <x:t xml:space="preserve">COST-PAIPU-R39-720-REQ-VID</x:t>
  </x:si>
  <x:si>
    <x:t xml:space="preserve">COST-PAIPU-R40-720-REQ-NOV</x:t>
  </x:si>
  <x:si>
    <x:t xml:space="preserve">lec-ac-seedance-933-fd-720p</x:t>
  </x:si>
  <x:si>
    <x:t xml:space="preserve">时长=4-15; 原模型=lec-ac-seedance-933-fd-720p; 上游模型分组=默认; 真人脸=是; 原备注=</x:t>
  </x:si>
  <x:si>
    <x:t xml:space="preserve">COST-PAIPU-R40-720-REQ-VID</x:t>
  </x:si>
  <x:si>
    <x:t xml:space="preserve">COST-PAIPU-R41-720-REQ-NOV</x:t>
  </x:si>
  <x:si>
    <x:t xml:space="preserve">lec-ac-seedance-933-2-720p</x:t>
  </x:si>
  <x:si>
    <x:t xml:space="preserve">时长=4-15; 原模型=lec-ac-seedance-933-2-720p; 上游模型分组=默认; 真人脸=是; 原备注=</x:t>
  </x:si>
  <x:si>
    <x:t xml:space="preserve">COST-PAIPU-R41-720-REQ-VID</x:t>
  </x:si>
  <x:si>
    <x:t xml:space="preserve">COST-SECURE-R69-720-DUR-NOV</x:t>
  </x:si>
  <x:si>
    <x:t xml:space="preserve">video-2.0-pro</x:t>
  </x:si>
  <x:si>
    <x:t xml:space="preserve">时长=5-15; 原模型=video-2.0-pro; 上游模型分组=video-企业; 真人脸=是; 原备注=火山URL，500并发</x:t>
  </x:si>
  <x:si>
    <x:t xml:space="preserve">COST-SECURE-R69-720-DUR-VID</x:t>
  </x:si>
  <x:si>
    <x:t xml:space="preserve">COST-SECURE-R70-720-REQ-NOV</x:t>
  </x:si>
  <x:si>
    <x:t xml:space="preserve">6.8</x:t>
  </x:si>
  <x:si>
    <x:t xml:space="preserve">时长=4-15; 原模型=video-2.0-pro; 上游模型分组=video-特价; 真人脸=是; 原备注=</x:t>
  </x:si>
  <x:si>
    <x:t xml:space="preserve">COST-SECURE-R70-720-REQ-VID</x:t>
  </x:si>
  <x:si>
    <x:t xml:space="preserve">COST-SECURE-R71-1080-REQ-NOV</x:t>
  </x:si>
  <x:si>
    <x:t xml:space="preserve">13.6</x:t>
  </x:si>
  <x:si>
    <x:t xml:space="preserve">时长=4-15; 原模型=video-2.0-pro; 上游模型分组=video-特价; 真人脸=否; 原备注=</x:t>
  </x:si>
  <x:si>
    <x:t xml:space="preserve">COST-SECURE-R71-1080-REQ-VID</x:t>
  </x:si>
  <x:si>
    <x:t xml:space="preserve">COST-SECURE-R72-4K-REQ-NOV</x:t>
  </x:si>
  <x:si>
    <x:t xml:space="preserve">27.2</x:t>
  </x:si>
  <x:si>
    <x:t xml:space="preserve">COST-SECURE-R72-4K-REQ-VID</x:t>
  </x:si>
  <x:si>
    <x:t xml:space="preserve">COST-SECURE-R73-720-REQ-NOV</x:t>
  </x:si>
  <x:si>
    <x:t xml:space="preserve">video-2.0-fast</x:t>
  </x:si>
  <x:si>
    <x:t xml:space="preserve">时长=4-15; 原模型=video-2.0-fast; 上游模型分组=video-特价; 真人脸=否; 原备注=</x:t>
  </x:si>
  <x:si>
    <x:t xml:space="preserve">COST-SECURE-R73-720-REQ-VID</x:t>
  </x:si>
  <x:si>
    <x:t xml:space="preserve">COST-SECURE-R74-720-REQ-NOV</x:t>
  </x:si>
  <x:si>
    <x:t xml:space="preserve">video-2.0-mini</x:t>
  </x:si>
  <x:si>
    <x:t xml:space="preserve">时长=4-15; 原模型=video-2.0-mini; 上游模型分组=video-特价; 真人脸=否; 原备注=</x:t>
  </x:si>
  <x:si>
    <x:t xml:space="preserve">COST-SECURE-R74-720-REQ-VID</x:t>
  </x:si>
  <x:si>
    <x:t xml:space="preserve">COST-SECURE-R75-720-DUR-NOV</x:t>
  </x:si>
  <x:si>
    <x:t xml:space="preserve">0.7</x:t>
  </x:si>
  <x:si>
    <x:t xml:space="preserve">时长=4-15; 原模型=video-2.0-pro; 上游模型分组=video-海外; 真人脸=是; 原备注=</x:t>
  </x:si>
  <x:si>
    <x:t xml:space="preserve">COST-SECURE-R75-720-DUR-VID</x:t>
  </x:si>
  <x:si>
    <x:t xml:space="preserve">COST-SECURE-R76-1080-DUR-NOV</x:t>
  </x:si>
  <x:si>
    <x:t xml:space="preserve">1.75</x:t>
  </x:si>
  <x:si>
    <x:t xml:space="preserve">COST-SECURE-R76-1080-DUR-VID</x:t>
  </x:si>
  <x:si>
    <x:t xml:space="preserve">COST-SECURE-R77-720-DUR-NOV</x:t>
  </x:si>
  <x:si>
    <x:t xml:space="preserve">0.56</x:t>
  </x:si>
  <x:si>
    <x:t xml:space="preserve">时长=4-15; 原模型=video-2.0-fast; 上游模型分组=video-海外; 真人脸=是; 原备注=</x:t>
  </x:si>
  <x:si>
    <x:t xml:space="preserve">COST-SECURE-R77-720-DUR-VID</x:t>
  </x:si>
  <x:si>
    <x:t xml:space="preserve">COST-SECURE-R78-720-DUR-NOV</x:t>
  </x:si>
  <x:si>
    <x:t xml:space="preserve">时长=4-15; 原模型=video-2.0-mini; 上游模型分组=video-海外; 真人脸=是; 原备注=</x:t>
  </x:si>
  <x:si>
    <x:t xml:space="preserve">COST-SECURE-R78-720-DUR-VID</x:t>
  </x:si>
  <x:si>
    <x:t xml:space="preserve">把客户端模型别名映射到指定渠道上游模型和SKU；成本查询仍以实际渠道和上游模型为准。</x:t>
  </x:si>
  <x:si>
    <x:t xml:space="preserve">默认定价场景</x:t>
  </x:si>
  <x:si>
    <x:t xml:space="preserve">启用</x:t>
  </x:si>
  <x:si>
    <x:t xml:space="preserve">MAP-4STOKEN-R128-480</x:t>
  </x:si>
  <x:si>
    <x:t xml:space="preserve">原模型=4sdance_mini431; 参考图数=4; 参考视频数=3; 参考音频数=1; 最大素材数=8; 视频音频合计上限=; 素材模式=; 归一化比例=; 参考视频总时长上限秒=15; 最小参考图数=0; 上游模型分组=默认; 原比例=auto; 真人脸=是</x:t>
  </x:si>
  <x:si>
    <x:t xml:space="preserve">MAP-4STOKEN-R129-720</x:t>
  </x:si>
  <x:si>
    <x:t xml:space="preserve">MAP-4STOKEN-R130-480</x:t>
  </x:si>
  <x:si>
    <x:t xml:space="preserve">原模型=4sdance_mini933; 参考图数=9; 参考视频数=3; 参考音频数=3; 最大素材数=15; 视频音频合计上限=; 素材模式=; 归一化比例=; 参考视频总时长上限秒=15; 最小参考图数=0; 上游模型分组=默认; 原比例=auto; 真人脸=是</x:t>
  </x:si>
  <x:si>
    <x:t xml:space="preserve">MAP-4STOKEN-R131-720</x:t>
  </x:si>
  <x:si>
    <x:t xml:space="preserve">MAP-4STOKEN-R132-480</x:t>
  </x:si>
  <x:si>
    <x:t xml:space="preserve">原模型=4sdance_fast431; 参考图数=4; 参考视频数=3; 参考音频数=1; 最大素材数=8; 视频音频合计上限=; 素材模式=; 归一化比例=; 参考视频总时长上限秒=15; 最小参考图数=0; 上游模型分组=默认; 原比例=auto; 真人脸=是</x:t>
  </x:si>
  <x:si>
    <x:t xml:space="preserve">MAP-4STOKEN-R133-720</x:t>
  </x:si>
  <x:si>
    <x:t xml:space="preserve">MAP-4STOKEN-R134-480</x:t>
  </x:si>
  <x:si>
    <x:t xml:space="preserve">MAP-4STOKEN-R135-720</x:t>
  </x:si>
  <x:si>
    <x:t xml:space="preserve">MAP-4STOKEN-R136-480</x:t>
  </x:si>
  <x:si>
    <x:t xml:space="preserve">原模型=4sdance_fast_933face; 参考图数=9; 参考视频数=3; 参考音频数=3; 最大素材数=15; 视频音频合计上限=; 素材模式=; 归一化比例=; 参考视频总时长上限秒=15; 最小参考图数=0; 上游模型分组=默认; 原比例=auto; 真人脸=是</x:t>
  </x:si>
  <x:si>
    <x:t xml:space="preserve">MAP-4STOKEN-R137-720</x:t>
  </x:si>
  <x:si>
    <x:t xml:space="preserve">MAP-4STOKEN-R138-480</x:t>
  </x:si>
  <x:si>
    <x:t xml:space="preserve">原模型=4sdance_fast_933; 参考图数=9; 参考视频数=3; 参考音频数=3; 最大素材数=15; 视频音频合计上限=; 素材模式=; 归一化比例=; 参考视频总时长上限秒=15; 最小参考图数=0; 上游模型分组=默认; 原比例=auto; 真人脸=否</x:t>
  </x:si>
  <x:si>
    <x:t xml:space="preserve">MAP-4STOKEN-R139-720</x:t>
  </x:si>
  <x:si>
    <x:t xml:space="preserve">MAP-4STOKEN-R140-720</x:t>
  </x:si>
  <x:si>
    <x:t xml:space="preserve">MAP-4STOKEN-R141-480</x:t>
  </x:si>
  <x:si>
    <x:t xml:space="preserve">原模型=4sdance431; 参考图数=4; 参考视频数=3; 参考音频数=1; 最大素材数=8; 视频音频合计上限=; 素材模式=; 归一化比例=; 参考视频总时长上限秒=15; 最小参考图数=0; 上游模型分组=默认; 原比例=auto; 真人脸=是</x:t>
  </x:si>
  <x:si>
    <x:t xml:space="preserve">MAP-4STOKEN-R142-720</x:t>
  </x:si>
  <x:si>
    <x:t xml:space="preserve">MAP-4STOKEN-R143-480</x:t>
  </x:si>
  <x:si>
    <x:t xml:space="preserve">MAP-4STOKEN-R144-720</x:t>
  </x:si>
  <x:si>
    <x:t xml:space="preserve">MAP-4STOKEN-R145-720</x:t>
  </x:si>
  <x:si>
    <x:t xml:space="preserve">原模型=4sdance933; 参考图数=9; 参考视频数=3; 参考音频数=3; 最大素材数=15; 视频音频合计上限=; 素材模式=; 归一化比例=; 参考视频总时长上限秒=15; 最小参考图数=0; 上游模型分组=默认; 原比例=auto; 真人脸=否</x:t>
  </x:si>
  <x:si>
    <x:t xml:space="preserve">MAP-4STOKEN-R146-480</x:t>
  </x:si>
  <x:si>
    <x:t xml:space="preserve">MAP-4STOKEN-R147-720</x:t>
  </x:si>
  <x:si>
    <x:t xml:space="preserve">MAP-4STOKEN-R148-720</x:t>
  </x:si>
  <x:si>
    <x:t xml:space="preserve">原模型=4sdance_v2.0_900; 参考图数=9; 参考视频数=0; 参考音频数=0; 最大素材数=9; 视频音频合计上限=; 素材模式=; 归一化比例=; 参考视频总时长上限秒=0; 最小参考图数=0; 上游模型分组=默认; 原比例=auto; 真人脸=是</x:t>
  </x:si>
  <x:si>
    <x:t xml:space="preserve">MAP-4STOKEN-R149-480</x:t>
  </x:si>
  <x:si>
    <x:t xml:space="preserve">原模型=4sdance933_face; 参考图数=9; 参考视频数=3; 参考音频数=3; 最大素材数=15; 视频音频合计上限=; 素材模式=; 归一化比例=; 参考视频总时长上限秒=15; 最小参考图数=0; 上游模型分组=默认; 原比例=auto; 真人脸=是</x:t>
  </x:si>
  <x:si>
    <x:t xml:space="preserve">MAP-4STOKEN-R150-720</x:t>
  </x:si>
  <x:si>
    <x:t xml:space="preserve">MAP-4STOKEN-R151-1080</x:t>
  </x:si>
  <x:si>
    <x:t xml:space="preserve">MAP-4STOKEN-R152-4K</x:t>
  </x:si>
  <x:si>
    <x:t xml:space="preserve">MAP-4STOKEN-R153-720</x:t>
  </x:si>
  <x:si>
    <x:t xml:space="preserve">原模型=4sdance2.0; 参考图数=4; 参考视频数=3; 参考音频数=1; 最大素材数=8; 视频音频合计上限=; 素材模式=; 归一化比例=; 参考视频总时长上限秒=15; 最小参考图数=0; 上游模型分组=默认; 原比例=auto; 真人脸=否</x:t>
  </x:si>
  <x:si>
    <x:t xml:space="preserve">MAP-8YES-R56-480</x:t>
  </x:si>
  <x:si>
    <x:t xml:space="preserve">原模型=videos-4-480p; 参考图数=4; 参考视频数=3; 参考音频数=1; 最大素材数=8; 视频音频合计上限=; 素材模式=; 归一化比例=; 参考视频总时长上限秒=15; 最小参考图数=0; 上游模型分组=默认; 原比例=auto; 真人脸=否</x:t>
  </x:si>
  <x:si>
    <x:t xml:space="preserve">MAP-8YES-R57-720</x:t>
  </x:si>
  <x:si>
    <x:t xml:space="preserve">原模型=videos-4-720p; 参考图数=4; 参考视频数=3; 参考音频数=1; 最大素材数=8; 视频音频合计上限=; 素材模式=; 归一化比例=; 参考视频总时长上限秒=15; 最小参考图数=0; 上游模型分组=默认; 原比例=auto; 真人脸=否</x:t>
  </x:si>
  <x:si>
    <x:t xml:space="preserve">MAP-8YES-R58-480</x:t>
  </x:si>
  <x:si>
    <x:t xml:space="preserve">原模型=videos-4-fast-480p; 参考图数=4; 参考视频数=3; 参考音频数=1; 最大素材数=8; 视频音频合计上限=; 素材模式=; 归一化比例=; 参考视频总时长上限秒=15; 最小参考图数=0; 上游模型分组=默认; 原比例=auto; 真人脸=否</x:t>
  </x:si>
  <x:si>
    <x:t xml:space="preserve">MAP-8YES-R59-720</x:t>
  </x:si>
  <x:si>
    <x:t xml:space="preserve">原模型=videos-4-fast-720p; 参考图数=4; 参考视频数=3; 参考音频数=1; 最大素材数=8; 视频音频合计上限=; 素材模式=; 归一化比例=; 参考视频总时长上限秒=15; 最小参考图数=0; 上游模型分组=默认; 原比例=auto; 真人脸=否</x:t>
  </x:si>
  <x:si>
    <x:t xml:space="preserve">MAP-8YES-R60-480</x:t>
  </x:si>
  <x:si>
    <x:t xml:space="preserve">原模型=videos-4-mini-480p; 参考图数=4; 参考视频数=3; 参考音频数=1; 最大素材数=8; 视频音频合计上限=; 素材模式=; 归一化比例=; 参考视频总时长上限秒=15; 最小参考图数=0; 上游模型分组=默认; 原比例=auto; 真人脸=否</x:t>
  </x:si>
  <x:si>
    <x:t xml:space="preserve">MAP-8YES-R61-720</x:t>
  </x:si>
  <x:si>
    <x:t xml:space="preserve">原模型=videos-4-mini-720p; 参考图数=4; 参考视频数=3; 参考音频数=1; 最大素材数=8; 视频音频合计上限=; 素材模式=; 归一化比例=; 参考视频总时长上限秒=15; 最小参考图数=0; 上游模型分组=默认; 原比例=auto; 真人脸=否</x:t>
  </x:si>
  <x:si>
    <x:t xml:space="preserve">MAP-8YES-R62-480</x:t>
  </x:si>
  <x:si>
    <x:t xml:space="preserve">原模型=videos-fast-480p; 参考图数=9; 参考视频数=3; 参考音频数=3; 最大素材数=15; 视频音频合计上限=; 素材模式=; 归一化比例=; 参考视频总时长上限秒=15; 最小参考图数=0; 上游模型分组=默认; 原比例=auto; 真人脸=否</x:t>
  </x:si>
  <x:si>
    <x:t xml:space="preserve">MAP-8YES-R63-720</x:t>
  </x:si>
  <x:si>
    <x:t xml:space="preserve">原模型=videos-fast-720p; 参考图数=9; 参考视频数=3; 参考音频数=3; 最大素材数=15; 视频音频合计上限=; 素材模式=; 归一化比例=; 参考视频总时长上限秒=15; 最小参考图数=0; 上游模型分组=默认; 原比例=auto; 真人脸=否</x:t>
  </x:si>
  <x:si>
    <x:t xml:space="preserve">MAP-8YES-R64-720</x:t>
  </x:si>
  <x:si>
    <x:t xml:space="preserve">原模型=videos-mini-480p; 参考图数=9; 参考视频数=3; 参考音频数=3; 最大素材数=15; 视频音频合计上限=; 素材模式=; 归一化比例=; 参考视频总时长上限秒=15; 最小参考图数=0; 上游模型分组=默认; 原比例=auto; 真人脸=否</x:t>
  </x:si>
  <x:si>
    <x:t xml:space="preserve">MAP-8YES-R65-720</x:t>
  </x:si>
  <x:si>
    <x:t xml:space="preserve">原模型=videos-mini-720p; 参考图数=9; 参考视频数=3; 参考音频数=3; 最大素材数=15; 视频音频合计上限=; 素材模式=; 归一化比例=; 参考视频总时长上限秒=15; 最小参考图数=0; 上游模型分组=默认; 原比例=auto; 真人脸=否</x:t>
  </x:si>
  <x:si>
    <x:t xml:space="preserve">MAP-8YES-R66-480</x:t>
  </x:si>
  <x:si>
    <x:t xml:space="preserve">原模型=videos-standard-480p; 参考图数=9; 参考视频数=3; 参考音频数=3; 最大素材数=15; 视频音频合计上限=; 素材模式=; 归一化比例=; 参考视频总时长上限秒=15; 最小参考图数=0; 上游模型分组=默认; 原比例=auto; 真人脸=否</x:t>
  </x:si>
  <x:si>
    <x:t xml:space="preserve">MAP-8YES-R67-720</x:t>
  </x:si>
  <x:si>
    <x:t xml:space="preserve">原模型=videos-standard-720p; 参考图数=9; 参考视频数=3; 参考音频数=3; 最大素材数=15; 视频音频合计上限=; 素材模式=; 归一化比例=; 参考视频总时长上限秒=15; 最小参考图数=0; 上游模型分组=默认; 原比例=auto; 真人脸=否</x:t>
  </x:si>
  <x:si>
    <x:t xml:space="preserve">MAP-CANGYUANSUANLI-R80-480</x:t>
  </x:si>
  <x:si>
    <x:t xml:space="preserve">原模型=seedance-2.0; 参考图数=9; 参考视频数=3; 参考音频数=3; 最大素材数=15; 视频音频合计上限=; 素材模式=; 归一化比例=; 参考视频总时长上限秒=15; 最小参考图数=0; 上游模型分组=默认; 原比例=auto; 真人脸=否</x:t>
  </x:si>
  <x:si>
    <x:t xml:space="preserve">MAP-CANGYUANSUANLI-R81-720</x:t>
  </x:si>
  <x:si>
    <x:t xml:space="preserve">MAP-CANGYUANSUANLI-R82-480</x:t>
  </x:si>
  <x:si>
    <x:t xml:space="preserve">原模型=seedance-2.0-480p; 参考图数=9; 参考视频数=3; 参考音频数=3; 最大素材数=15; 视频音频合计上限=; 素材模式=; 归一化比例=; 参考视频总时长上限秒=15; 最小参考图数=0; 上游模型分组=默认; 原比例=auto; 真人脸=否</x:t>
  </x:si>
  <x:si>
    <x:t xml:space="preserve">MAP-CANGYUANSUANLI-R83-720</x:t>
  </x:si>
  <x:si>
    <x:t xml:space="preserve">原模型=seedance-2.0-720p; 参考图数=9; 参考视频数=3; 参考音频数=3; 最大素材数=15; 视频音频合计上限=; 素材模式=; 归一化比例=; 参考视频总时长上限秒=15; 最小参考图数=0; 上游模型分组=默认; 原比例=auto; 真人脸=否</x:t>
  </x:si>
  <x:si>
    <x:t xml:space="preserve">MAP-CANGYUANSUANLI-R84-480</x:t>
  </x:si>
  <x:si>
    <x:t xml:space="preserve">原模型=seedance-2.0-fast; 参考图数=9; 参考视频数=3; 参考音频数=3; 最大素材数=15; 视频音频合计上限=; 素材模式=; 归一化比例=; 参考视频总时长上限秒=15; 最小参考图数=0; 上游模型分组=默认; 原比例=auto; 真人脸=否</x:t>
  </x:si>
  <x:si>
    <x:t xml:space="preserve">MAP-CANGYUANSUANLI-R85-720</x:t>
  </x:si>
  <x:si>
    <x:t xml:space="preserve">MAP-CANGYUANSUANLI-R86-480</x:t>
  </x:si>
  <x:si>
    <x:t xml:space="preserve">原模型=seedance-2.0-mini; 参考图数=9; 参考视频数=3; 参考音频数=3; 最大素材数=15; 视频音频合计上限=; 素材模式=; 归一化比例=; 参考视频总时长上限秒=15; 最小参考图数=0; 上游模型分组=默认; 原比例=auto; 真人脸=否</x:t>
  </x:si>
  <x:si>
    <x:t xml:space="preserve">MAP-CANGYUANSUANLI-R87-720</x:t>
  </x:si>
  <x:si>
    <x:t xml:space="preserve">MAP-CANGYUANSUANLI-R88-480</x:t>
  </x:si>
  <x:si>
    <x:t xml:space="preserve">原模型=seedance-2.0-fast-480p; 参考图数=9; 参考视频数=3; 参考音频数=3; 最大素材数=15; 视频音频合计上限=; 素材模式=; 归一化比例=; 参考视频总时长上限秒=15; 最小参考图数=0; 上游模型分组=默认; 原比例=auto; 真人脸=否</x:t>
  </x:si>
  <x:si>
    <x:t xml:space="preserve">MAP-CANGYUANSUANLI-R89-720</x:t>
  </x:si>
  <x:si>
    <x:t xml:space="preserve">原模型=seedance-2.0-fast-720p; 参考图数=9; 参考视频数=3; 参考音频数=3; 最大素材数=15; 视频音频合计上限=; 素材模式=; 归一化比例=; 参考视频总时长上限秒=15; 最小参考图数=0; 上游模型分组=默认; 原比例=auto; 真人脸=否</x:t>
  </x:si>
  <x:si>
    <x:t xml:space="preserve">MAP-CANGYUANSUANLI-R90-480</x:t>
  </x:si>
  <x:si>
    <x:t xml:space="preserve">原模型=seedance-2.0-mini-480p; 参考图数=9; 参考视频数=3; 参考音频数=3; 最大素材数=15; 视频音频合计上限=; 素材模式=; 归一化比例=; 参考视频总时长上限秒=15; 最小参考图数=0; 上游模型分组=默认; 原比例=auto; 真人脸=否</x:t>
  </x:si>
  <x:si>
    <x:t xml:space="preserve">MAP-CANGYUANSUANLI-R91-720</x:t>
  </x:si>
  <x:si>
    <x:t xml:space="preserve">原模型=seedance-2.0-mini-720p; 参考图数=9; 参考视频数=3; 参考音频数=3; 最大素材数=15; 视频音频合计上限=; 素材模式=; 归一化比例=; 参考视频总时长上限秒=15; 最小参考图数=0; 上游模型分组=默认; 原比例=auto; 真人脸=否</x:t>
  </x:si>
  <x:si>
    <x:t xml:space="preserve">MAP-CLMM-R10-480</x:t>
  </x:si>
  <x:si>
    <x:t xml:space="preserve">原模型=mg-seedance2.0 -480p-fast-gz-15s; 参考图数=9; 参考视频数=3; 参考音频数=3; 最大素材数=15; 视频音频合计上限=; 素材模式=; 归一化比例=; 参考视频总时长上限秒=15; 最小参考图数=0; 上游模型分组=默认; 原比例=auto; 真人脸=是</x:t>
  </x:si>
  <x:si>
    <x:t xml:space="preserve">MAP-CLMM-R11-480</x:t>
  </x:si>
  <x:si>
    <x:t xml:space="preserve">原模型=mg-seedance2.0 -480p-gz-15s; 参考图数=9; 参考视频数=3; 参考音频数=3; 最大素材数=15; 视频音频合计上限=; 素材模式=; 归一化比例=; 参考视频总时长上限秒=15; 最小参考图数=0; 上游模型分组=默认; 原比例=auto; 真人脸=是</x:t>
  </x:si>
  <x:si>
    <x:t xml:space="preserve">MAP-CLMM-R12-720</x:t>
  </x:si>
  <x:si>
    <x:t xml:space="preserve">原模型=mg-seedance2.0 -720p-fast-gz-15s; 参考图数=9; 参考视频数=3; 参考音频数=3; 最大素材数=15; 视频音频合计上限=; 素材模式=; 归一化比例=; 参考视频总时长上限秒=15; 最小参考图数=0; 上游模型分组=默认; 原比例=auto; 真人脸=是</x:t>
  </x:si>
  <x:si>
    <x:t xml:space="preserve">MAP-CLMM-R13-720</x:t>
  </x:si>
  <x:si>
    <x:t xml:space="preserve">原模型=mg-seedance2.0 -720p-mini-gz-15s; 参考图数=9; 参考视频数=3; 参考音频数=3; 最大素材数=15; 视频音频合计上限=; 素材模式=; 归一化比例=; 参考视频总时长上限秒=15; 最小参考图数=0; 上游模型分组=默认; 原比例=auto; 真人脸=是</x:t>
  </x:si>
  <x:si>
    <x:t xml:space="preserve">MAP-CLMM-R14-720</x:t>
  </x:si>
  <x:si>
    <x:t xml:space="preserve">原模型=ov-Seedance2.0 fast 720p-15s; 参考图数=4; 参考视频数=3; 参考音频数=1; 最大素材数=8; 视频音频合计上限=; 素材模式=; 归一化比例=; 参考视频总时长上限秒=15; 最小参考图数=0; 上游模型分组=默认; 原比例=auto; 真人脸=是</x:t>
  </x:si>
  <x:si>
    <x:t xml:space="preserve">MAP-CLMM-R15-720</x:t>
  </x:si>
  <x:si>
    <x:t xml:space="preserve">原模型=seedance2.0 -720p-gz-15s; 参考图数=4; 参考视频数=3; 参考音频数=1; 最大素材数=8; 视频音频合计上限=; 素材模式=; 归一化比例=; 参考视频总时长上限秒=15; 最小参考图数=0; 上游模型分组=默认; 原比例=auto; 真人脸=是</x:t>
  </x:si>
  <x:si>
    <x:t xml:space="preserve">MAP-CLMM-R16-480</x:t>
  </x:si>
  <x:si>
    <x:t xml:space="preserve">原模型=seedance2.0 480p-fast-nsp; 参考图数=9; 参考视频数=0; 参考音频数=3; 最大素材数=12; 视频音频合计上限=; 素材模式=; 归一化比例=; 参考视频总时长上限秒=0; 最小参考图数=0; 上游模型分组=默认; 原比例=auto; 真人脸=是</x:t>
  </x:si>
  <x:si>
    <x:t xml:space="preserve">MAP-CLMM-R17-480</x:t>
  </x:si>
  <x:si>
    <x:t xml:space="preserve">原模型=seedance2.0 480p-nsp; 参考图数=9; 参考视频数=0; 参考音频数=3; 最大素材数=12; 视频音频合计上限=; 素材模式=; 归一化比例=; 参考视频总时长上限秒=0; 最小参考图数=0; 上游模型分组=默认; 原比例=auto; 真人脸=是</x:t>
  </x:si>
  <x:si>
    <x:t xml:space="preserve">MAP-CLMM-R18-720</x:t>
  </x:si>
  <x:si>
    <x:t xml:space="preserve">原模型=seedance2.0 720p-fast-nsp; 参考图数=9; 参考视频数=0; 参考音频数=3; 最大素材数=12; 视频音频合计上限=; 素材模式=; 归一化比例=; 参考视频总时长上限秒=0; 最小参考图数=0; 上游模型分组=默认; 原比例=auto; 真人脸=是</x:t>
  </x:si>
  <x:si>
    <x:t xml:space="preserve">MAP-CLMM-R19-720</x:t>
  </x:si>
  <x:si>
    <x:t xml:space="preserve">原模型=seedance2.0 720p-fast; 参考图数=9; 参考视频数=3; 参考音频数=3; 最大素材数=15; 视频音频合计上限=; 素材模式=; 归一化比例=; 参考视频总时长上限秒=15; 最小参考图数=0; 上游模型分组=默认; 原比例=auto; 真人脸=是</x:t>
  </x:si>
  <x:si>
    <x:t xml:space="preserve">MAP-CLMM-R20-720</x:t>
  </x:si>
  <x:si>
    <x:t xml:space="preserve">原模型=seedance2.0 720p-pro; 参考图数=9; 参考视频数=3; 参考音频数=3; 最大素材数=15; 视频音频合计上限=; 素材模式=; 归一化比例=; 参考视频总时长上限秒=15; 最小参考图数=0; 上游模型分组=默认; 原比例=auto; 真人脸=是</x:t>
  </x:si>
  <x:si>
    <x:t xml:space="preserve">MAP-CLMM-R3-720</x:t>
  </x:si>
  <x:si>
    <x:t xml:space="preserve">原模型=seedance 720p-fast; 参考图数=9; 参考视频数=3; 参考音频数=3; 最大素材数=15; 视频音频合计上限=; 素材模式=; 归一化比例=9:16; 参考视频总时长上限秒=15; 最小参考图数=0; 上游模型分组=默认; 原比例=9:16; 真人脸=是</x:t>
  </x:si>
  <x:si>
    <x:t xml:space="preserve">MAP-CLMM-R4-480</x:t>
  </x:si>
  <x:si>
    <x:t xml:space="preserve">原模型=mg-seedance2.0 -480p; 参考图数=4; 参考视频数=3; 参考音频数=1; 最大素材数=8; 视频音频合计上限=; 素材模式=; 归一化比例=; 参考视频总时长上限秒=15; 最小参考图数=0; 上游模型分组=默认; 原比例=auto; 真人脸=是</x:t>
  </x:si>
  <x:si>
    <x:t xml:space="preserve">MAP-CLMM-R5-480</x:t>
  </x:si>
  <x:si>
    <x:t xml:space="preserve">原模型=mg-seedance2.0 -480p fast; 参考图数=4; 参考视频数=3; 参考音频数=1; 最大素材数=8; 视频音频合计上限=; 素材模式=; 归一化比例=; 参考视频总时长上限秒=15; 最小参考图数=0; 上游模型分组=默认; 原比例=auto; 真人脸=是</x:t>
  </x:si>
  <x:si>
    <x:t xml:space="preserve">MAP-CLMM-R6-480</x:t>
  </x:si>
  <x:si>
    <x:t xml:space="preserve">原模型=mg-seedance2.0 -480p mini; 参考图数=4; 参考视频数=3; 参考音频数=1; 最大素材数=8; 视频音频合计上限=; 素材模式=; 归一化比例=; 参考视频总时长上限秒=15; 最小参考图数=0; 上游模型分组=默认; 原比例=auto; 真人脸=是</x:t>
  </x:si>
  <x:si>
    <x:t xml:space="preserve">MAP-CLMM-R7-720</x:t>
  </x:si>
  <x:si>
    <x:t xml:space="preserve">原模型=mg-seedance2.0 -720p fast; 参考图数=4; 参考视频数=3; 参考音频数=1; 最大素材数=8; 视频音频合计上限=; 素材模式=; 归一化比例=; 参考视频总时长上限秒=15; 最小参考图数=0; 上游模型分组=默认; 原比例=auto; 真人脸=是</x:t>
  </x:si>
  <x:si>
    <x:t xml:space="preserve">MAP-CLMM-R8-720</x:t>
  </x:si>
  <x:si>
    <x:t xml:space="preserve">原模型=mg-seedance2.0 -720p mini; 参考图数=4; 参考视频数=3; 参考音频数=1; 最大素材数=8; 视频音频合计上限=; 素材模式=; 归一化比例=; 参考视频总时长上限秒=15; 最小参考图数=0; 上游模型分组=默认; 原比例=auto; 真人脸=是</x:t>
  </x:si>
  <x:si>
    <x:t xml:space="preserve">MAP-CLMM-R9-720</x:t>
  </x:si>
  <x:si>
    <x:t xml:space="preserve">原模型=mg-seedance2.0 -720p pro; 参考图数=4; 参考视频数=3; 参考音频数=1; 最大素材数=8; 视频音频合计上限=; 素材模式=; 归一化比例=; 参考视频总时长上限秒=15; 最小参考图数=0; 上游模型分组=默认; 原比例=auto; 真人脸=是</x:t>
  </x:si>
  <x:si>
    <x:t xml:space="preserve">MAP-DIMENSIO-R100-720</x:t>
  </x:si>
  <x:si>
    <x:t xml:space="preserve">原模型=pxv-seedance-2.0-mini; 参考图数=9; 参考视频数=3; 参考音频数=3; 最大素材数=15; 视频音频合计上限=; 素材模式=first_last_frames,omni_reference,agentic; 归一化比例=1:1,4:3,3:4,16:9,9:16,21:9; 参考视频总时长上限秒=15; 最小参考图数=0; 上游模型分组=默认; 原比例=auto; 真人脸=否</x:t>
  </x:si>
  <x:si>
    <x:t xml:space="preserve">MAP-DIMENSIO-R101-480</x:t>
  </x:si>
  <x:si>
    <x:t xml:space="preserve">原模型=pxv-seedance-2.0-standard; 参考图数=9; 参考视频数=3; 参考音频数=3; 最大素材数=15; 视频音频合计上限=; 素材模式=first_last_frames,omni_reference,agentic; 归一化比例=1:1,4:3,3:4,16:9,9:16,21:9; 参考视频总时长上限秒=15; 最小参考图数=0; 上游模型分组=默认; 原比例=auto; 真人脸=否</x:t>
  </x:si>
  <x:si>
    <x:t xml:space="preserve">MAP-DIMENSIO-R102-720</x:t>
  </x:si>
  <x:si>
    <x:t xml:space="preserve">MAP-DIMENSIO-R103-1080</x:t>
  </x:si>
  <x:si>
    <x:t xml:space="preserve">MAP-DIMENSIO-R104-4K</x:t>
  </x:si>
  <x:si>
    <x:t xml:space="preserve">MAP-DIMENSIO-R93-720</x:t>
  </x:si>
  <x:si>
    <x:t xml:space="preserve">原模型=jmg-video-seedance-2.0-fast-vip; 参考图数=9; 参考视频数=3; 参考音频数=3; 最大素材数=12; 视频音频合计上限=; 素材模式=first_last_frames,omni_reference,agentic; 归一化比例=1:1,4:3,3:4,16:9,9:16,21:9; 参考视频总时长上限秒=15; 最小参考图数=0; 上游模型分组=默认; 原比例=auto; 真人脸=否</x:t>
  </x:si>
  <x:si>
    <x:t xml:space="preserve">MAP-DIMENSIO-R94-720</x:t>
  </x:si>
  <x:si>
    <x:t xml:space="preserve">原模型=jmg-video-seedance-2.0-mini; 参考图数=9; 参考视频数=3; 参考音频数=3; 最大素材数=12; 视频音频合计上限=; 素材模式=first_last_frames,omni_reference,agentic; 归一化比例=1:1,4:3,3:4,16:9,9:16,21:9; 参考视频总时长上限秒=15; 最小参考图数=0; 上游模型分组=默认; 原比例=auto; 真人脸=否</x:t>
  </x:si>
  <x:si>
    <x:t xml:space="preserve">MAP-DIMENSIO-R95-720</x:t>
  </x:si>
  <x:si>
    <x:t xml:space="preserve">原模型=jmg-video-seedance-2.0-vip; 参考图数=9; 参考视频数=3; 参考音频数=3; 最大素材数=12; 视频音频合计上限=; 素材模式=first_last_frames,omni_reference,agentic; 归一化比例=1:1,4:3,3:4,16:9,9:16,21:9; 参考视频总时长上限秒=15; 最小参考图数=0; 上游模型分组=默认; 原比例=auto; 真人脸=否</x:t>
  </x:si>
  <x:si>
    <x:t xml:space="preserve">MAP-DIMENSIO-R96-1080</x:t>
  </x:si>
  <x:si>
    <x:t xml:space="preserve">MAP-DIMENSIO-R97-480</x:t>
  </x:si>
  <x:si>
    <x:t xml:space="preserve">原模型=pxv-seedance-2.0-fast; 参考图数=9; 参考视频数=3; 参考音频数=3; 最大素材数=15; 视频音频合计上限=; 素材模式=first_last_frames,omni_reference,agentic; 归一化比例=1:1,4:3,3:4,16:9,9:16,21:9; 参考视频总时长上限秒=15; 最小参考图数=0; 上游模型分组=默认; 原比例=auto; 真人脸=否</x:t>
  </x:si>
  <x:si>
    <x:t xml:space="preserve">MAP-DIMENSIO-R98-720</x:t>
  </x:si>
  <x:si>
    <x:t xml:space="preserve">MAP-DIMENSIO-R99-480</x:t>
  </x:si>
  <x:si>
    <x:t xml:space="preserve">MAP-LUCEN-R43-720</x:t>
  </x:si>
  <x:si>
    <x:t xml:space="preserve">原模型=seedance-720p-5s; 参考图数=9; 参考视频数=3; 参考音频数=3; 最大素材数=15; 视频音频合计上限=; 素材模式=; 归一化比例=; 参考视频总时长上限秒=15; 最小参考图数=0; 上游模型分组=默认; 原比例=auto; 真人脸=否</x:t>
  </x:si>
  <x:si>
    <x:t xml:space="preserve">MAP-LUCEN-R44-720</x:t>
  </x:si>
  <x:si>
    <x:t xml:space="preserve">原模型=seedance-720p-10s; 参考图数=9; 参考视频数=3; 参考音频数=3; 最大素材数=15; 视频音频合计上限=; 素材模式=; 归一化比例=; 参考视频总时长上限秒=15; 最小参考图数=0; 上游模型分组=默认; 原比例=auto; 真人脸=否</x:t>
  </x:si>
  <x:si>
    <x:t xml:space="preserve">MAP-LUCEN-R45-720</x:t>
  </x:si>
  <x:si>
    <x:t xml:space="preserve">原模型=seedance-720p-15s; 参考图数=9; 参考视频数=3; 参考音频数=3; 最大素材数=15; 视频音频合计上限=; 素材模式=; 归一化比例=; 参考视频总时长上限秒=15; 最小参考图数=0; 上游模型分组=默认; 原比例=auto; 真人脸=否</x:t>
  </x:si>
  <x:si>
    <x:t xml:space="preserve">MAP-LUCEN-R46-480</x:t>
  </x:si>
  <x:si>
    <x:t xml:space="preserve">原模型=seedance-480p-5s; 参考图数=9; 参考视频数=3; 参考音频数=3; 最大素材数=15; 视频音频合计上限=; 素材模式=; 归一化比例=; 参考视频总时长上限秒=15; 最小参考图数=0; 上游模型分组=默认; 原比例=auto; 真人脸=否</x:t>
  </x:si>
  <x:si>
    <x:t xml:space="preserve">MAP-LUCEN-R47-480</x:t>
  </x:si>
  <x:si>
    <x:t xml:space="preserve">原模型=seedance-480p-10s; 参考图数=9; 参考视频数=3; 参考音频数=3; 最大素材数=15; 视频音频合计上限=; 素材模式=; 归一化比例=; 参考视频总时长上限秒=15; 最小参考图数=0; 上游模型分组=默认; 原比例=auto; 真人脸=否</x:t>
  </x:si>
  <x:si>
    <x:t xml:space="preserve">MAP-LUCEN-R48-480</x:t>
  </x:si>
  <x:si>
    <x:t xml:space="preserve">原模型=seedance-480p-15s; 参考图数=9; 参考视频数=3; 参考音频数=3; 最大素材数=15; 视频音频合计上限=; 素材模式=; 归一化比例=; 参考视频总时长上限秒=15; 最小参考图数=0; 上游模型分组=默认; 原比例=auto; 真人脸=否</x:t>
  </x:si>
  <x:si>
    <x:t xml:space="preserve">MAP-LUCEN-R49-1080</x:t>
  </x:si>
  <x:si>
    <x:t xml:space="preserve">原模型=seedance-1080p-5s; 参考图数=9; 参考视频数=3; 参考音频数=3; 最大素材数=15; 视频音频合计上限=; 素材模式=; 归一化比例=; 参考视频总时长上限秒=15; 最小参考图数=0; 上游模型分组=默认; 原比例=auto; 真人脸=否</x:t>
  </x:si>
  <x:si>
    <x:t xml:space="preserve">MAP-LUCEN-R50-1080</x:t>
  </x:si>
  <x:si>
    <x:t xml:space="preserve">原模型=seedance-1080p-10s; 参考图数=9; 参考视频数=3; 参考音频数=3; 最大素材数=15; 视频音频合计上限=; 素材模式=; 归一化比例=; 参考视频总时长上限秒=15; 最小参考图数=0; 上游模型分组=默认; 原比例=auto; 真人脸=否</x:t>
  </x:si>
  <x:si>
    <x:t xml:space="preserve">MAP-LUCEN-R51-1080</x:t>
  </x:si>
  <x:si>
    <x:t xml:space="preserve">原模型=seedance-1080p-15s; 参考图数=9; 参考视频数=3; 参考音频数=3; 最大素材数=15; 视频音频合计上限=; 素材模式=; 归一化比例=; 参考视频总时长上限秒=15; 最小参考图数=0; 上游模型分组=默认; 原比例=auto; 真人脸=否</x:t>
  </x:si>
  <x:si>
    <x:t xml:space="preserve">MAP-LUCEN-R52-480</x:t>
  </x:si>
  <x:si>
    <x:t xml:space="preserve">原模型=seedance-480p-token; 参考图数=9; 参考视频数=3; 参考音频数=3; 最大素材数=15; 视频音频合计上限=; 素材模式=; 归一化比例=; 参考视频总时长上限秒=15; 最小参考图数=0; 上游模型分组=默认; 原比例=auto; 真人脸=否</x:t>
  </x:si>
  <x:si>
    <x:t xml:space="preserve">MAP-LUCEN-R53-720</x:t>
  </x:si>
  <x:si>
    <x:t xml:space="preserve">原模型=seedance-720p-token; 参考图数=9; 参考视频数=3; 参考音频数=3; 最大素材数=15; 视频音频合计上限=; 素材模式=; 归一化比例=; 参考视频总时长上限秒=15; 最小参考图数=0; 上游模型分组=默认; 原比例=auto; 真人脸=否</x:t>
  </x:si>
  <x:si>
    <x:t xml:space="preserve">MAP-LUCEN-R54-1080</x:t>
  </x:si>
  <x:si>
    <x:t xml:space="preserve">原模型=seedance-1080p-token; 参考图数=9; 参考视频数=3; 参考音频数=3; 最大素材数=15; 视频音频合计上限=; 素材模式=; 归一化比例=; 参考视频总时长上限秒=15; 最小参考图数=0; 上游模型分组=默认; 原比例=auto; 真人脸=否</x:t>
  </x:si>
  <x:si>
    <x:t xml:space="preserve">MAP-MEGABYAI-R106-480</x:t>
  </x:si>
  <x:si>
    <x:t xml:space="preserve">原模型=videos-standard; 参考图数=9; 参考视频数=3; 参考音频数=3; 最大素材数=15; 视频音频合计上限=; 素材模式=; 归一化比例=; 参考视频总时长上限秒=15; 最小参考图数=0; 上游模型分组=默认; 原比例=auto; 真人脸=是</x:t>
  </x:si>
  <x:si>
    <x:t xml:space="preserve">MAP-MEGABYAI-R107-720</x:t>
  </x:si>
  <x:si>
    <x:t xml:space="preserve">MAP-MEGABYAI-R108-1080</x:t>
  </x:si>
  <x:si>
    <x:t xml:space="preserve">MAP-MEGABYAI-R109-4K</x:t>
  </x:si>
  <x:si>
    <x:t xml:space="preserve">MAP-MEGABYAI-R110-480</x:t>
  </x:si>
  <x:si>
    <x:t xml:space="preserve">原模型=videos-standard; 参考图数=9; 参考视频数=3; 参考音频数=3; 最大素材数=15; 视频音频合计上限=; 素材模式=; 归一化比例=; 参考视频总时长上限秒=15; 最小参考图数=0; 上游模型分组=默认; 原比例=auto; 真人脸=否</x:t>
  </x:si>
  <x:si>
    <x:t xml:space="preserve">MAP-MEGABYAI-R111-720</x:t>
  </x:si>
  <x:si>
    <x:t xml:space="preserve">MAP-MEGABYAI-R112-1080</x:t>
  </x:si>
  <x:si>
    <x:t xml:space="preserve">MAP-MEGABYAI-R113-4K</x:t>
  </x:si>
  <x:si>
    <x:t xml:space="preserve">MAP-MEGABYAI-R114-480</x:t>
  </x:si>
  <x:si>
    <x:t xml:space="preserve">原模型=videos-fast; 参考图数=9; 参考视频数=3; 参考音频数=3; 最大素材数=15; 视频音频合计上限=; 素材模式=; 归一化比例=; 参考视频总时长上限秒=15; 最小参考图数=0; 上游模型分组=默认; 原比例=auto; 真人脸=是</x:t>
  </x:si>
  <x:si>
    <x:t xml:space="preserve">MAP-MEGABYAI-R115-720</x:t>
  </x:si>
  <x:si>
    <x:t xml:space="preserve">MAP-MEGABYAI-R116-480</x:t>
  </x:si>
  <x:si>
    <x:t xml:space="preserve">MAP-MEGABYAI-R117-720</x:t>
  </x:si>
  <x:si>
    <x:t xml:space="preserve">MAP-MEGABYAI-R118-480</x:t>
  </x:si>
  <x:si>
    <x:t xml:space="preserve">原模型=videos-mini; 参考图数=9; 参考视频数=3; 参考音频数=3; 最大素材数=15; 视频音频合计上限=; 素材模式=; 归一化比例=; 参考视频总时长上限秒=15; 最小参考图数=0; 上游模型分组=默认; 原比例=auto; 真人脸=是</x:t>
  </x:si>
  <x:si>
    <x:t xml:space="preserve">MAP-MEGABYAI-R119-720</x:t>
  </x:si>
  <x:si>
    <x:t xml:space="preserve">MAP-MEGABYAI-R120-720</x:t>
  </x:si>
  <x:si>
    <x:t xml:space="preserve">原模型=videos-4-720p; 参考图数=4; 参考视频数=3; 参考音频数=1; 最大素材数=8; 视频音频合计上限=; 素材模式=; 归一化比例=; 参考视频总时长上限秒=15; 最小参考图数=0; 上游模型分组=默认; 原比例=auto; 真人脸=</x:t>
  </x:si>
  <x:si>
    <x:t xml:space="preserve">MAP-MEGABYAI-R121-480</x:t>
  </x:si>
  <x:si>
    <x:t xml:space="preserve">原模型=videos-4-480p; 参考图数=4; 参考视频数=3; 参考音频数=1; 最大素材数=8; 视频音频合计上限=; 素材模式=; 归一化比例=; 参考视频总时长上限秒=15; 最小参考图数=0; 上游模型分组=默认; 原比例=auto; 真人脸=</x:t>
  </x:si>
  <x:si>
    <x:t xml:space="preserve">MAP-MEGABYAI-R122-720</x:t>
  </x:si>
  <x:si>
    <x:t xml:space="preserve">MAP-MEGABYAI-R123-480</x:t>
  </x:si>
  <x:si>
    <x:t xml:space="preserve">原模型=videos-4-fast-480p; 参考图数=4; 参考视频数=3; 参考音频数=1; 最大素材数=8; 视频音频合计上限=; 素材模式=; 归一化比例=; 参考视频总时长上限秒=15; 最小参考图数=0; 上游模型分组=默认; 原比例=auto; 真人脸=</x:t>
  </x:si>
  <x:si>
    <x:t xml:space="preserve">MAP-MEGABYAI-R124-720</x:t>
  </x:si>
  <x:si>
    <x:t xml:space="preserve">原模型=videos-4-fast-720p; 参考图数=4; 参考视频数=3; 参考音频数=1; 最大素材数=8; 视频音频合计上限=; 素材模式=; 归一化比例=; 参考视频总时长上限秒=15; 最小参考图数=0; 上游模型分组=默认; 原比例=auto; 真人脸=</x:t>
  </x:si>
  <x:si>
    <x:t xml:space="preserve">MAP-MEGABYAI-R125-480</x:t>
  </x:si>
  <x:si>
    <x:t xml:space="preserve">原模型=videos-4-mini-480p; 参考图数=4; 参考视频数=3; 参考音频数=1; 最大素材数=8; 视频音频合计上限=; 素材模式=; 归一化比例=; 参考视频总时长上限秒=15; 最小参考图数=0; 上游模型分组=默认; 原比例=auto; 真人脸=</x:t>
  </x:si>
  <x:si>
    <x:t xml:space="preserve">MAP-MEGABYAI-R126-720</x:t>
  </x:si>
  <x:si>
    <x:t xml:space="preserve">原模型=videos-4-mini-720p; 参考图数=4; 参考视频数=3; 参考音频数=1; 最大素材数=8; 视频音频合计上限=; 素材模式=; 归一化比例=; 参考视频总时长上限秒=15; 最小参考图数=0; 上游模型分组=默认; 原比例=auto; 真人脸=</x:t>
  </x:si>
  <x:si>
    <x:t xml:space="preserve">MAP-OMEGAAI-R155-720</x:t>
  </x:si>
  <x:si>
    <x:t xml:space="preserve">原模型=klsdpro2-720p; 参考图数=9; 参考视频数=3; 参考音频数=3; 最大素材数=15; 视频音频合计上限=; 素材模式=; 归一化比例=; 参考视频总时长上限秒=15; 最小参考图数=0; 上游模型分组=默认; 原比例=auto; 真人脸=否</x:t>
  </x:si>
  <x:si>
    <x:t xml:space="preserve">MAP-OMEGAAI-R156-720</x:t>
  </x:si>
  <x:si>
    <x:t xml:space="preserve">原模型=seedance-v2-720p; 参考图数=9; 参考视频数=0; 参考音频数=0; 最大素材数=9; 视频音频合计上限=; 素材模式=; 归一化比例=; 参考视频总时长上限秒=0; 最小参考图数=0; 上游模型分组=默认; 原比例=auto; 真人脸=是</x:t>
  </x:si>
  <x:si>
    <x:t xml:space="preserve">MAP-OMEGAAI-R157-720</x:t>
  </x:si>
  <x:si>
    <x:t xml:space="preserve">原模型=dola-seedance-2.0; 参考图数=9; 参考视频数=0; 参考音频数=0; 最大素材数=9; 视频音频合计上限=; 素材模式=; 归一化比例=; 参考视频总时长上限秒=0; 最小参考图数=0; 上游模型分组=默认; 原比例=auto; 真人脸=否</x:t>
  </x:si>
  <x:si>
    <x:t xml:space="preserve">MAP-OMEGAAI-R158-720</x:t>
  </x:si>
  <x:si>
    <x:t xml:space="preserve">原模型=lingjing-video-v1; 参考图数=9; 参考视频数=0; 参考音频数=0; 最大素材数=9; 视频音频合计上限=; 素材模式=; 归一化比例=; 参考视频总时长上限秒=0; 最小参考图数=0; 上游模型分组=默认; 原比例=auto; 真人脸=否</x:t>
  </x:si>
  <x:si>
    <x:t xml:space="preserve">MAP-PAIPU-R22-720</x:t>
  </x:si>
  <x:si>
    <x:t xml:space="preserve">原模型=lec-seedance-2-0; 参考图数=9; 参考视频数=0; 参考音频数=0; 最大素材数=9; 视频音频合计上限=; 素材模式=; 归一化比例=; 参考视频总时长上限秒=0; 最小参考图数=0; 上游模型分组=默认; 原比例=auto; 真人脸=是</x:t>
  </x:si>
  <x:si>
    <x:t xml:space="preserve">MAP-PAIPU-R23-720</x:t>
  </x:si>
  <x:si>
    <x:t xml:space="preserve">原模型=lec-seedance-fast-ht-720p; 参考图数=9; 参考视频数=0; 参考音频数=0; 最大素材数=9; 视频音频合计上限=; 素材模式=; 归一化比例=; 参考视频总时长上限秒=0; 最小参考图数=0; 上游模型分组=默认; 原比例=auto; 真人脸=否</x:t>
  </x:si>
  <x:si>
    <x:t xml:space="preserve">MAP-PAIPU-R24-480</x:t>
  </x:si>
  <x:si>
    <x:t xml:space="preserve">原模型=lec-seedance-videos-standard; 参考图数=9; 参考视频数=3; 参考音频数=3; 最大素材数=15; 视频音频合计上限=; 素材模式=; 归一化比例=9:16,16:9,1:1; 参考视频总时长上限秒=15; 最小参考图数=0; 上游模型分组=默认; 原比例=9:16, 16:9, 1:1; 真人脸=是</x:t>
  </x:si>
  <x:si>
    <x:t xml:space="preserve">MAP-PAIPU-R25-720</x:t>
  </x:si>
  <x:si>
    <x:t xml:space="preserve">MAP-PAIPU-R26-1080</x:t>
  </x:si>
  <x:si>
    <x:t xml:space="preserve">MAP-PAIPU-R27-4K</x:t>
  </x:si>
  <x:si>
    <x:t xml:space="preserve">MAP-PAIPU-R28-480</x:t>
  </x:si>
  <x:si>
    <x:t xml:space="preserve">原模型=lec-seedance-videos-fast; 参考图数=9; 参考视频数=3; 参考音频数=3; 最大素材数=15; 视频音频合计上限=; 素材模式=; 归一化比例=9:16,16:9,1:1; 参考视频总时长上限秒=15; 最小参考图数=0; 上游模型分组=默认; 原比例=9:16, 16:9, 1:1; 真人脸=是</x:t>
  </x:si>
  <x:si>
    <x:t xml:space="preserve">MAP-PAIPU-R29-720</x:t>
  </x:si>
  <x:si>
    <x:t xml:space="preserve">MAP-PAIPU-R30-480</x:t>
  </x:si>
  <x:si>
    <x:t xml:space="preserve">原模型=lec-seedance-videos-mini; 参考图数=9; 参考视频数=3; 参考音频数=3; 最大素材数=15; 视频音频合计上限=; 素材模式=; 归一化比例=9:16,16:9,1:1; 参考视频总时长上限秒=15; 最小参考图数=0; 上游模型分组=默认; 原比例=9:16, 16:9, 1:1; 真人脸=是</x:t>
  </x:si>
  <x:si>
    <x:t xml:space="preserve">MAP-PAIPU-R31-720</x:t>
  </x:si>
  <x:si>
    <x:t xml:space="preserve">MAP-PAIPU-R32-480</x:t>
  </x:si>
  <x:si>
    <x:t xml:space="preserve">原模型=lec-seedance-videos-stable; 参考图数=4; 参考视频数=3; 参考音频数=1; 最大素材数=8; 视频音频合计上限=; 素材模式=; 归一化比例=9:16,16:9,1:1; 参考视频总时长上限秒=15; 最小参考图数=0; 上游模型分组=默认; 原比例=9:16, 16:9, 1:1; 真人脸=是</x:t>
  </x:si>
  <x:si>
    <x:t xml:space="preserve">MAP-PAIPU-R33-720</x:t>
  </x:si>
  <x:si>
    <x:t xml:space="preserve">MAP-PAIPU-R34-480</x:t>
  </x:si>
  <x:si>
    <x:t xml:space="preserve">原模型=lec-seedance-videos-stable-fast; 参考图数=4; 参考视频数=3; 参考音频数=1; 最大素材数=8; 视频音频合计上限=; 素材模式=; 归一化比例=9:16,16:9,1:1; 参考视频总时长上限秒=15; 最小参考图数=0; 上游模型分组=默认; 原比例=9:16, 16:9, 1:1; 真人脸=是</x:t>
  </x:si>
  <x:si>
    <x:t xml:space="preserve">MAP-PAIPU-R35-720</x:t>
  </x:si>
  <x:si>
    <x:t xml:space="preserve">MAP-PAIPU-R36-480</x:t>
  </x:si>
  <x:si>
    <x:t xml:space="preserve">原模型=lec-seedance-videos-stable-mini; 参考图数=4; 参考视频数=3; 参考音频数=1; 最大素材数=8; 视频音频合计上限=; 素材模式=; 归一化比例=9:16,16:9,1:1; 参考视频总时长上限秒=15; 最小参考图数=0; 上游模型分组=默认; 原比例=9:16, 16:9, 1:1; 真人脸=是</x:t>
  </x:si>
  <x:si>
    <x:t xml:space="preserve">MAP-PAIPU-R37-720</x:t>
  </x:si>
  <x:si>
    <x:t xml:space="preserve">MAP-PAIPU-R38-720</x:t>
  </x:si>
  <x:si>
    <x:t xml:space="preserve">原模型=lec-fd-seedance-2-0-933-720p; 参考图数=9; 参考视频数=3; 参考音频数=3; 最大素材数=15; 视频音频合计上限=; 素材模式=; 归一化比例=9:16,16:9,1:1; 参考视频总时长上限秒=15; 最小参考图数=0; 上游模型分组=默认; 原比例=9:16, 16:9, 1:1; 真人脸=是</x:t>
  </x:si>
  <x:si>
    <x:t xml:space="preserve">MAP-PAIPU-R39-720</x:t>
  </x:si>
  <x:si>
    <x:t xml:space="preserve">原模型=lec-ac-seedance-933-720p; 参考图数=9; 参考视频数=3; 参考音频数=3; 最大素材数=15; 视频音频合计上限=; 素材模式=; 归一化比例=9:16,16:9,1:1; 参考视频总时长上限秒=15; 最小参考图数=0; 上游模型分组=默认; 原比例=9:16, 16:9, 1:1; 真人脸=是</x:t>
  </x:si>
  <x:si>
    <x:t xml:space="preserve">MAP-PAIPU-R40-720</x:t>
  </x:si>
  <x:si>
    <x:t xml:space="preserve">原模型=lec-ac-seedance-933-fd-720p; 参考图数=9; 参考视频数=3; 参考音频数=3; 最大素材数=15; 视频音频合计上限=; 素材模式=; 归一化比例=9:16,16:9,1:1; 参考视频总时长上限秒=15; 最小参考图数=0; 上游模型分组=默认; 原比例=9:16, 16:9, 1:1; 真人脸=是</x:t>
  </x:si>
  <x:si>
    <x:t xml:space="preserve">MAP-PAIPU-R41-720</x:t>
  </x:si>
  <x:si>
    <x:t xml:space="preserve">原模型=lec-ac-seedance-933-2-720p; 参考图数=9; 参考视频数=3; 参考音频数=3; 最大素材数=15; 视频音频合计上限=; 素材模式=; 归一化比例=9:16,16:9,1:1; 参考视频总时长上限秒=15; 最小参考图数=0; 上游模型分组=默认; 原比例=9:16, 16:9, 1:1; 真人脸=是</x:t>
  </x:si>
  <x:si>
    <x:t xml:space="preserve">MAP-SECURE-R69-720</x:t>
  </x:si>
  <x:si>
    <x:t xml:space="preserve">原模型=video-2.0-pro; 参考图数=9; 参考视频数=0; 参考音频数=3; 最大素材数=12; 视频音频合计上限=; 素材模式=; 归一化比例=16:9,9:16,1:1; 参考视频总时长上限秒=0; 最小参考图数=0; 上游模型分组=video-企业; 原比例=16:9, 9:16, 1:1; 真人脸=是</x:t>
  </x:si>
  <x:si>
    <x:t xml:space="preserve">MAP-SECURE-R70-720</x:t>
  </x:si>
  <x:si>
    <x:t xml:space="preserve">原模型=video-2.0-pro; 参考图数=9; 参考视频数=3; 参考音频数=3; 最大素材数=12; 视频音频合计上限=3; 素材模式=; 归一化比例=16:9,9:16; 参考视频总时长上限秒=15; 最小参考图数=1; 上游模型分组=video-特价; 原比例=16:9, 9:16; 真人脸=是</x:t>
  </x:si>
  <x:si>
    <x:t xml:space="preserve">MAP-SECURE-R71-1080</x:t>
  </x:si>
  <x:si>
    <x:t xml:space="preserve">原模型=video-2.0-pro; 参考图数=9; 参考视频数=3; 参考音频数=3; 最大素材数=12; 视频音频合计上限=3; 素材模式=; 归一化比例=16:9,9:16; 参考视频总时长上限秒=15; 最小参考图数=1; 上游模型分组=video-特价; 原比例=16:9, 9:16; 真人脸=否</x:t>
  </x:si>
  <x:si>
    <x:t xml:space="preserve">MAP-SECURE-R72-4K</x:t>
  </x:si>
  <x:si>
    <x:t xml:space="preserve">MAP-SECURE-R73-720</x:t>
  </x:si>
  <x:si>
    <x:t xml:space="preserve">原模型=video-2.0-fast; 参考图数=9; 参考视频数=3; 参考音频数=3; 最大素材数=12; 视频音频合计上限=3; 素材模式=; 归一化比例=16:9,9:16; 参考视频总时长上限秒=15; 最小参考图数=1; 上游模型分组=video-特价; 原比例=16:9, 9:16; 真人脸=否</x:t>
  </x:si>
  <x:si>
    <x:t xml:space="preserve">MAP-SECURE-R74-720</x:t>
  </x:si>
  <x:si>
    <x:t xml:space="preserve">原模型=video-2.0-mini; 参考图数=9; 参考视频数=3; 参考音频数=3; 最大素材数=12; 视频音频合计上限=3; 素材模式=; 归一化比例=16:9,9:16; 参考视频总时长上限秒=15; 最小参考图数=1; 上游模型分组=video-特价; 原比例=16:9, 9:16; 真人脸=否</x:t>
  </x:si>
  <x:si>
    <x:t xml:space="preserve">MAP-SECURE-R75-720</x:t>
  </x:si>
  <x:si>
    <x:t xml:space="preserve">原模型=video-2.0-pro; 参考图数=9; 参考视频数=3; 参考音频数=3; 最大素材数=12; 视频音频合计上限=; 素材模式=first_last_frames,omni_reference; 归一化比例=1:1,4:3,3:4,16:9,9:16,21:9; 参考视频总时长上限秒=15; 最小参考图数=0; 上游模型分组=video-海外; 原比例=auto; 真人脸=是</x:t>
  </x:si>
  <x:si>
    <x:t xml:space="preserve">MAP-SECURE-R76-1080</x:t>
  </x:si>
  <x:si>
    <x:t xml:space="preserve">MAP-SECURE-R77-720</x:t>
  </x:si>
  <x:si>
    <x:t xml:space="preserve">原模型=video-2.0-fast; 参考图数=9; 参考视频数=3; 参考音频数=3; 最大素材数=12; 视频音频合计上限=; 素材模式=first_last_frames,omni_reference; 归一化比例=1:1,4:3,3:4,16:9,9:16,21:9; 参考视频总时长上限秒=15; 最小参考图数=0; 上游模型分组=video-海外; 原比例=auto; 真人脸=是</x:t>
  </x:si>
  <x:si>
    <x:t xml:space="preserve">MAP-SECURE-R78-720</x:t>
  </x:si>
  <x:si>
    <x:t xml:space="preserve">原模型=video-2.0-mini; 参考图数=9; 参考视频数=3; 参考音频数=3; 最大素材数=12; 视频音频合计上限=; 素材模式=first_last_frames,omni_reference; 归一化比例=1:1,4:3,3:4,16:9,9:16,21:9; 参考视频总时长上限秒=15; 最小参考图数=0; 上游模型分组=video-海外; 原比例=auto; 真人脸=是</x:t>
  </x:si>
  <x:si>
    <x:t xml:space="preserve">黄色列为场景输入；蓝色列根据官方售价和渠道成本规则自动计算。该页用于配置审核，不回写历史利润。</x:t>
  </x:si>
  <x:si>
    <x:t xml:space="preserve">官方售价ID</x:t>
  </x:si>
  <x:si>
    <x:t xml:space="preserve">分组倍率</x:t>
  </x:si>
  <x:si>
    <x:t xml:space="preserve">输入视频秒</x:t>
  </x:si>
  <x:si>
    <x:t xml:space="preserve">输出视频秒</x:t>
  </x:si>
  <x:si>
    <x:t xml:space="preserve">估算Token</x:t>
  </x:si>
  <x:si>
    <x:t xml:space="preserve">官方售价USD</x:t>
  </x:si>
  <x:si>
    <x:t xml:space="preserve">渠道成本USD</x:t>
  </x:si>
  <x:si>
    <x:t xml:space="preserve">用户收入USD</x:t>
  </x:si>
  <x:si>
    <x:t xml:space="preserve">毛利润USD</x:t>
  </x:si>
  <x:si>
    <x:t xml:space="preserve">毛利率</x:t>
  </x:si>
  <x:si>
    <x:t xml:space="preserve">成本状态</x:t>
  </x:si>
  <x:si>
    <x:t xml:space="preserve">PROFIT-COST-4STOKEN-R128-480-DUR-NOV</x:t>
  </x:si>
  <x:si>
    <x:t xml:space="preserve">利润为配置预览，不是结算账本。</x:t>
  </x:si>
  <x:si>
    <x:t xml:space="preserve">PROFIT-COST-4STOKEN-R128-480-DUR-VID</x:t>
  </x:si>
  <x:si>
    <x:t xml:space="preserve">PROFIT-COST-4STOKEN-R129-720-DUR-NOV</x:t>
  </x:si>
  <x:si>
    <x:t xml:space="preserve">PROFIT-COST-4STOKEN-R129-720-DUR-VID</x:t>
  </x:si>
  <x:si>
    <x:t xml:space="preserve">PROFIT-COST-4STOKEN-R130-480-REQ-NOV</x:t>
  </x:si>
  <x:si>
    <x:t xml:space="preserve">PROFIT-COST-4STOKEN-R130-480-REQ-VID</x:t>
  </x:si>
  <x:si>
    <x:t xml:space="preserve">PROFIT-COST-4STOKEN-R131-720-REQ-NOV</x:t>
  </x:si>
  <x:si>
    <x:t xml:space="preserve">PROFIT-COST-4STOKEN-R131-720-REQ-VID</x:t>
  </x:si>
  <x:si>
    <x:t xml:space="preserve">PROFIT-COST-4STOKEN-R132-480-REQ-NOV</x:t>
  </x:si>
  <x:si>
    <x:t xml:space="preserve">PROFIT-COST-4STOKEN-R132-480-REQ-VID</x:t>
  </x:si>
  <x:si>
    <x:t xml:space="preserve">PROFIT-COST-4STOKEN-R133-720-REQ-NOV</x:t>
  </x:si>
  <x:si>
    <x:t xml:space="preserve">PROFIT-COST-4STOKEN-R133-720-REQ-VID</x:t>
  </x:si>
  <x:si>
    <x:t xml:space="preserve">PROFIT-COST-4STOKEN-R134-480-DUR-NOV</x:t>
  </x:si>
  <x:si>
    <x:t xml:space="preserve">PROFIT-COST-4STOKEN-R134-480-DUR-VID</x:t>
  </x:si>
  <x:si>
    <x:t xml:space="preserve">PROFIT-COST-4STOKEN-R135-720-DUR-NOV</x:t>
  </x:si>
  <x:si>
    <x:t xml:space="preserve">PROFIT-COST-4STOKEN-R135-720-DUR-VID</x:t>
  </x:si>
  <x:si>
    <x:t xml:space="preserve">PROFIT-COST-4STOKEN-R136-480-REQ-NOV</x:t>
  </x:si>
  <x:si>
    <x:t xml:space="preserve">PROFIT-COST-4STOKEN-R136-480-REQ-VID</x:t>
  </x:si>
  <x:si>
    <x:t xml:space="preserve">PROFIT-COST-4STOKEN-R137-720-REQ-NOV</x:t>
  </x:si>
  <x:si>
    <x:t xml:space="preserve">PROFIT-COST-4STOKEN-R137-720-REQ-VID</x:t>
  </x:si>
  <x:si>
    <x:t xml:space="preserve">PROFIT-COST-4STOKEN-R138-480-REQ-NOV</x:t>
  </x:si>
  <x:si>
    <x:t xml:space="preserve">PROFIT-COST-4STOKEN-R138-480-REQ-VID</x:t>
  </x:si>
  <x:si>
    <x:t xml:space="preserve">PROFIT-COST-4STOKEN-R139-720-REQ-NOV</x:t>
  </x:si>
  <x:si>
    <x:t xml:space="preserve">PROFIT-COST-4STOKEN-R139-720-REQ-VID</x:t>
  </x:si>
  <x:si>
    <x:t xml:space="preserve">PROFIT-COST-4STOKEN-R140-720-DUR-NOV</x:t>
  </x:si>
  <x:si>
    <x:t xml:space="preserve">PROFIT-COST-4STOKEN-R140-720-DUR-VID</x:t>
  </x:si>
  <x:si>
    <x:t xml:space="preserve">PROFIT-COST-4STOKEN-R141-480-REQ-NOV</x:t>
  </x:si>
  <x:si>
    <x:t xml:space="preserve">PROFIT-COST-4STOKEN-R141-480-REQ-VID</x:t>
  </x:si>
  <x:si>
    <x:t xml:space="preserve">PROFIT-COST-4STOKEN-R142-720-REQ-NOV</x:t>
  </x:si>
  <x:si>
    <x:t xml:space="preserve">PROFIT-COST-4STOKEN-R142-720-REQ-VID</x:t>
  </x:si>
  <x:si>
    <x:t xml:space="preserve">PROFIT-COST-4STOKEN-R143-480-DUR-NOV</x:t>
  </x:si>
  <x:si>
    <x:t xml:space="preserve">PROFIT-COST-4STOKEN-R143-480-DUR-VID</x:t>
  </x:si>
  <x:si>
    <x:t xml:space="preserve">PROFIT-COST-4STOKEN-R144-720-DUR-NOV</x:t>
  </x:si>
  <x:si>
    <x:t xml:space="preserve">PROFIT-COST-4STOKEN-R144-720-DUR-VID</x:t>
  </x:si>
  <x:si>
    <x:t xml:space="preserve">PROFIT-COST-4STOKEN-R145-720-DUR-NOV</x:t>
  </x:si>
  <x:si>
    <x:t xml:space="preserve">PROFIT-COST-4STOKEN-R145-720-DUR-VID</x:t>
  </x:si>
  <x:si>
    <x:t xml:space="preserve">PROFIT-COST-4STOKEN-R146-480-REQ-NOV</x:t>
  </x:si>
  <x:si>
    <x:t xml:space="preserve">PROFIT-COST-4STOKEN-R146-480-REQ-VID</x:t>
  </x:si>
  <x:si>
    <x:t xml:space="preserve">PROFIT-COST-4STOKEN-R147-720-REQ-NOV</x:t>
  </x:si>
  <x:si>
    <x:t xml:space="preserve">PROFIT-COST-4STOKEN-R147-720-REQ-VID</x:t>
  </x:si>
  <x:si>
    <x:t xml:space="preserve">PROFIT-COST-4STOKEN-R148-720-REQ-NOV</x:t>
  </x:si>
  <x:si>
    <x:t xml:space="preserve">PROFIT-COST-4STOKEN-R148-720-REQ-VID</x:t>
  </x:si>
  <x:si>
    <x:t xml:space="preserve">PROFIT-COST-4STOKEN-R149-480-REQ-NOV</x:t>
  </x:si>
  <x:si>
    <x:t xml:space="preserve">PROFIT-COST-4STOKEN-R149-480-REQ-VID</x:t>
  </x:si>
  <x:si>
    <x:t xml:space="preserve">PROFIT-COST-4STOKEN-R150-720-REQ-NOV</x:t>
  </x:si>
  <x:si>
    <x:t xml:space="preserve">PROFIT-COST-4STOKEN-R150-720-REQ-VID</x:t>
  </x:si>
  <x:si>
    <x:t xml:space="preserve">PROFIT-COST-4STOKEN-R151-1080-REQ-NOV</x:t>
  </x:si>
  <x:si>
    <x:t xml:space="preserve">PROFIT-COST-4STOKEN-R151-1080-REQ-VID</x:t>
  </x:si>
  <x:si>
    <x:t xml:space="preserve">PROFIT-COST-4STOKEN-R152-4K-REQ-NOV</x:t>
  </x:si>
  <x:si>
    <x:t xml:space="preserve">PROFIT-COST-4STOKEN-R152-4K-REQ-VID</x:t>
  </x:si>
  <x:si>
    <x:t xml:space="preserve">PROFIT-COST-4STOKEN-R153-720-REQ-NOV</x:t>
  </x:si>
  <x:si>
    <x:t xml:space="preserve">PROFIT-COST-4STOKEN-R153-720-REQ-VID</x:t>
  </x:si>
  <x:si>
    <x:t xml:space="preserve">PROFIT-COST-8YES-R56-480-DUR-NOV</x:t>
  </x:si>
  <x:si>
    <x:t xml:space="preserve">PROFIT-COST-8YES-R56-480-DUR-VID</x:t>
  </x:si>
  <x:si>
    <x:t xml:space="preserve">PROFIT-COST-8YES-R57-720-DUR-NOV</x:t>
  </x:si>
  <x:si>
    <x:t xml:space="preserve">PROFIT-COST-8YES-R57-720-DUR-VID</x:t>
  </x:si>
  <x:si>
    <x:t xml:space="preserve">PROFIT-COST-8YES-R58-480-DUR-NOV</x:t>
  </x:si>
  <x:si>
    <x:t xml:space="preserve">PROFIT-COST-8YES-R58-480-DUR-VID</x:t>
  </x:si>
  <x:si>
    <x:t xml:space="preserve">PROFIT-COST-8YES-R59-720-DUR-NOV</x:t>
  </x:si>
  <x:si>
    <x:t xml:space="preserve">PROFIT-COST-8YES-R59-720-DUR-VID</x:t>
  </x:si>
  <x:si>
    <x:t xml:space="preserve">PROFIT-COST-8YES-R60-480-DUR-NOV</x:t>
  </x:si>
  <x:si>
    <x:t xml:space="preserve">PROFIT-COST-8YES-R60-480-DUR-VID</x:t>
  </x:si>
  <x:si>
    <x:t xml:space="preserve">PROFIT-COST-8YES-R61-720-DUR-NOV</x:t>
  </x:si>
  <x:si>
    <x:t xml:space="preserve">PROFIT-COST-8YES-R61-720-DUR-VID</x:t>
  </x:si>
  <x:si>
    <x:t xml:space="preserve">PROFIT-COST-8YES-R62-480-REQ-NOV</x:t>
  </x:si>
  <x:si>
    <x:t xml:space="preserve">PROFIT-COST-8YES-R62-480-REQ-VID</x:t>
  </x:si>
  <x:si>
    <x:t xml:space="preserve">PROFIT-COST-8YES-R63-720-REQ-NOV</x:t>
  </x:si>
  <x:si>
    <x:t xml:space="preserve">PROFIT-COST-8YES-R63-720-REQ-VID</x:t>
  </x:si>
  <x:si>
    <x:t xml:space="preserve">PROFIT-COST-8YES-R64-720-REQ-NOV</x:t>
  </x:si>
  <x:si>
    <x:t xml:space="preserve">PROFIT-COST-8YES-R64-720-REQ-VID</x:t>
  </x:si>
  <x:si>
    <x:t xml:space="preserve">PROFIT-COST-8YES-R65-720-REQ-NOV</x:t>
  </x:si>
  <x:si>
    <x:t xml:space="preserve">PROFIT-COST-8YES-R65-720-REQ-VID</x:t>
  </x:si>
  <x:si>
    <x:t xml:space="preserve">PROFIT-COST-8YES-R66-480-REQ-NOV</x:t>
  </x:si>
  <x:si>
    <x:t xml:space="preserve">PROFIT-COST-8YES-R66-480-REQ-VID</x:t>
  </x:si>
  <x:si>
    <x:t xml:space="preserve">PROFIT-COST-8YES-R67-720-REQ-NOV</x:t>
  </x:si>
  <x:si>
    <x:t xml:space="preserve">PROFIT-COST-8YES-R67-720-REQ-VID</x:t>
  </x:si>
  <x:si>
    <x:t xml:space="preserve">PROFIT-COST-CANGYUANSUANLI-R80-480-REQ-NOV</x:t>
  </x:si>
  <x:si>
    <x:t xml:space="preserve">PROFIT-COST-CANGYUANSUANLI-R80-480-REQ-VID</x:t>
  </x:si>
  <x:si>
    <x:t xml:space="preserve">PROFIT-COST-CANGYUANSUANLI-R81-720-REQ-NOV</x:t>
  </x:si>
  <x:si>
    <x:t xml:space="preserve">PROFIT-COST-CANGYUANSUANLI-R81-720-REQ-VID</x:t>
  </x:si>
  <x:si>
    <x:t xml:space="preserve">PROFIT-COST-CANGYUANSUANLI-R82-480-DUR-NOV</x:t>
  </x:si>
  <x:si>
    <x:t xml:space="preserve">PROFIT-COST-CANGYUANSUANLI-R82-480-DUR-VID</x:t>
  </x:si>
  <x:si>
    <x:t xml:space="preserve">PROFIT-COST-CANGYUANSUANLI-R83-720-DUR-NOV</x:t>
  </x:si>
  <x:si>
    <x:t xml:space="preserve">PROFIT-COST-CANGYUANSUANLI-R83-720-DUR-VID</x:t>
  </x:si>
  <x:si>
    <x:t xml:space="preserve">PROFIT-COST-CANGYUANSUANLI-R84-480-REQ-NOV</x:t>
  </x:si>
  <x:si>
    <x:t xml:space="preserve">PROFIT-COST-CANGYUANSUANLI-R84-480-REQ-VID</x:t>
  </x:si>
  <x:si>
    <x:t xml:space="preserve">PROFIT-COST-CANGYUANSUANLI-R85-720-REQ-NOV</x:t>
  </x:si>
  <x:si>
    <x:t xml:space="preserve">PROFIT-COST-CANGYUANSUANLI-R85-720-REQ-VID</x:t>
  </x:si>
  <x:si>
    <x:t xml:space="preserve">PROFIT-COST-CANGYUANSUANLI-R86-480-REQ-NOV</x:t>
  </x:si>
  <x:si>
    <x:t xml:space="preserve">PROFIT-COST-CANGYUANSUANLI-R86-480-REQ-VID</x:t>
  </x:si>
  <x:si>
    <x:t xml:space="preserve">PROFIT-COST-CANGYUANSUANLI-R87-720-REQ-NOV</x:t>
  </x:si>
  <x:si>
    <x:t xml:space="preserve">PROFIT-COST-CANGYUANSUANLI-R87-720-REQ-VID</x:t>
  </x:si>
  <x:si>
    <x:t xml:space="preserve">PROFIT-COST-CANGYUANSUANLI-R88-480-DUR-NOV</x:t>
  </x:si>
  <x:si>
    <x:t xml:space="preserve">PROFIT-COST-CANGYUANSUANLI-R88-480-DUR-VID</x:t>
  </x:si>
  <x:si>
    <x:t xml:space="preserve">PROFIT-COST-CANGYUANSUANLI-R89-720-DUR-NOV</x:t>
  </x:si>
  <x:si>
    <x:t xml:space="preserve">PROFIT-COST-CANGYUANSUANLI-R89-720-DUR-VID</x:t>
  </x:si>
  <x:si>
    <x:t xml:space="preserve">PROFIT-COST-CANGYUANSUANLI-R90-480-DUR-NOV</x:t>
  </x:si>
  <x:si>
    <x:t xml:space="preserve">PROFIT-COST-CANGYUANSUANLI-R90-480-DUR-VID</x:t>
  </x:si>
  <x:si>
    <x:t xml:space="preserve">PROFIT-COST-CANGYUANSUANLI-R91-720-DUR-NOV</x:t>
  </x:si>
  <x:si>
    <x:t xml:space="preserve">PROFIT-COST-CANGYUANSUANLI-R91-720-DUR-VID</x:t>
  </x:si>
  <x:si>
    <x:t xml:space="preserve">PROFIT-COST-CLMM-R10-480-REQ-NOV</x:t>
  </x:si>
  <x:si>
    <x:t xml:space="preserve">PROFIT-COST-CLMM-R10-480-REQ-VID</x:t>
  </x:si>
  <x:si>
    <x:t xml:space="preserve">PROFIT-COST-CLMM-R11-480-REQ-NOV</x:t>
  </x:si>
  <x:si>
    <x:t xml:space="preserve">PROFIT-COST-CLMM-R11-480-REQ-VID</x:t>
  </x:si>
  <x:si>
    <x:t xml:space="preserve">PROFIT-COST-CLMM-R12-720-REQ-NOV</x:t>
  </x:si>
  <x:si>
    <x:t xml:space="preserve">PROFIT-COST-CLMM-R12-720-REQ-VID</x:t>
  </x:si>
  <x:si>
    <x:t xml:space="preserve">PROFIT-COST-CLMM-R13-720-REQ-NOV</x:t>
  </x:si>
  <x:si>
    <x:t xml:space="preserve">PROFIT-COST-CLMM-R13-720-REQ-VID</x:t>
  </x:si>
  <x:si>
    <x:t xml:space="preserve">PROFIT-COST-CLMM-R14-720-REQ-NOV</x:t>
  </x:si>
  <x:si>
    <x:t xml:space="preserve">PROFIT-COST-CLMM-R14-720-REQ-VID</x:t>
  </x:si>
  <x:si>
    <x:t xml:space="preserve">PROFIT-COST-CLMM-R15-720-REQ-NOV</x:t>
  </x:si>
  <x:si>
    <x:t xml:space="preserve">PROFIT-COST-CLMM-R15-720-REQ-VID</x:t>
  </x:si>
  <x:si>
    <x:t xml:space="preserve">PROFIT-COST-CLMM-R16-480-DUR-NOV</x:t>
  </x:si>
  <x:si>
    <x:t xml:space="preserve">PROFIT-COST-CLMM-R16-480-DUR-VID</x:t>
  </x:si>
  <x:si>
    <x:t xml:space="preserve">PROFIT-COST-CLMM-R17-480-DUR-NOV</x:t>
  </x:si>
  <x:si>
    <x:t xml:space="preserve">PROFIT-COST-CLMM-R17-480-DUR-VID</x:t>
  </x:si>
  <x:si>
    <x:t xml:space="preserve">PROFIT-COST-CLMM-R18-720-DUR-NOV</x:t>
  </x:si>
  <x:si>
    <x:t xml:space="preserve">PROFIT-COST-CLMM-R18-720-DUR-VID</x:t>
  </x:si>
  <x:si>
    <x:t xml:space="preserve">PROFIT-COST-CLMM-R19-720-DUR-NOV</x:t>
  </x:si>
  <x:si>
    <x:t xml:space="preserve">PROFIT-COST-CLMM-R19-720-DUR-VID</x:t>
  </x:si>
  <x:si>
    <x:t xml:space="preserve">PROFIT-COST-CLMM-R20-720-DUR-NOV</x:t>
  </x:si>
  <x:si>
    <x:t xml:space="preserve">PROFIT-COST-CLMM-R20-720-DUR-VID</x:t>
  </x:si>
  <x:si>
    <x:t xml:space="preserve">PROFIT-COST-CLMM-R3-720-DUR-NOV</x:t>
  </x:si>
  <x:si>
    <x:t xml:space="preserve">PROFIT-COST-CLMM-R3-720-DUR-VID</x:t>
  </x:si>
  <x:si>
    <x:t xml:space="preserve">PROFIT-COST-CLMM-R4-480-DUR-NOV</x:t>
  </x:si>
  <x:si>
    <x:t xml:space="preserve">PROFIT-COST-CLMM-R4-480-DUR-VID</x:t>
  </x:si>
  <x:si>
    <x:t xml:space="preserve">PROFIT-COST-CLMM-R5-480-DUR-NOV</x:t>
  </x:si>
  <x:si>
    <x:t xml:space="preserve">PROFIT-COST-CLMM-R5-480-DUR-VID</x:t>
  </x:si>
  <x:si>
    <x:t xml:space="preserve">PROFIT-COST-CLMM-R6-480-DUR-NOV</x:t>
  </x:si>
  <x:si>
    <x:t xml:space="preserve">PROFIT-COST-CLMM-R6-480-DUR-VID</x:t>
  </x:si>
  <x:si>
    <x:t xml:space="preserve">PROFIT-COST-CLMM-R7-720-DUR-NOV</x:t>
  </x:si>
  <x:si>
    <x:t xml:space="preserve">PROFIT-COST-CLMM-R7-720-DUR-VID</x:t>
  </x:si>
  <x:si>
    <x:t xml:space="preserve">PROFIT-COST-CLMM-R8-720-DUR-NOV</x:t>
  </x:si>
  <x:si>
    <x:t xml:space="preserve">PROFIT-COST-CLMM-R8-720-DUR-VID</x:t>
  </x:si>
  <x:si>
    <x:t xml:space="preserve">PROFIT-COST-CLMM-R9-720-DUR-NOV</x:t>
  </x:si>
  <x:si>
    <x:t xml:space="preserve">PROFIT-COST-CLMM-R9-720-DUR-VID</x:t>
  </x:si>
  <x:si>
    <x:t xml:space="preserve">PROFIT-COST-DIMENSIO-R100-720-DUR-NOV</x:t>
  </x:si>
  <x:si>
    <x:t xml:space="preserve">PROFIT-COST-DIMENSIO-R100-720-DUR-VID</x:t>
  </x:si>
  <x:si>
    <x:t xml:space="preserve">PROFIT-COST-DIMENSIO-R101-480-DUR-NOV</x:t>
  </x:si>
  <x:si>
    <x:t xml:space="preserve">PROFIT-COST-DIMENSIO-R101-480-DUR-VID</x:t>
  </x:si>
  <x:si>
    <x:t xml:space="preserve">PROFIT-COST-DIMENSIO-R102-720-DUR-NOV</x:t>
  </x:si>
  <x:si>
    <x:t xml:space="preserve">PROFIT-COST-DIMENSIO-R102-720-DUR-VID</x:t>
  </x:si>
  <x:si>
    <x:t xml:space="preserve">PROFIT-COST-DIMENSIO-R103-1080-DUR-NOV</x:t>
  </x:si>
  <x:si>
    <x:t xml:space="preserve">PROFIT-COST-DIMENSIO-R103-1080-DUR-VID</x:t>
  </x:si>
  <x:si>
    <x:t xml:space="preserve">PROFIT-COST-DIMENSIO-R104-4K-DUR-NOV</x:t>
  </x:si>
  <x:si>
    <x:t xml:space="preserve">PROFIT-COST-DIMENSIO-R104-4K-DUR-VID</x:t>
  </x:si>
  <x:si>
    <x:t xml:space="preserve">PROFIT-COST-DIMENSIO-R93-720-DUR-NOV</x:t>
  </x:si>
  <x:si>
    <x:t xml:space="preserve">PROFIT-COST-DIMENSIO-R93-720-DUR-VID</x:t>
  </x:si>
  <x:si>
    <x:t xml:space="preserve">PROFIT-COST-DIMENSIO-R94-720-DUR-NOV</x:t>
  </x:si>
  <x:si>
    <x:t xml:space="preserve">PROFIT-COST-DIMENSIO-R94-720-DUR-VID</x:t>
  </x:si>
  <x:si>
    <x:t xml:space="preserve">PROFIT-COST-DIMENSIO-R95-720-DUR-NOV</x:t>
  </x:si>
  <x:si>
    <x:t xml:space="preserve">PROFIT-COST-DIMENSIO-R95-720-DUR-VID</x:t>
  </x:si>
  <x:si>
    <x:t xml:space="preserve">PROFIT-COST-DIMENSIO-R96-1080-DUR-NOV</x:t>
  </x:si>
  <x:si>
    <x:t xml:space="preserve">PROFIT-COST-DIMENSIO-R96-1080-DUR-VID</x:t>
  </x:si>
  <x:si>
    <x:t xml:space="preserve">PROFIT-COST-DIMENSIO-R97-480-DUR-NOV</x:t>
  </x:si>
  <x:si>
    <x:t xml:space="preserve">PROFIT-COST-DIMENSIO-R97-480-DUR-VID</x:t>
  </x:si>
  <x:si>
    <x:t xml:space="preserve">PROFIT-COST-DIMENSIO-R98-720-DUR-NOV</x:t>
  </x:si>
  <x:si>
    <x:t xml:space="preserve">PROFIT-COST-DIMENSIO-R98-720-DUR-VID</x:t>
  </x:si>
  <x:si>
    <x:t xml:space="preserve">PROFIT-COST-DIMENSIO-R99-480-DUR-NOV</x:t>
  </x:si>
  <x:si>
    <x:t xml:space="preserve">PROFIT-COST-DIMENSIO-R99-480-DUR-VID</x:t>
  </x:si>
  <x:si>
    <x:t xml:space="preserve">PROFIT-COST-LUCEN-R43-720-DUR-NOV</x:t>
  </x:si>
  <x:si>
    <x:t xml:space="preserve">PROFIT-COST-LUCEN-R43-720-DUR-VID</x:t>
  </x:si>
  <x:si>
    <x:t xml:space="preserve">PROFIT-COST-LUCEN-R44-720-DUR-NOV</x:t>
  </x:si>
  <x:si>
    <x:t xml:space="preserve">PROFIT-COST-LUCEN-R44-720-DUR-VID</x:t>
  </x:si>
  <x:si>
    <x:t xml:space="preserve">PROFIT-COST-LUCEN-R45-720-DUR-NOV</x:t>
  </x:si>
  <x:si>
    <x:t xml:space="preserve">PROFIT-COST-LUCEN-R45-720-DUR-VID</x:t>
  </x:si>
  <x:si>
    <x:t xml:space="preserve">PROFIT-COST-LUCEN-R46-480-DUR-NOV</x:t>
  </x:si>
  <x:si>
    <x:t xml:space="preserve">PROFIT-COST-LUCEN-R46-480-DUR-VID</x:t>
  </x:si>
  <x:si>
    <x:t xml:space="preserve">PROFIT-COST-LUCEN-R47-480-DUR-NOV</x:t>
  </x:si>
  <x:si>
    <x:t xml:space="preserve">PROFIT-COST-LUCEN-R47-480-DUR-VID</x:t>
  </x:si>
  <x:si>
    <x:t xml:space="preserve">PROFIT-COST-LUCEN-R48-480-DUR-NOV</x:t>
  </x:si>
  <x:si>
    <x:t xml:space="preserve">PROFIT-COST-LUCEN-R48-480-DUR-VID</x:t>
  </x:si>
  <x:si>
    <x:t xml:space="preserve">PROFIT-COST-LUCEN-R49-1080-DUR-NOV</x:t>
  </x:si>
  <x:si>
    <x:t xml:space="preserve">PROFIT-COST-LUCEN-R49-1080-DUR-VID</x:t>
  </x:si>
  <x:si>
    <x:t xml:space="preserve">PROFIT-COST-LUCEN-R50-1080-DUR-NOV</x:t>
  </x:si>
  <x:si>
    <x:t xml:space="preserve">PROFIT-COST-LUCEN-R50-1080-DUR-VID</x:t>
  </x:si>
  <x:si>
    <x:t xml:space="preserve">PROFIT-COST-LUCEN-R51-1080-DUR-NOV</x:t>
  </x:si>
  <x:si>
    <x:t xml:space="preserve">PROFIT-COST-LUCEN-R51-1080-DUR-VID</x:t>
  </x:si>
  <x:si>
    <x:t xml:space="preserve">PROFIT-COST-LUCEN-R52-480-TOK-NOV</x:t>
  </x:si>
  <x:si>
    <x:t xml:space="preserve">PROFIT-COST-LUCEN-R52-480-TOK-VID</x:t>
  </x:si>
  <x:si>
    <x:t xml:space="preserve">PROFIT-COST-LUCEN-R53-720-TOK-NOV</x:t>
  </x:si>
  <x:si>
    <x:t xml:space="preserve">PROFIT-COST-LUCEN-R53-720-TOK-VID</x:t>
  </x:si>
  <x:si>
    <x:t xml:space="preserve">PROFIT-COST-LUCEN-R54-1080-TOK-NOV</x:t>
  </x:si>
  <x:si>
    <x:t xml:space="preserve">PROFIT-COST-LUCEN-R54-1080-TOK-VID</x:t>
  </x:si>
  <x:si>
    <x:t xml:space="preserve">PROFIT-COST-MEGABYAI-R106-480-REQ-NOV</x:t>
  </x:si>
  <x:si>
    <x:t xml:space="preserve">PROFIT-COST-MEGABYAI-R106-480-REQ-VID</x:t>
  </x:si>
  <x:si>
    <x:t xml:space="preserve">PROFIT-COST-MEGABYAI-R107-720-REQ-NOV</x:t>
  </x:si>
  <x:si>
    <x:t xml:space="preserve">PROFIT-COST-MEGABYAI-R107-720-REQ-VID</x:t>
  </x:si>
  <x:si>
    <x:t xml:space="preserve">PROFIT-COST-MEGABYAI-R108-1080-DUR-NOV</x:t>
  </x:si>
  <x:si>
    <x:t xml:space="preserve">PROFIT-COST-MEGABYAI-R108-1080-DUR-VID</x:t>
  </x:si>
  <x:si>
    <x:t xml:space="preserve">PROFIT-COST-MEGABYAI-R109-4K-DUR-NOV</x:t>
  </x:si>
  <x:si>
    <x:t xml:space="preserve">PROFIT-COST-MEGABYAI-R109-4K-DUR-VID</x:t>
  </x:si>
  <x:si>
    <x:t xml:space="preserve">PROFIT-COST-MEGABYAI-R110-480-REQ-NOV</x:t>
  </x:si>
  <x:si>
    <x:t xml:space="preserve">PROFIT-COST-MEGABYAI-R110-480-REQ-VID</x:t>
  </x:si>
  <x:si>
    <x:t xml:space="preserve">PROFIT-COST-MEGABYAI-R111-720-REQ-NOV</x:t>
  </x:si>
  <x:si>
    <x:t xml:space="preserve">PROFIT-COST-MEGABYAI-R111-720-REQ-VID</x:t>
  </x:si>
  <x:si>
    <x:t xml:space="preserve">PROFIT-COST-MEGABYAI-R112-1080-DUR-NOV</x:t>
  </x:si>
  <x:si>
    <x:t xml:space="preserve">PROFIT-COST-MEGABYAI-R112-1080-DUR-VID</x:t>
  </x:si>
  <x:si>
    <x:t xml:space="preserve">PROFIT-COST-MEGABYAI-R113-4K-DUR-NOV</x:t>
  </x:si>
  <x:si>
    <x:t xml:space="preserve">PROFIT-COST-MEGABYAI-R113-4K-DUR-VID</x:t>
  </x:si>
  <x:si>
    <x:t xml:space="preserve">PROFIT-COST-MEGABYAI-R114-480-REQ-NOV</x:t>
  </x:si>
  <x:si>
    <x:t xml:space="preserve">PROFIT-COST-MEGABYAI-R114-480-REQ-VID</x:t>
  </x:si>
  <x:si>
    <x:t xml:space="preserve">PROFIT-COST-MEGABYAI-R115-720-REQ-NOV</x:t>
  </x:si>
  <x:si>
    <x:t xml:space="preserve">PROFIT-COST-MEGABYAI-R115-720-REQ-VID</x:t>
  </x:si>
  <x:si>
    <x:t xml:space="preserve">PROFIT-COST-MEGABYAI-R116-480-REQ-NOV</x:t>
  </x:si>
  <x:si>
    <x:t xml:space="preserve">PROFIT-COST-MEGABYAI-R116-480-REQ-VID</x:t>
  </x:si>
  <x:si>
    <x:t xml:space="preserve">PROFIT-COST-MEGABYAI-R117-720-REQ-NOV</x:t>
  </x:si>
  <x:si>
    <x:t xml:space="preserve">PROFIT-COST-MEGABYAI-R117-720-REQ-VID</x:t>
  </x:si>
  <x:si>
    <x:t xml:space="preserve">PROFIT-COST-MEGABYAI-R118-480-REQ-NOV</x:t>
  </x:si>
  <x:si>
    <x:t xml:space="preserve">PROFIT-COST-MEGABYAI-R118-480-REQ-VID</x:t>
  </x:si>
  <x:si>
    <x:t xml:space="preserve">PROFIT-COST-MEGABYAI-R119-720-REQ-NOV</x:t>
  </x:si>
  <x:si>
    <x:t xml:space="preserve">PROFIT-COST-MEGABYAI-R119-720-REQ-VID</x:t>
  </x:si>
  <x:si>
    <x:t xml:space="preserve">PROFIT-COST-MEGABYAI-R120-720-DUR-NOV</x:t>
  </x:si>
  <x:si>
    <x:t xml:space="preserve">PROFIT-COST-MEGABYAI-R120-720-DUR-VID</x:t>
  </x:si>
  <x:si>
    <x:t xml:space="preserve">PROFIT-COST-MEGABYAI-R121-480-DUR-NOV</x:t>
  </x:si>
  <x:si>
    <x:t xml:space="preserve">PROFIT-COST-MEGABYAI-R121-480-DUR-VID</x:t>
  </x:si>
  <x:si>
    <x:t xml:space="preserve">PROFIT-COST-MEGABYAI-R122-720-DUR-NOV</x:t>
  </x:si>
  <x:si>
    <x:t xml:space="preserve">PROFIT-COST-MEGABYAI-R122-720-DUR-VID</x:t>
  </x:si>
  <x:si>
    <x:t xml:space="preserve">PROFIT-COST-MEGABYAI-R123-480-DUR-NOV</x:t>
  </x:si>
  <x:si>
    <x:t xml:space="preserve">PROFIT-COST-MEGABYAI-R123-480-DUR-VID</x:t>
  </x:si>
  <x:si>
    <x:t xml:space="preserve">PROFIT-COST-MEGABYAI-R124-720-DUR-NOV</x:t>
  </x:si>
  <x:si>
    <x:t xml:space="preserve">PROFIT-COST-MEGABYAI-R124-720-DUR-VID</x:t>
  </x:si>
  <x:si>
    <x:t xml:space="preserve">PROFIT-COST-MEGABYAI-R125-480-DUR-NOV</x:t>
  </x:si>
  <x:si>
    <x:t xml:space="preserve">PROFIT-COST-MEGABYAI-R125-480-DUR-VID</x:t>
  </x:si>
  <x:si>
    <x:t xml:space="preserve">PROFIT-COST-MEGABYAI-R126-720-DUR-NOV</x:t>
  </x:si>
  <x:si>
    <x:t xml:space="preserve">PROFIT-COST-MEGABYAI-R126-720-DUR-VID</x:t>
  </x:si>
  <x:si>
    <x:t xml:space="preserve">PROFIT-COST-OMEGAAI-R155-720-REQ-NOV</x:t>
  </x:si>
  <x:si>
    <x:t xml:space="preserve">PROFIT-COST-OMEGAAI-R155-720-REQ-VID</x:t>
  </x:si>
  <x:si>
    <x:t xml:space="preserve">PROFIT-COST-OMEGAAI-R156-720-DUR-NOV</x:t>
  </x:si>
  <x:si>
    <x:t xml:space="preserve">PROFIT-COST-OMEGAAI-R156-720-DUR-VID</x:t>
  </x:si>
  <x:si>
    <x:t xml:space="preserve">PROFIT-COST-OMEGAAI-R157-720-DUR-NOV</x:t>
  </x:si>
  <x:si>
    <x:t xml:space="preserve">PROFIT-COST-OMEGAAI-R157-720-DUR-VID</x:t>
  </x:si>
  <x:si>
    <x:t xml:space="preserve">PROFIT-COST-OMEGAAI-R158-720-DUR-NOV</x:t>
  </x:si>
  <x:si>
    <x:t xml:space="preserve">PROFIT-COST-OMEGAAI-R158-720-DUR-VID</x:t>
  </x:si>
  <x:si>
    <x:t xml:space="preserve">PROFIT-COST-PAIPU-R22-720-REQ-NOV</x:t>
  </x:si>
  <x:si>
    <x:t xml:space="preserve">PROFIT-COST-PAIPU-R22-720-REQ-VID</x:t>
  </x:si>
  <x:si>
    <x:t xml:space="preserve">PROFIT-COST-PAIPU-R23-720-REQ-NOV</x:t>
  </x:si>
  <x:si>
    <x:t xml:space="preserve">PROFIT-COST-PAIPU-R23-720-REQ-VID</x:t>
  </x:si>
  <x:si>
    <x:t xml:space="preserve">PROFIT-COST-PAIPU-R24-480-REQ-NOV</x:t>
  </x:si>
  <x:si>
    <x:t xml:space="preserve">PROFIT-COST-PAIPU-R24-480-REQ-VID</x:t>
  </x:si>
  <x:si>
    <x:t xml:space="preserve">PROFIT-COST-PAIPU-R25-720-REQ-NOV</x:t>
  </x:si>
  <x:si>
    <x:t xml:space="preserve">PROFIT-COST-PAIPU-R25-720-REQ-VID</x:t>
  </x:si>
  <x:si>
    <x:t xml:space="preserve">PROFIT-COST-PAIPU-R26-1080-DUR-NOV</x:t>
  </x:si>
  <x:si>
    <x:t xml:space="preserve">PROFIT-COST-PAIPU-R26-1080-DUR-VID</x:t>
  </x:si>
  <x:si>
    <x:t xml:space="preserve">PROFIT-COST-PAIPU-R27-4K-DUR-NOV</x:t>
  </x:si>
  <x:si>
    <x:t xml:space="preserve">PROFIT-COST-PAIPU-R27-4K-DUR-VID</x:t>
  </x:si>
  <x:si>
    <x:t xml:space="preserve">PROFIT-COST-PAIPU-R28-480-REQ-NOV</x:t>
  </x:si>
  <x:si>
    <x:t xml:space="preserve">PROFIT-COST-PAIPU-R28-480-REQ-VID</x:t>
  </x:si>
  <x:si>
    <x:t xml:space="preserve">PROFIT-COST-PAIPU-R29-720-REQ-NOV</x:t>
  </x:si>
  <x:si>
    <x:t xml:space="preserve">PROFIT-COST-PAIPU-R29-720-REQ-VID</x:t>
  </x:si>
  <x:si>
    <x:t xml:space="preserve">PROFIT-COST-PAIPU-R30-480-REQ-NOV</x:t>
  </x:si>
  <x:si>
    <x:t xml:space="preserve">PROFIT-COST-PAIPU-R30-480-REQ-VID</x:t>
  </x:si>
  <x:si>
    <x:t xml:space="preserve">PROFIT-COST-PAIPU-R31-720-REQ-NOV</x:t>
  </x:si>
  <x:si>
    <x:t xml:space="preserve">PROFIT-COST-PAIPU-R31-720-REQ-VID</x:t>
  </x:si>
  <x:si>
    <x:t xml:space="preserve">PROFIT-COST-PAIPU-R32-480-DUR-NOV</x:t>
  </x:si>
  <x:si>
    <x:t xml:space="preserve">PROFIT-COST-PAIPU-R32-480-DUR-VID</x:t>
  </x:si>
  <x:si>
    <x:t xml:space="preserve">PROFIT-COST-PAIPU-R33-720-DUR-NOV</x:t>
  </x:si>
  <x:si>
    <x:t xml:space="preserve">PROFIT-COST-PAIPU-R33-720-DUR-VID</x:t>
  </x:si>
  <x:si>
    <x:t xml:space="preserve">PROFIT-COST-PAIPU-R34-480-DUR-NOV</x:t>
  </x:si>
  <x:si>
    <x:t xml:space="preserve">PROFIT-COST-PAIPU-R34-480-DUR-VID</x:t>
  </x:si>
  <x:si>
    <x:t xml:space="preserve">PROFIT-COST-PAIPU-R35-720-DUR-NOV</x:t>
  </x:si>
  <x:si>
    <x:t xml:space="preserve">PROFIT-COST-PAIPU-R35-720-DUR-VID</x:t>
  </x:si>
  <x:si>
    <x:t xml:space="preserve">PROFIT-COST-PAIPU-R36-480-DUR-NOV</x:t>
  </x:si>
  <x:si>
    <x:t xml:space="preserve">PROFIT-COST-PAIPU-R36-480-DUR-VID</x:t>
  </x:si>
  <x:si>
    <x:t xml:space="preserve">PROFIT-COST-PAIPU-R37-720-DUR-NOV</x:t>
  </x:si>
  <x:si>
    <x:t xml:space="preserve">PROFIT-COST-PAIPU-R37-720-DUR-VID</x:t>
  </x:si>
  <x:si>
    <x:t xml:space="preserve">PROFIT-COST-PAIPU-R38-720-REQ-NOV</x:t>
  </x:si>
  <x:si>
    <x:t xml:space="preserve">PROFIT-COST-PAIPU-R38-720-REQ-VID</x:t>
  </x:si>
  <x:si>
    <x:t xml:space="preserve">PROFIT-COST-PAIPU-R39-720-REQ-NOV</x:t>
  </x:si>
  <x:si>
    <x:t xml:space="preserve">PROFIT-COST-PAIPU-R39-720-REQ-VID</x:t>
  </x:si>
  <x:si>
    <x:t xml:space="preserve">PROFIT-COST-PAIPU-R40-720-REQ-NOV</x:t>
  </x:si>
  <x:si>
    <x:t xml:space="preserve">PROFIT-COST-PAIPU-R40-720-REQ-VID</x:t>
  </x:si>
  <x:si>
    <x:t xml:space="preserve">PROFIT-COST-PAIPU-R41-720-REQ-NOV</x:t>
  </x:si>
  <x:si>
    <x:t xml:space="preserve">PROFIT-COST-PAIPU-R41-720-REQ-VID</x:t>
  </x:si>
  <x:si>
    <x:t xml:space="preserve">PROFIT-COST-SECURE-R69-720-DUR-NOV</x:t>
  </x:si>
  <x:si>
    <x:t xml:space="preserve">PROFIT-COST-SECURE-R69-720-DUR-VID</x:t>
  </x:si>
  <x:si>
    <x:t xml:space="preserve">PROFIT-COST-SECURE-R70-720-REQ-NOV</x:t>
  </x:si>
  <x:si>
    <x:t xml:space="preserve">PROFIT-COST-SECURE-R70-720-REQ-VID</x:t>
  </x:si>
  <x:si>
    <x:t xml:space="preserve">PROFIT-COST-SECURE-R71-1080-REQ-NOV</x:t>
  </x:si>
  <x:si>
    <x:t xml:space="preserve">PROFIT-COST-SECURE-R71-1080-REQ-VID</x:t>
  </x:si>
  <x:si>
    <x:t xml:space="preserve">PROFIT-COST-SECURE-R72-4K-REQ-NOV</x:t>
  </x:si>
  <x:si>
    <x:t xml:space="preserve">PROFIT-COST-SECURE-R72-4K-REQ-VID</x:t>
  </x:si>
  <x:si>
    <x:t xml:space="preserve">PROFIT-COST-SECURE-R73-720-REQ-NOV</x:t>
  </x:si>
  <x:si>
    <x:t xml:space="preserve">PROFIT-COST-SECURE-R73-720-REQ-VID</x:t>
  </x:si>
  <x:si>
    <x:t xml:space="preserve">PROFIT-COST-SECURE-R74-720-REQ-NOV</x:t>
  </x:si>
  <x:si>
    <x:t xml:space="preserve">PROFIT-COST-SECURE-R74-720-REQ-VID</x:t>
  </x:si>
  <x:si>
    <x:t xml:space="preserve">PROFIT-COST-SECURE-R75-720-DUR-NOV</x:t>
  </x:si>
  <x:si>
    <x:t xml:space="preserve">PROFIT-COST-SECURE-R75-720-DUR-VID</x:t>
  </x:si>
  <x:si>
    <x:t xml:space="preserve">PROFIT-COST-SECURE-R76-1080-DUR-NOV</x:t>
  </x:si>
  <x:si>
    <x:t xml:space="preserve">PROFIT-COST-SECURE-R76-1080-DUR-VID</x:t>
  </x:si>
  <x:si>
    <x:t xml:space="preserve">PROFIT-COST-SECURE-R77-720-DUR-NOV</x:t>
  </x:si>
  <x:si>
    <x:t xml:space="preserve">PROFIT-COST-SECURE-R77-720-DUR-VID</x:t>
  </x:si>
  <x:si>
    <x:t xml:space="preserve">PROFIT-COST-SECURE-R78-720-DUR-NOV</x:t>
  </x:si>
  <x:si>
    <x:t xml:space="preserve">PROFIT-COST-SECURE-R78-720-DUR-VID</x:t>
  </x:si>
  <x:si>
    <x:t xml:space="preserve">记录每项输入的来源、截止日期和审计说明。</x:t>
  </x:si>
  <x:si>
    <x:t xml:space="preserve">数值/范围</x:t>
  </x:si>
  <x:si>
    <x:t xml:space="preserve">截止日期</x:t>
  </x:si>
  <x:si>
    <x:t xml:space="preserve">来源类型</x:t>
  </x:si>
  <x:si>
    <x:t xml:space="preserve">来源名称</x:t>
  </x:si>
  <x:si>
    <x:t xml:space="preserve">引用位置</x:t>
  </x:si>
  <x:si>
    <x:t xml:space="preserve">负责人</x:t>
  </x:si>
  <x:si>
    <x:t xml:space="preserve">访问日期</x:t>
  </x:si>
  <x:si>
    <x:t xml:space="preserve">workbook</x:t>
  </x:si>
  <x:si>
    <x:t xml:space="preserve">sd收录.xlsx</x:t>
  </x:si>
  <x:si>
    <x:t xml:space="preserve">channel!3</x:t>
  </x:si>
  <x:si>
    <x:t xml:space="preserve">https://clmm-mall.top</x:t>
  </x:si>
  <x:si>
    <x:t xml:space="preserve">2026-08-02</x:t>
  </x:si>
  <x:si>
    <x:t xml:space="preserve">OK</x:t>
  </x:si>
  <x:si>
    <x:t xml:space="preserve">channel!4</x:t>
  </x:si>
  <x:si>
    <x:t xml:space="preserve">https://api.paipu.net</x:t>
  </x:si>
  <x:si>
    <x:t xml:space="preserve">channel!5</x:t>
  </x:si>
  <x:si>
    <x:t xml:space="preserve">https://lucen.asia</x:t>
  </x:si>
  <x:si>
    <x:t xml:space="preserve">channel!6</x:t>
  </x:si>
  <x:si>
    <x:t xml:space="preserve">https://8yes.cc</x:t>
  </x:si>
  <x:si>
    <x:t xml:space="preserve">channel!7</x:t>
  </x:si>
  <x:si>
    <x:t xml:space="preserve">https://token.secure-skill.com</x:t>
  </x:si>
  <x:si>
    <x:t xml:space="preserve">channel!8</x:t>
  </x:si>
  <x:si>
    <x:t xml:space="preserve">https://ai.cangyuansuanli.cn</x:t>
  </x:si>
  <x:si>
    <x:t xml:space="preserve">channel!9</x:t>
  </x:si>
  <x:si>
    <x:t xml:space="preserve">https://jimeng.dimensio.cn</x:t>
  </x:si>
  <x:si>
    <x:t xml:space="preserve">channel!10</x:t>
  </x:si>
  <x:si>
    <x:t xml:space="preserve">https://newapi.megabyai.cc</x:t>
  </x:si>
  <x:si>
    <x:t xml:space="preserve">channel!11</x:t>
  </x:si>
  <x:si>
    <x:t xml:space="preserve">https://api.4stoken.cn</x:t>
  </x:si>
  <x:si>
    <x:t xml:space="preserve">channel!12</x:t>
  </x:si>
  <x:si>
    <x:t xml:space="preserve">https://omegaai.xin</x:t>
  </x:si>
  <x:si>
    <x:t xml:space="preserve">CNY/1M</x:t>
  </x:si>
  <x:si>
    <x:t xml:space="preserve">sd官价!10</x:t>
  </x:si>
  <x:si>
    <x:t xml:space="preserve">720</x:t>
  </x:si>
  <x:si>
    <x:t xml:space="preserve">sd官价!12</x:t>
  </x:si>
  <x:si>
    <x:t xml:space="preserve">sd官价!14</x:t>
  </x:si>
  <x:si>
    <x:t xml:space="preserve">FAIL必须修复；WARN表示数据已保留但仍需人工补充或确认，相关规则不会自动激活。</x:t>
  </x:si>
  <x:si>
    <x:t xml:space="preserve">错误数</x:t>
  </x:si>
  <x:si>
    <x:t xml:space="preserve">修复位置</x:t>
  </x:si>
  <x:si>
    <x:t xml:space="preserve">转换FAIL</x:t>
  </x:si>
  <x:si>
    <x:t xml:space="preserve">PASS</x:t>
  </x:si>
  <x:si>
    <x:t xml:space="preserve">源表或规则文件</x:t>
  </x:si>
  <x:si>
    <x:t xml:space="preserve">FAIL 会阻止正式输出。</x:t>
  </x:si>
  <x:si>
    <x:t xml:space="preserve">转换WARN</x:t>
  </x:si>
  <x:si>
    <x:t xml:space="preserve">输出草稿行</x:t>
  </x:si>
  <x:si>
    <x:t xml:space="preserve">WARN 对应实体保持 draft。</x:t>
  </x:si>
  <x:si>
    <x:t xml:space="preserve">公式引用</x:t>
  </x:si>
  <x:si>
    <x:t xml:space="preserve">全工作簿</x:t>
  </x:si>
  <x:si>
    <x:t xml:space="preserve">打开 Excel 时执行完整重算。</x:t>
  </x:si>
</x:sst>
</file>

<file path=xl/styles.xml><?xml version="1.0" encoding="utf-8"?>
<x:styleSheet xmlns:x="http://schemas.openxmlformats.org/spreadsheetml/2006/main">
  <x:numFmts count="7">
    <x:numFmt numFmtId="164" formatCode="0.0000"/>
    <x:numFmt numFmtId="165" formatCode="yyyy-mm-dd"/>
    <x:numFmt numFmtId="166" formatCode="0.000"/>
    <x:numFmt numFmtId="167" formatCode="0.000000"/>
    <x:numFmt numFmtId="168" formatCode="0.0%"/>
    <x:numFmt numFmtId="200" formatCode="0"/>
    <x:numFmt numFmtId="201" formatCode="@"/>
  </x:numFmts>
  <x:fonts count="9">
    <x:font>
      <x:sz val="11"/>
      <x:color theme="1"/>
      <x:name val="Calibri"/>
    </x:font>
    <x:font>
      <x:b/>
      <x:sz val="18"/>
      <x:color rgb="FFFFFFFF"/>
      <x:name val="Carlito"/>
    </x:font>
    <x:font>
      <x:sz val="10"/>
      <x:color rgb="FF17324D"/>
      <x:name val="Carlito"/>
    </x:font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1"/>
      <x:color rgb="FFD97706"/>
      <x:name val="Carlito"/>
    </x:font>
    <x:font>
      <x:sz val="11"/>
      <x:color rgb="FF0000FF"/>
      <x:name val="Carlito"/>
    </x:font>
    <x:font>
      <x:sz val="11"/>
      <x:color theme="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F3EF"/>
      </x:patternFill>
    </x:fill>
    <x:fill>
      <x:patternFill patternType="solid">
        <x:fgColor rgb="FF0F766E"/>
      </x:patternFill>
    </x:fill>
    <x:fill>
      <x:patternFill patternType="solid">
        <x:fgColor rgb="FFF1F5F9"/>
      </x:patternFill>
    </x:fill>
    <x:fill>
      <x:patternFill patternType="solid">
        <x:fgColor rgb="FFFFF4CC"/>
      </x:patternFill>
    </x:fill>
    <x:fill>
      <x:patternFill patternType="solid">
        <x:fgColor rgb="FFE8F1FB"/>
      </x:patternFill>
    </x:fill>
  </x:fills>
  <x:borders count="1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  <x:border>
      <x:top style="thin">
        <x:color theme="4" tint="0.39998"/>
      </x:top>
      <x:bottom style="thin">
        <x:color theme="4" tint="0.39998"/>
      </x:bottom>
    </x:border>
    <x:border>
      <x:left style="medium">
        <x:color rgb="FF17324D"/>
      </x:left>
      <x:top style="medium">
        <x:color rgb="FF17324D"/>
      </x:top>
      <x:bottom style="medium">
        <x:color rgb="FF17324D"/>
      </x:bottom>
    </x:border>
    <x:border>
      <x:right style="medium">
        <x:color rgb="FF17324D"/>
      </x:right>
      <x:top style="medium">
        <x:color rgb="FF17324D"/>
      </x:top>
      <x:bottom style="medium">
        <x:color rgb="FF17324D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1" fillId="2" borderId="0" xfId="0" applyFont="1" applyFill="1" applyAlignment="1">
      <x:alignment vertical="center"/>
    </x:xf>
    <x:xf numFmtId="0" fontId="2" fillId="3" borderId="0" xfId="0" applyFont="1" applyFill="1" applyAlignment="1">
      <x:alignment vertical="center" wrapText="1"/>
    </x:xf>
    <x:xf numFmtId="0" fontId="3" fillId="0" borderId="0" xfId="0" applyFont="1" applyAlignment="1">
      <x:alignment vertical="center"/>
    </x:xf>
    <x:xf numFmtId="0" fontId="4" fillId="4" borderId="1" xfId="0" applyFont="1" applyFill="1" applyBorder="1" applyAlignment="1">
      <x:alignment horizontal="center" vertical="center" wrapText="1"/>
    </x:xf>
    <x:xf numFmtId="0" fontId="4" fillId="2" borderId="0" xfId="0" applyFont="1" applyFill="1" applyAlignment="1">
      <x:alignment vertical="center"/>
    </x:xf>
    <x:xf numFmtId="0" fontId="3" fillId="5" borderId="2" xfId="0" applyFont="1" applyFill="1" applyBorder="1" applyAlignment="1">
      <x:alignment vertical="center" wrapText="1"/>
    </x:xf>
    <x:xf numFmtId="0" fontId="3" fillId="5" borderId="3" xfId="0" applyFont="1" applyFill="1" applyBorder="1" applyAlignment="1">
      <x:alignment vertical="center" wrapText="1"/>
    </x:xf>
    <x:xf numFmtId="0" fontId="3" fillId="5" borderId="4" xfId="0" applyFont="1" applyFill="1" applyBorder="1" applyAlignment="1">
      <x:alignment vertical="center" wrapText="1"/>
    </x:xf>
    <x:xf numFmtId="0" fontId="3" fillId="5" borderId="5" xfId="0" applyFont="1" applyFill="1" applyBorder="1" applyAlignment="1">
      <x:alignment vertical="center" wrapText="1"/>
    </x:xf>
    <x:xf numFmtId="0" fontId="3" fillId="5" borderId="1" xfId="0" applyFont="1" applyFill="1" applyBorder="1" applyAlignment="1">
      <x:alignment vertical="center" wrapText="1"/>
    </x:xf>
    <x:xf numFmtId="0" fontId="3" fillId="5" borderId="6" xfId="0" applyFont="1" applyFill="1" applyBorder="1" applyAlignment="1">
      <x:alignment vertical="center" wrapText="1"/>
    </x:xf>
    <x:xf numFmtId="0" fontId="3" fillId="5" borderId="7" xfId="0" applyFont="1" applyFill="1" applyBorder="1" applyAlignment="1">
      <x:alignment vertical="center" wrapText="1"/>
    </x:xf>
    <x:xf numFmtId="0" fontId="3" fillId="5" borderId="8" xfId="0" applyFont="1" applyFill="1" applyBorder="1" applyAlignment="1">
      <x:alignment vertical="center" wrapText="1"/>
    </x:xf>
    <x:xf numFmtId="0" fontId="3" fillId="5" borderId="9" xfId="0" applyFont="1" applyFill="1" applyBorder="1" applyAlignment="1">
      <x:alignment vertical="center" wrapText="1"/>
    </x:xf>
    <x:xf numFmtId="0" fontId="5" fillId="6" borderId="0" xfId="0" applyFont="1" applyFill="1" applyAlignment="1">
      <x:alignment vertical="center" wrapText="1"/>
    </x:xf>
    <x:xf numFmtId="0" fontId="6" fillId="0" borderId="0" xfId="0" applyFont="1" applyAlignment="1">
      <x:alignment vertical="center"/>
    </x:xf>
    <x:xf numFmtId="0" fontId="3" fillId="0" borderId="0" xfId="0" applyFont="1" applyAlignment="1">
      <x:alignment vertical="center" wrapText="1"/>
    </x:xf>
    <x:xf numFmtId="0" fontId="3" fillId="0" borderId="2" xfId="0" applyFont="1" applyBorder="1" applyAlignment="1">
      <x:alignment vertical="center" wrapText="1"/>
    </x:xf>
    <x:xf numFmtId="0" fontId="3" fillId="0" borderId="3" xfId="0" applyFont="1" applyBorder="1" applyAlignment="1">
      <x:alignment vertical="center" wrapText="1"/>
    </x:xf>
    <x:xf numFmtId="0" fontId="3" fillId="0" borderId="4" xfId="0" applyFont="1" applyBorder="1" applyAlignment="1">
      <x:alignment vertical="center" wrapText="1"/>
    </x:xf>
    <x:xf numFmtId="0" fontId="3" fillId="0" borderId="5" xfId="0" applyFont="1" applyBorder="1" applyAlignment="1">
      <x:alignment vertical="center" wrapText="1"/>
    </x:xf>
    <x:xf numFmtId="0" fontId="3" fillId="0" borderId="1" xfId="0" applyFont="1" applyBorder="1" applyAlignment="1">
      <x:alignment vertical="center" wrapText="1"/>
    </x:xf>
    <x:xf numFmtId="0" fontId="3" fillId="0" borderId="6" xfId="0" applyFont="1" applyBorder="1" applyAlignment="1">
      <x:alignment vertical="center" wrapText="1"/>
    </x:xf>
    <x:xf numFmtId="0" fontId="3" fillId="0" borderId="7" xfId="0" applyFont="1" applyBorder="1" applyAlignment="1">
      <x:alignment vertical="center" wrapText="1"/>
    </x:xf>
    <x:xf numFmtId="0" fontId="3" fillId="0" borderId="8" xfId="0" applyFont="1" applyBorder="1" applyAlignment="1">
      <x:alignment vertical="center" wrapText="1"/>
    </x:xf>
    <x:xf numFmtId="0" fontId="3" fillId="0" borderId="9" xfId="0" applyFont="1" applyBorder="1" applyAlignment="1">
      <x:alignment vertical="center" wrapText="1"/>
    </x:xf>
    <x:xf numFmtId="164" fontId="7" fillId="6" borderId="0" xfId="0" applyNumberFormat="1" applyFont="1" applyFill="1" applyAlignment="1">
      <x:alignment vertical="center"/>
    </x:xf>
    <x:xf numFmtId="164" fontId="3" fillId="7" borderId="0" xfId="0" applyNumberFormat="1" applyFont="1" applyFill="1" applyAlignment="1">
      <x:alignment vertical="center"/>
    </x:xf>
    <x:xf numFmtId="0" fontId="7" fillId="6" borderId="0" xfId="0" applyFont="1" applyFill="1" applyAlignment="1">
      <x:alignment vertical="center"/>
    </x:xf>
    <x:xf numFmtId="165" fontId="3" fillId="0" borderId="0" xfId="0" applyNumberFormat="1" applyFont="1" applyAlignment="1">
      <x:alignment vertical="center"/>
    </x:xf>
    <x:xf numFmtId="0" fontId="3" fillId="6" borderId="0" xfId="0" applyFont="1" applyFill="1" applyAlignment="1">
      <x:alignment vertical="center"/>
    </x:xf>
    <x:xf numFmtId="10" fontId="3" fillId="6" borderId="0" xfId="0" applyNumberFormat="1" applyFont="1" applyFill="1" applyAlignment="1">
      <x:alignment vertical="center"/>
    </x:xf>
    <x:xf numFmtId="0" fontId="3" fillId="7" borderId="0" xfId="0" applyFont="1" applyFill="1" applyAlignment="1">
      <x:alignment vertical="center"/>
    </x:xf>
    <x:xf numFmtId="166" fontId="3" fillId="0" borderId="0" xfId="0" applyNumberFormat="1" applyFont="1" applyAlignment="1">
      <x:alignment vertical="center"/>
    </x:xf>
    <x:xf numFmtId="4" fontId="3" fillId="7" borderId="0" xfId="0" applyNumberFormat="1" applyFont="1" applyFill="1" applyAlignment="1">
      <x:alignment vertical="center"/>
    </x:xf>
    <x:xf numFmtId="167" fontId="3" fillId="7" borderId="0" xfId="0" applyNumberFormat="1" applyFont="1" applyFill="1" applyAlignment="1">
      <x:alignment vertical="center"/>
    </x:xf>
    <x:xf numFmtId="167" fontId="3" fillId="0" borderId="0" xfId="0" applyNumberFormat="1" applyFont="1" applyAlignment="1">
      <x:alignment vertical="center"/>
    </x:xf>
    <x:xf numFmtId="0" fontId="8" fillId="0" borderId="10" xfId="0" applyFont="1" applyBorder="1" applyAlignment="1">
      <x:alignment vertical="center"/>
    </x:xf>
    <x:xf numFmtId="14" fontId="0" fillId="0" borderId="0" xfId="0" applyNumberFormat="1"/>
    <x:xf numFmtId="2" fontId="7" fillId="6" borderId="0" xfId="0" applyNumberFormat="1" applyFont="1" applyFill="1" applyAlignment="1">
      <x:alignment vertical="center"/>
    </x:xf>
    <x:xf numFmtId="168" fontId="3" fillId="7" borderId="0" xfId="0" applyNumberFormat="1" applyFont="1" applyFill="1" applyAlignment="1">
      <x:alignment vertical="center"/>
    </x:xf>
    <x:xf numFmtId="165" fontId="3" fillId="0" borderId="0" xfId="0" applyNumberFormat="1" applyFont="1" applyAlignment="1">
      <x:alignment vertical="center" wrapText="1"/>
    </x:xf>
    <x:xf numFmtId="0" fontId="4" fillId="2" borderId="11" xfId="0" applyFont="1" applyFill="1" applyBorder="1" applyAlignment="1">
      <x:alignment vertical="center"/>
    </x:xf>
    <x:xf numFmtId="0" fontId="4" fillId="2" borderId="12" xfId="0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3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</x:cellXfs>
  <x:cellStyles count="1">
    <x:cellStyle name="Normal" xfId="0"/>
  </x:cellStyles>
  <x:dxfs count="11">
    <x:dxf>
      <x:font>
        <x:b/>
        <x:color rgb="FF92400E"/>
      </x:font>
      <x:fill>
        <x:patternFill>
          <x:bgColor rgb="FFFFF4CC"/>
        </x:patternFill>
      </x:fill>
    </x:dxf>
    <x:dxf>
      <x:font>
        <x:b/>
        <x:color rgb="FF991B1B"/>
      </x:font>
      <x:fill>
        <x:patternFill>
          <x:bgColor rgb="FFFCE8E6"/>
        </x:patternFill>
      </x:fill>
    </x:dxf>
    <x:dxf>
      <x:font>
        <x:b/>
        <x:color rgb="FF92400E"/>
      </x:font>
      <x:fill>
        <x:patternFill>
          <x:bgColor rgb="FFFFF4CC"/>
        </x:patternFill>
      </x:fill>
    </x:dxf>
    <x:dxf>
      <x:font>
        <x:b/>
        <x:color rgb="FF92400E"/>
      </x:font>
      <x:fill>
        <x:patternFill>
          <x:bgColor rgb="FFFFF4CC"/>
        </x:patternFill>
      </x:fill>
    </x:dxf>
    <x:dxf>
      <x:font>
        <x:b/>
        <x:color rgb="FF991B1B"/>
      </x:font>
      <x:fill>
        <x:patternFill>
          <x:bgColor rgb="FFFCE8E6"/>
        </x:patternFill>
      </x:fill>
    </x:dxf>
    <x:dxf>
      <x:font>
        <x:b/>
        <x:color rgb="FF166534"/>
      </x:font>
      <x:fill>
        <x:patternFill>
          <x:bgColor rgb="FFE3F4E8"/>
        </x:patternFill>
      </x:fill>
    </x:dxf>
    <x:dxf>
      <x:font>
        <x:b/>
        <x:color rgb="FF991B1B"/>
      </x:font>
      <x:fill>
        <x:patternFill>
          <x:bgColor rgb="FFFCE8E6"/>
        </x:patternFill>
      </x:fill>
    </x:dxf>
    <x:dxf>
      <x:font>
        <x:b/>
        <x:color rgb="FF92400E"/>
      </x:font>
      <x:fill>
        <x:patternFill>
          <x:bgColor rgb="FFFFF4CC"/>
        </x:patternFill>
      </x:fill>
    </x:dxf>
    <x:dxf>
      <x:font>
        <x:b/>
        <x:color rgb="FF166534"/>
      </x:font>
      <x:fill>
        <x:patternFill>
          <x:bgColor rgb="FFE3F4E8"/>
        </x:patternFill>
      </x:fill>
    </x:dxf>
    <x:dxf>
      <x:font>
        <x:b/>
        <x:color rgb="FF991B1B"/>
      </x:font>
      <x:fill>
        <x:patternFill>
          <x:bgColor rgb="FFFCE8E6"/>
        </x:patternFill>
      </x:fill>
    </x:dxf>
    <x:dxf>
      <x:font>
        <x:b/>
        <x:color rgb="FF92400E"/>
      </x:font>
      <x:fill>
        <x:patternFill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20e1aa2ad74e80" /><Relationship Type="http://schemas.openxmlformats.org/officeDocument/2006/relationships/theme" Target="/xl/theme/theme1.xml" Id="R4e2b935abd774065" /><Relationship Type="http://schemas.openxmlformats.org/officeDocument/2006/relationships/sharedStrings" Target="/xl/sharedStrings.xml" Id="Rd3de221bf83f407a" /><Relationship Type="http://schemas.openxmlformats.org/officeDocument/2006/relationships/worksheet" Target="/xl/worksheets/sheet1.xml" Id="R5227e4e7d69c45ac" /><Relationship Type="http://schemas.openxmlformats.org/officeDocument/2006/relationships/worksheet" Target="/xl/worksheets/sheet2.xml" Id="R8c841d5a135f4327" /><Relationship Type="http://schemas.openxmlformats.org/officeDocument/2006/relationships/worksheet" Target="/xl/worksheets/sheet3.xml" Id="Ra149855241074026" /><Relationship Type="http://schemas.openxmlformats.org/officeDocument/2006/relationships/worksheet" Target="/xl/worksheets/sheet4.xml" Id="R69d7b6100b914154" /><Relationship Type="http://schemas.openxmlformats.org/officeDocument/2006/relationships/worksheet" Target="/xl/worksheets/sheet5.xml" Id="R401f3d89f3c548d7" /><Relationship Type="http://schemas.openxmlformats.org/officeDocument/2006/relationships/worksheet" Target="/xl/worksheets/sheet6.xml" Id="R9b1c5f4bbadc421a" /><Relationship Type="http://schemas.openxmlformats.org/officeDocument/2006/relationships/worksheet" Target="/xl/worksheets/sheet7.xml" Id="R70a78aa2a2704722" /><Relationship Type="http://schemas.openxmlformats.org/officeDocument/2006/relationships/worksheet" Target="/xl/worksheets/sheet8.xml" Id="Rdc8eed9b599d41b1" /><Relationship Type="http://schemas.openxmlformats.org/officeDocument/2006/relationships/worksheet" Target="/xl/worksheets/sheet9.xml" Id="R17003204a12744d1" /><Relationship Type="http://schemas.openxmlformats.org/officeDocument/2006/relationships/worksheet" Target="/xl/worksheets/sheet10.xml" Id="Rb448df77b8f041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18" customWidth="1"/>
    <x:col min="2" max="2" width="34" customWidth="1"/>
    <x:col min="3" max="3" width="18" customWidth="1"/>
    <x:col min="4" max="4" width="30" customWidth="1"/>
    <x:col min="5" max="5" width="24" customWidth="1"/>
    <x:col min="6" max="7" width="14" customWidth="1"/>
    <x:col min="8" max="8" width="30" customWidth="1"/>
  </x:cols>
  <x:sheetData>
    <x:row r="1" ht="34.04999923706055" customHeight="1">
      <x:c r="A1" s="1" t="s">
        <x:v>0</x:v>
      </x:c>
      <x:c r="B1" s="1"/>
      <x:c r="C1" s="1"/>
      <x:c r="D1" s="1"/>
      <x:c r="E1" s="1"/>
      <x:c r="F1" s="1"/>
      <x:c r="G1" s="1"/>
      <x:c r="H1" s="1"/>
    </x:row>
    <x:row r="2" ht="32" customHeight="1">
      <x:c r="A2" s="2" t="s">
        <x:v>1</x:v>
      </x:c>
      <x:c r="B2" s="2"/>
      <x:c r="C2" s="2"/>
      <x:c r="D2" s="2"/>
      <x:c r="E2" s="2"/>
      <x:c r="F2" s="2"/>
      <x:c r="G2" s="2"/>
      <x:c r="H2" s="2"/>
    </x:row>
    <x:row r="3">
      <x:c r="A3" s="3"/>
      <x:c r="B3" s="3"/>
      <x:c r="C3" s="3"/>
      <x:c r="D3" s="3"/>
      <x:c r="E3" s="3"/>
      <x:c r="F3" s="3"/>
      <x:c r="G3" s="3"/>
      <x:c r="H3" s="3"/>
    </x:row>
    <x:row r="4" ht="34.04999923706055" customHeight="1">
      <x:c r="A4" s="4" t="s">
        <x:v>2</x:v>
      </x:c>
      <x:c r="B4" s="4" t="s">
        <x:v>3</x:v>
      </x:c>
      <x:c r="C4" s="4" t="s">
        <x:v>4</x:v>
      </x:c>
      <x:c r="D4" s="4" t="s">
        <x:v>5</x:v>
      </x:c>
      <x:c r="E4" s="4" t="s">
        <x:v>6</x:v>
      </x:c>
      <x:c r="F4" s="4" t="s">
        <x:v>7</x:v>
      </x:c>
      <x:c r="G4" s="4" t="s">
        <x:v>8</x:v>
      </x:c>
      <x:c r="H4" s="4" t="s">
        <x:v>9</x:v>
      </x:c>
    </x:row>
    <x:row r="5">
      <x:c r="A5" s="3" t="s">
        <x:v>10</x:v>
      </x:c>
      <x:c r="B5" s="3" t="s">
        <x:v>11</x:v>
      </x:c>
      <x:c r="C5" s="3" t="s">
        <x:v>12</x:v>
      </x:c>
      <x:c r="D5" s="3" t="s">
        <x:v>13</x:v>
      </x:c>
      <x:c r="E5" s="3" t="s">
        <x:v>14</x:v>
      </x:c>
      <x:c r="F5" s="3" t="s">
        <x:v>15</x:v>
      </x:c>
      <x:c r="G5" s="3" t="s">
        <x:v>16</x:v>
      </x:c>
      <x:c r="H5" s="3" t="s">
        <x:v>17</x:v>
      </x:c>
    </x:row>
    <x:row r="6">
      <x:c r="A6" s="3" t="s">
        <x:v>18</x:v>
      </x:c>
      <x:c r="B6" s="3" t="s">
        <x:v>19</x:v>
      </x:c>
      <x:c r="C6" s="3" t="s">
        <x:v>20</x:v>
      </x:c>
      <x:c r="D6" s="3" t="s">
        <x:v>21</x:v>
      </x:c>
      <x:c r="E6" s="3" t="s">
        <x:v>22</x:v>
      </x:c>
      <x:c r="F6" s="3" t="s">
        <x:v>23</x:v>
      </x:c>
      <x:c r="G6" s="3" t="s">
        <x:v>24</x:v>
      </x:c>
      <x:c r="H6" s="3" t="s">
        <x:v>25</x:v>
      </x:c>
    </x:row>
    <x:row r="7">
      <x:c r="A7" s="3" t="s">
        <x:v>26</x:v>
      </x:c>
      <x:c r="B7" s="3" t="s">
        <x:v>27</x:v>
      </x:c>
      <x:c r="C7" s="3" t="s">
        <x:v>28</x:v>
      </x:c>
      <x:c r="D7" s="3" t="s">
        <x:v>29</x:v>
      </x:c>
      <x:c r="E7" s="3" t="s">
        <x:v>30</x:v>
      </x:c>
      <x:c r="F7" s="3" t="s">
        <x:v>23</x:v>
      </x:c>
      <x:c r="G7" s="3" t="s">
        <x:v>31</x:v>
      </x:c>
      <x:c r="H7" s="3" t="s">
        <x:v>32</x:v>
      </x:c>
    </x:row>
    <x:row r="8">
      <x:c r="A8" s="3" t="s">
        <x:v>33</x:v>
      </x:c>
      <x:c r="B8" s="3" t="s">
        <x:v>34</x:v>
      </x:c>
      <x:c r="C8" s="3" t="s">
        <x:v>35</x:v>
      </x:c>
      <x:c r="D8" s="3" t="s">
        <x:v>36</x:v>
      </x:c>
      <x:c r="E8" s="3" t="s">
        <x:v>37</x:v>
      </x:c>
      <x:c r="F8" s="3" t="s">
        <x:v>23</x:v>
      </x:c>
      <x:c r="G8" s="3" t="s">
        <x:v>38</x:v>
      </x:c>
      <x:c r="H8" s="3" t="s">
        <x:v>39</x:v>
      </x:c>
    </x:row>
    <x:row r="9">
      <x:c r="A9" s="3" t="s">
        <x:v>40</x:v>
      </x:c>
      <x:c r="B9" s="3" t="s">
        <x:v>41</x:v>
      </x:c>
      <x:c r="C9" s="3" t="s">
        <x:v>42</x:v>
      </x:c>
      <x:c r="D9" s="3" t="s">
        <x:v>43</x:v>
      </x:c>
      <x:c r="E9" s="3" t="s">
        <x:v>44</x:v>
      </x:c>
      <x:c r="F9" s="3" t="s">
        <x:v>23</x:v>
      </x:c>
      <x:c r="G9" s="3" t="s">
        <x:v>45</x:v>
      </x:c>
      <x:c r="H9" s="3" t="s">
        <x:v>46</x:v>
      </x:c>
    </x:row>
    <x:row r="10">
      <x:c r="A10" s="3" t="s">
        <x:v>47</x:v>
      </x:c>
      <x:c r="B10" s="3" t="s">
        <x:v>48</x:v>
      </x:c>
      <x:c r="C10" s="3" t="s">
        <x:v>49</x:v>
      </x:c>
      <x:c r="D10" s="3" t="s">
        <x:v>50</x:v>
      </x:c>
      <x:c r="E10" s="3" t="s">
        <x:v>51</x:v>
      </x:c>
      <x:c r="F10" s="3" t="s">
        <x:v>23</x:v>
      </x:c>
      <x:c r="G10" s="3" t="s">
        <x:v>52</x:v>
      </x:c>
      <x:c r="H10" s="3" t="s">
        <x:v>53</x:v>
      </x:c>
    </x:row>
    <x:row r="11">
      <x:c r="A11" s="3" t="s">
        <x:v>54</x:v>
      </x:c>
      <x:c r="B11" s="3" t="s">
        <x:v>55</x:v>
      </x:c>
      <x:c r="C11" s="3" t="s">
        <x:v>56</x:v>
      </x:c>
      <x:c r="D11" s="3" t="s">
        <x:v>57</x:v>
      </x:c>
      <x:c r="E11" s="3" t="s">
        <x:v>58</x:v>
      </x:c>
      <x:c r="F11" s="3" t="s">
        <x:v>15</x:v>
      </x:c>
      <x:c r="G11" s="3" t="s">
        <x:v>16</x:v>
      </x:c>
      <x:c r="H11" s="3" t="s">
        <x:v>59</x:v>
      </x:c>
    </x:row>
    <x:row r="12">
      <x:c r="A12" s="3" t="s">
        <x:v>60</x:v>
      </x:c>
      <x:c r="B12" s="3" t="s">
        <x:v>61</x:v>
      </x:c>
      <x:c r="C12" s="3" t="s">
        <x:v>62</x:v>
      </x:c>
      <x:c r="D12" s="3" t="s">
        <x:v>63</x:v>
      </x:c>
      <x:c r="E12" s="3" t="s">
        <x:v>64</x:v>
      </x:c>
      <x:c r="F12" s="3" t="s">
        <x:v>23</x:v>
      </x:c>
      <x:c r="G12" s="3" t="s">
        <x:v>65</x:v>
      </x:c>
      <x:c r="H12" s="3" t="s">
        <x:v>66</x:v>
      </x:c>
    </x:row>
    <x:row r="13">
      <x:c r="A13" s="3" t="s">
        <x:v>67</x:v>
      </x:c>
      <x:c r="B13" s="3" t="s">
        <x:v>68</x:v>
      </x:c>
      <x:c r="C13" s="3" t="s">
        <x:v>69</x:v>
      </x:c>
      <x:c r="D13" s="3" t="s">
        <x:v>70</x:v>
      </x:c>
      <x:c r="E13" s="3" t="s">
        <x:v>71</x:v>
      </x:c>
      <x:c r="F13" s="3" t="s">
        <x:v>15</x:v>
      </x:c>
      <x:c r="G13" s="3" t="s">
        <x:v>72</x:v>
      </x:c>
      <x:c r="H13" s="3" t="s">
        <x:v>73</x:v>
      </x:c>
    </x:row>
    <x:row r="14">
      <x:c r="A14" s="3"/>
      <x:c r="B14" s="3"/>
      <x:c r="C14" s="3"/>
      <x:c r="D14" s="3"/>
      <x:c r="E14" s="3"/>
      <x:c r="F14" s="3"/>
      <x:c r="G14" s="3"/>
      <x:c r="H14" s="3"/>
    </x:row>
    <x:row r="15">
      <x:c r="A15" s="3"/>
      <x:c r="B15" s="3"/>
      <x:c r="C15" s="3"/>
      <x:c r="D15" s="3"/>
      <x:c r="E15" s="3"/>
      <x:c r="F15" s="3"/>
      <x:c r="G15" s="3"/>
      <x:c r="H15" s="3"/>
    </x:row>
    <x:row r="16" ht="13.899999618530273" customHeight="1">
      <x:c r="A16" s="5" t="s">
        <x:v>74</x:v>
      </x:c>
      <x:c r="B16" s="5"/>
      <x:c r="C16" s="5"/>
      <x:c r="D16" s="5"/>
      <x:c r="E16" s="5"/>
      <x:c r="F16" s="5"/>
      <x:c r="G16" s="5"/>
      <x:c r="H16" s="5"/>
    </x:row>
    <x:row r="17">
      <x:c r="A17" s="6" t="s">
        <x:v>75</x:v>
      </x:c>
      <x:c r="B17" s="7" t="s">
        <x:v>76</x:v>
      </x:c>
      <x:c r="C17" s="7"/>
      <x:c r="D17" s="7"/>
      <x:c r="E17" s="7"/>
      <x:c r="F17" s="7"/>
      <x:c r="G17" s="7"/>
      <x:c r="H17" s="8"/>
    </x:row>
    <x:row r="18">
      <x:c r="A18" s="9" t="s">
        <x:v>77</x:v>
      </x:c>
      <x:c r="B18" s="10" t="s">
        <x:v>78</x:v>
      </x:c>
      <x:c r="C18" s="10"/>
      <x:c r="D18" s="10"/>
      <x:c r="E18" s="10"/>
      <x:c r="F18" s="10"/>
      <x:c r="G18" s="10"/>
      <x:c r="H18" s="11"/>
    </x:row>
    <x:row r="19">
      <x:c r="A19" s="9" t="s">
        <x:v>79</x:v>
      </x:c>
      <x:c r="B19" s="10" t="s">
        <x:v>80</x:v>
      </x:c>
      <x:c r="C19" s="10"/>
      <x:c r="D19" s="10"/>
      <x:c r="E19" s="10"/>
      <x:c r="F19" s="10"/>
      <x:c r="G19" s="10"/>
      <x:c r="H19" s="11"/>
    </x:row>
    <x:row r="20">
      <x:c r="A20" s="12" t="s">
        <x:v>81</x:v>
      </x:c>
      <x:c r="B20" s="13" t="s">
        <x:v>82</x:v>
      </x:c>
      <x:c r="C20" s="13"/>
      <x:c r="D20" s="13"/>
      <x:c r="E20" s="13"/>
      <x:c r="F20" s="13"/>
      <x:c r="G20" s="13"/>
      <x:c r="H20" s="14"/>
    </x:row>
    <x:row r="21">
      <x:c r="A21" s="3"/>
      <x:c r="B21" s="3"/>
      <x:c r="C21" s="3"/>
      <x:c r="D21" s="3"/>
      <x:c r="E21" s="3"/>
      <x:c r="F21" s="3"/>
      <x:c r="G21" s="3"/>
      <x:c r="H21" s="3"/>
    </x:row>
    <x:row r="22" ht="13.899999618530273" customHeight="1">
      <x:c r="A22" s="15" t="s">
        <x:v>83</x:v>
      </x:c>
      <x:c r="B22" s="15"/>
      <x:c r="C22" s="15"/>
      <x:c r="D22" s="15"/>
      <x:c r="E22" s="15"/>
      <x:c r="F22" s="15"/>
      <x:c r="G22" s="15"/>
      <x:c r="H22" s="15"/>
    </x:row>
    <x:row r="23">
      <x:c r="A23" s="3"/>
      <x:c r="B23" s="3"/>
      <x:c r="C23" s="3"/>
      <x:c r="D23" s="3"/>
      <x:c r="E23" s="3"/>
      <x:c r="F23" s="3"/>
      <x:c r="G23" s="3"/>
      <x:c r="H23" s="3"/>
    </x:row>
    <x:row r="24" ht="13.899999618530273" customHeight="1">
      <x:c r="A24" s="16" t="s">
        <x:v>84</x:v>
      </x:c>
      <x:c r="B24" s="17" t="s">
        <x:v>85</x:v>
      </x:c>
      <x:c r="C24" s="17"/>
      <x:c r="D24" s="17"/>
      <x:c r="E24" s="17"/>
      <x:c r="F24" s="17"/>
      <x:c r="G24" s="17"/>
      <x:c r="H24" s="17"/>
    </x:row>
    <x:row r="25" ht="13.899999618530273" customHeight="1">
      <x:c r="A25" s="16" t="s">
        <x:v>86</x:v>
      </x:c>
      <x:c r="B25" s="17" t="s">
        <x:v>87</x:v>
      </x:c>
      <x:c r="C25" s="17"/>
      <x:c r="D25" s="17"/>
      <x:c r="E25" s="17"/>
      <x:c r="F25" s="17"/>
      <x:c r="G25" s="17"/>
      <x:c r="H25" s="17"/>
    </x:row>
    <x:row r="26" ht="13.899999618530273" customHeight="1">
      <x:c r="A26" s="16" t="s">
        <x:v>88</x:v>
      </x:c>
      <x:c r="B26" s="17" t="s">
        <x:v>89</x:v>
      </x:c>
      <x:c r="C26" s="17"/>
      <x:c r="D26" s="17"/>
      <x:c r="E26" s="17"/>
      <x:c r="F26" s="17"/>
      <x:c r="G26" s="17"/>
      <x:c r="H26" s="17"/>
    </x:row>
    <x:row r="27">
      <x:c r="A27" s="3"/>
      <x:c r="B27" s="3"/>
      <x:c r="C27" s="3"/>
      <x:c r="D27" s="3"/>
      <x:c r="E27" s="3"/>
      <x:c r="F27" s="3"/>
      <x:c r="G27" s="3"/>
      <x:c r="H27" s="3"/>
    </x:row>
    <x:row r="28" ht="13.899999618530273" customHeight="1">
      <x:c r="A28" s="5" t="s">
        <x:v>90</x:v>
      </x:c>
      <x:c r="B28" s="5"/>
      <x:c r="C28" s="5"/>
      <x:c r="D28" s="5"/>
      <x:c r="E28" s="5"/>
      <x:c r="F28" s="5"/>
      <x:c r="G28" s="5"/>
      <x:c r="H28" s="5"/>
    </x:row>
    <x:row r="29" ht="34.04999923706055" customHeight="1">
      <x:c r="A29" s="4" t="s">
        <x:v>91</x:v>
      </x:c>
      <x:c r="B29" s="4" t="s">
        <x:v>92</x:v>
      </x:c>
      <x:c r="C29" s="4" t="s">
        <x:v>93</x:v>
      </x:c>
      <x:c r="D29" s="3"/>
      <x:c r="E29" s="3"/>
      <x:c r="F29" s="3"/>
      <x:c r="G29" s="3"/>
      <x:c r="H29" s="3"/>
    </x:row>
    <x:row r="30" ht="39.599998474121094" customHeight="1">
      <x:c r="A30" s="18" t="s">
        <x:v>94</x:v>
      </x:c>
      <x:c r="B30" s="19">
        <x:v>147</x:v>
      </x:c>
      <x:c r="C30" s="20" t="s">
        <x:v>95</x:v>
      </x:c>
      <x:c r="D30" s="3"/>
      <x:c r="E30" s="3"/>
      <x:c r="F30" s="3"/>
      <x:c r="G30" s="3"/>
      <x:c r="H30" s="3"/>
    </x:row>
    <x:row r="31" ht="15" customHeight="1">
      <x:c r="A31" s="21" t="s">
        <x:v>18</x:v>
      </x:c>
      <x:c r="B31" s="22">
        <x:v>10</x:v>
      </x:c>
      <x:c r="C31" s="23" t="s">
        <x:v>96</x:v>
      </x:c>
      <x:c r="D31" s="3"/>
      <x:c r="E31" s="3"/>
      <x:c r="F31" s="3"/>
      <x:c r="G31" s="3"/>
      <x:c r="H31" s="3"/>
    </x:row>
    <x:row r="32" ht="26.350000381469727" customHeight="1">
      <x:c r="A32" s="21" t="s">
        <x:v>26</x:v>
      </x:c>
      <x:c r="B32" s="22">
        <x:v>8</x:v>
      </x:c>
      <x:c r="C32" s="23" t="s">
        <x:v>97</x:v>
      </x:c>
      <x:c r="D32" s="3"/>
      <x:c r="E32" s="3"/>
      <x:c r="F32" s="3"/>
      <x:c r="G32" s="3"/>
      <x:c r="H32" s="3"/>
    </x:row>
    <x:row r="33" ht="26.350000381469727" customHeight="1">
      <x:c r="A33" s="21" t="s">
        <x:v>33</x:v>
      </x:c>
      <x:c r="B33" s="22">
        <x:v>16</x:v>
      </x:c>
      <x:c r="C33" s="23" t="s">
        <x:v>98</x:v>
      </x:c>
      <x:c r="D33" s="3"/>
      <x:c r="E33" s="3"/>
      <x:c r="F33" s="3"/>
      <x:c r="G33" s="3"/>
      <x:c r="H33" s="3"/>
    </x:row>
    <x:row r="34" ht="26.350000381469727" customHeight="1">
      <x:c r="A34" s="21" t="s">
        <x:v>99</x:v>
      </x:c>
      <x:c r="B34" s="22">
        <x:v>294</x:v>
      </x:c>
      <x:c r="C34" s="23" t="s">
        <x:v>100</x:v>
      </x:c>
      <x:c r="D34" s="3"/>
      <x:c r="E34" s="3"/>
      <x:c r="F34" s="3"/>
      <x:c r="G34" s="3"/>
      <x:c r="H34" s="3"/>
    </x:row>
    <x:row r="35" ht="26.350000381469727" customHeight="1">
      <x:c r="A35" s="21" t="s">
        <x:v>47</x:v>
      </x:c>
      <x:c r="B35" s="22">
        <x:v>147</x:v>
      </x:c>
      <x:c r="C35" s="23" t="s">
        <x:v>101</x:v>
      </x:c>
      <x:c r="D35" s="3"/>
      <x:c r="E35" s="3"/>
      <x:c r="F35" s="3"/>
      <x:c r="G35" s="3"/>
      <x:c r="H35" s="3"/>
    </x:row>
    <x:row r="36" ht="26.350000381469727" customHeight="1">
      <x:c r="A36" s="21" t="s">
        <x:v>102</x:v>
      </x:c>
      <x:c r="B36" s="22">
        <x:v>294</x:v>
      </x:c>
      <x:c r="C36" s="23" t="s">
        <x:v>103</x:v>
      </x:c>
      <x:c r="D36" s="3"/>
      <x:c r="E36" s="3"/>
      <x:c r="F36" s="3"/>
      <x:c r="G36" s="3"/>
      <x:c r="H36" s="3"/>
    </x:row>
    <x:row r="37" ht="39.599998474121094" customHeight="1">
      <x:c r="A37" s="21" t="s">
        <x:v>104</x:v>
      </x:c>
      <x:c r="B37" s="22" t="s">
        <x:v>105</x:v>
      </x:c>
      <x:c r="C37" s="23" t="s">
        <x:v>106</x:v>
      </x:c>
      <x:c r="D37" s="3"/>
      <x:c r="E37" s="3"/>
      <x:c r="F37" s="3"/>
      <x:c r="G37" s="3"/>
      <x:c r="H37" s="3"/>
    </x:row>
    <x:row r="38" ht="39.599998474121094" customHeight="1">
      <x:c r="A38" s="24" t="s">
        <x:v>107</x:v>
      </x:c>
      <x:c r="B38" s="25" t="s">
        <x:v>108</x:v>
      </x:c>
      <x:c r="C38" s="26" t="s">
        <x:v>109</x:v>
      </x:c>
      <x:c r="D38" s="3"/>
      <x:c r="E38" s="3"/>
      <x:c r="F38" s="3"/>
      <x:c r="G38" s="3"/>
      <x:c r="H38" s="3"/>
    </x:row>
  </x:sheetData>
  <x:mergeCells>
    <x:mergeCell ref="A1:H1"/>
    <x:mergeCell ref="A2:H2"/>
    <x:mergeCell ref="A16:H16"/>
    <x:mergeCell ref="B17:H17"/>
    <x:mergeCell ref="B18:H18"/>
    <x:mergeCell ref="B19:H19"/>
    <x:mergeCell ref="B20:H20"/>
    <x:mergeCell ref="A22:H22"/>
    <x:mergeCell ref="B24:H24"/>
    <x:mergeCell ref="B25:H25"/>
    <x:mergeCell ref="B26:H26"/>
    <x:mergeCell ref="A28:H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25" customWidth="1"/>
    <x:col min="2" max="3" width="18" customWidth="1"/>
    <x:col min="4" max="4" width="58" customWidth="1"/>
  </x:cols>
  <x:sheetData>
    <x:row r="1" ht="34.04999923706055" customHeight="1">
      <x:c r="A1" s="1" t="s">
        <x:v>10</x:v>
      </x:c>
      <x:c r="B1" s="1"/>
      <x:c r="C1" s="1"/>
      <x:c r="D1" s="1"/>
    </x:row>
    <x:row r="2" ht="32" customHeight="1">
      <x:c r="A2" s="2" t="s">
        <x:v>110</x:v>
      </x:c>
      <x:c r="B2" s="2"/>
      <x:c r="C2" s="2"/>
      <x:c r="D2" s="2"/>
    </x:row>
    <x:row r="3">
      <x:c r="A3" s="3"/>
      <x:c r="B3" s="3"/>
      <x:c r="C3" s="3"/>
      <x:c r="D3" s="3"/>
    </x:row>
    <x:row r="4" ht="34.04999923706055" customHeight="1">
      <x:c r="A4" s="4" t="s">
        <x:v>12</x:v>
      </x:c>
      <x:c r="B4" s="4" t="s">
        <x:v>111</x:v>
      </x:c>
      <x:c r="C4" s="4" t="s">
        <x:v>112</x:v>
      </x:c>
      <x:c r="D4" s="4" t="s">
        <x:v>93</x:v>
      </x:c>
    </x:row>
    <x:row r="5">
      <x:c r="A5" s="3" t="s">
        <x:v>113</x:v>
      </x:c>
      <x:c r="B5" s="27">
        <x:v>7.300000000000001</x:v>
      </x:c>
      <x:c r="C5" s="3" t="s">
        <x:v>114</x:v>
      </x:c>
      <x:c r="D5" s="17" t="s">
        <x:v>115</x:v>
      </x:c>
    </x:row>
    <x:row r="6">
      <x:c r="A6" s="3" t="s">
        <x:v>116</x:v>
      </x:c>
      <x:c r="B6" s="28" t="n">
        <x:f>=1/B5</x:f>
        <x:v>0.136986301369863</x:v>
      </x:c>
      <x:c r="C6" s="3" t="s">
        <x:v>117</x:v>
      </x:c>
      <x:c r="D6" s="17" t="s">
        <x:v>118</x:v>
      </x:c>
    </x:row>
    <x:row r="7">
      <x:c r="A7" s="3" t="s">
        <x:v>119</x:v>
      </x:c>
      <x:c r="B7" s="29">
        <x:v>1024</x:v>
      </x:c>
      <x:c r="C7" s="3" t="s">
        <x:v>120</x:v>
      </x:c>
      <x:c r="D7" s="17" t="s">
        <x:v>121</x:v>
      </x:c>
    </x:row>
    <x:row r="8">
      <x:c r="A8" s="3" t="s">
        <x:v>122</x:v>
      </x:c>
      <x:c r="B8" s="29">
        <x:v>1000000</x:v>
      </x:c>
      <x:c r="C8" s="3" t="s">
        <x:v>123</x:v>
      </x:c>
      <x:c r="D8" s="17" t="s">
        <x:v>124</x:v>
      </x:c>
    </x:row>
    <x:row r="9">
      <x:c r="A9" s="3" t="s">
        <x:v>125</x:v>
      </x:c>
      <x:c r="B9" s="29">
        <x:v>1</x:v>
      </x:c>
      <x:c r="C9" s="3" t="s">
        <x:v>126</x:v>
      </x:c>
      <x:c r="D9" s="17" t="s">
        <x:v>127</x:v>
      </x:c>
    </x:row>
    <x:row r="10">
      <x:c r="A10" s="3" t="s">
        <x:v>128</x:v>
      </x:c>
      <x:c r="B10" s="3" t="s">
        <x:v>129</x:v>
      </x:c>
      <x:c r="C10" s="3" t="s">
        <x:v>130</x:v>
      </x:c>
      <x:c r="D10" s="17" t="s">
        <x:v>131</x:v>
      </x:c>
    </x:row>
    <x:row r="11">
      <x:c r="A11" s="3" t="s">
        <x:v>132</x:v>
      </x:c>
      <x:c r="B11" s="30">
        <x:v>46236.78357597222</x:v>
      </x:c>
      <x:c r="C11" s="3" t="s">
        <x:v>133</x:v>
      </x:c>
      <x:c r="D11" s="17" t="s">
        <x:v>134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16" customWidth="1"/>
    <x:col min="2" max="2" width="18" customWidth="1"/>
    <x:col min="3" max="3" width="34" customWidth="1"/>
    <x:col min="4" max="4" width="14" customWidth="1"/>
    <x:col min="5" max="5" width="16" customWidth="1"/>
    <x:col min="6" max="8" width="14" customWidth="1"/>
    <x:col min="9" max="10" width="12" customWidth="1"/>
    <x:col min="11" max="11" width="16" customWidth="1"/>
    <x:col min="12" max="13" width="14" customWidth="1"/>
    <x:col min="14" max="14" width="44" customWidth="1"/>
    <x:col min="15" max="15" width="22" customWidth="1"/>
  </x:cols>
  <x:sheetData>
    <x:row r="1" ht="34.04999923706055" customHeight="1">
      <x:c r="A1" s="1" t="s">
        <x:v>18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32" customHeight="1">
      <x:c r="A2" s="2" t="s">
        <x:v>135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4" ht="34.04999923706055" customHeight="1">
      <x:c r="A4" s="4" t="s">
        <x:v>20</x:v>
      </x:c>
      <x:c r="B4" s="4" t="s">
        <x:v>136</x:v>
      </x:c>
      <x:c r="C4" s="4" t="s">
        <x:v>137</x:v>
      </x:c>
      <x:c r="D4" s="4" t="s">
        <x:v>138</x:v>
      </x:c>
      <x:c r="E4" s="4" t="s">
        <x:v>139</x:v>
      </x:c>
      <x:c r="F4" s="4" t="s">
        <x:v>140</x:v>
      </x:c>
      <x:c r="G4" s="4" t="s">
        <x:v>141</x:v>
      </x:c>
      <x:c r="H4" s="4" t="s">
        <x:v>142</x:v>
      </x:c>
      <x:c r="I4" s="4" t="s">
        <x:v>143</x:v>
      </x:c>
      <x:c r="J4" s="4" t="s">
        <x:v>144</x:v>
      </x:c>
      <x:c r="K4" s="4" t="s">
        <x:v>145</x:v>
      </x:c>
      <x:c r="L4" s="4" t="s">
        <x:v>146</x:v>
      </x:c>
      <x:c r="M4" s="4" t="s">
        <x:v>62</x:v>
      </x:c>
      <x:c r="N4" s="4" t="s">
        <x:v>9</x:v>
      </x:c>
      <x:c r="O4" s="4" t="s">
        <x:v>67</x:v>
      </x:c>
    </x:row>
    <x:row r="5" ht="39.599998474121094" customHeight="1">
      <x:c r="A5" s="3" t="s">
        <x:v>147</x:v>
      </x:c>
      <x:c r="B5" s="3" t="s">
        <x:v>148</x:v>
      </x:c>
      <x:c r="C5" s="3" t="s">
        <x:v>149</x:v>
      </x:c>
      <x:c r="D5" s="3" t="s">
        <x:v>150</x:v>
      </x:c>
      <x:c r="E5" s="31" t="s">
        <x:v>151</x:v>
      </x:c>
      <x:c r="F5" s="32" t="s">
        <x:v>152</x:v>
      </x:c>
      <x:c r="G5" s="31" t="s">
        <x:v>151</x:v>
      </x:c>
      <x:c r="H5" s="3" t="s">
        <x:v>153</x:v>
      </x:c>
      <x:c r="I5" s="3" t="s">
        <x:v>154</x:v>
      </x:c>
      <x:c r="J5" s="3"/>
      <x:c r="K5" s="3" t="s">
        <x:v>23</x:v>
      </x:c>
      <x:c r="L5" s="30">
        <x:v>46236.783576180555</x:v>
      </x:c>
      <x:c r="M5" s="3" t="s">
        <x:v>155</x:v>
      </x:c>
      <x:c r="N5" s="17" t="s">
        <x:v>156</x:v>
      </x:c>
      <x:c r="O5" s="33" t="str">
        <x:f>IF(A5="","",IF(COUNTIF($A$5:$A$504,A5)&gt;1,"错误:重复渠道代码",IF(OR(B5="",C5="",D5="",E5&lt;=0,F5&lt;0,G5&lt;=0,H5="",I5=""),"错误:必填项","OK")))</x:f>
        <x:v>OK</x:v>
      </x:c>
    </x:row>
    <x:row r="6" ht="39.599998474121094" customHeight="1">
      <x:c r="A6" s="3" t="s">
        <x:v>157</x:v>
      </x:c>
      <x:c r="B6" s="3" t="s">
        <x:v>158</x:v>
      </x:c>
      <x:c r="C6" s="3" t="s">
        <x:v>159</x:v>
      </x:c>
      <x:c r="D6" s="3" t="s">
        <x:v>150</x:v>
      </x:c>
      <x:c r="E6" s="31" t="s">
        <x:v>151</x:v>
      </x:c>
      <x:c r="F6" s="32" t="s">
        <x:v>152</x:v>
      </x:c>
      <x:c r="G6" s="31" t="s">
        <x:v>151</x:v>
      </x:c>
      <x:c r="H6" s="3" t="s">
        <x:v>153</x:v>
      </x:c>
      <x:c r="I6" s="3" t="s">
        <x:v>154</x:v>
      </x:c>
      <x:c r="J6" s="3"/>
      <x:c r="K6" s="3" t="s">
        <x:v>23</x:v>
      </x:c>
      <x:c r="L6" s="30">
        <x:v>46236.783576180555</x:v>
      </x:c>
      <x:c r="M6" s="3" t="s">
        <x:v>160</x:v>
      </x:c>
      <x:c r="N6" s="17" t="s">
        <x:v>161</x:v>
      </x:c>
      <x:c r="O6" s="33" t="str">
        <x:f>IF(A6="","",IF(COUNTIF($A$5:$A$504,A6)&gt;1,"错误:重复渠道代码",IF(OR(B6="",C6="",D6="",E6&lt;=0,F6&lt;0,G6&lt;=0,H6="",I6=""),"错误:必填项","OK")))</x:f>
        <x:v>OK</x:v>
      </x:c>
    </x:row>
    <x:row r="7" ht="26.350000381469727" customHeight="1">
      <x:c r="A7" s="3" t="s">
        <x:v>162</x:v>
      </x:c>
      <x:c r="B7" s="3" t="s">
        <x:v>163</x:v>
      </x:c>
      <x:c r="C7" s="3" t="s">
        <x:v>164</x:v>
      </x:c>
      <x:c r="D7" s="3" t="s">
        <x:v>150</x:v>
      </x:c>
      <x:c r="E7" s="31" t="s">
        <x:v>151</x:v>
      </x:c>
      <x:c r="F7" s="32" t="s">
        <x:v>152</x:v>
      </x:c>
      <x:c r="G7" s="31" t="s">
        <x:v>151</x:v>
      </x:c>
      <x:c r="H7" s="3" t="s">
        <x:v>153</x:v>
      </x:c>
      <x:c r="I7" s="3" t="s">
        <x:v>154</x:v>
      </x:c>
      <x:c r="J7" s="3"/>
      <x:c r="K7" s="3" t="s">
        <x:v>23</x:v>
      </x:c>
      <x:c r="L7" s="30">
        <x:v>46236.783576180555</x:v>
      </x:c>
      <x:c r="M7" s="3" t="s">
        <x:v>165</x:v>
      </x:c>
      <x:c r="N7" s="17" t="s">
        <x:v>166</x:v>
      </x:c>
      <x:c r="O7" s="33" t="str">
        <x:f>IF(A7="","",IF(COUNTIF($A$5:$A$504,A7)&gt;1,"错误:重复渠道代码",IF(OR(B7="",C7="",D7="",E7&lt;=0,F7&lt;0,G7&lt;=0,H7="",I7=""),"错误:必填项","OK")))</x:f>
        <x:v>OK</x:v>
      </x:c>
    </x:row>
    <x:row r="8" ht="26.350000381469727" customHeight="1">
      <x:c r="A8" s="3" t="s">
        <x:v>167</x:v>
      </x:c>
      <x:c r="B8" s="3" t="s">
        <x:v>168</x:v>
      </x:c>
      <x:c r="C8" s="3" t="s">
        <x:v>169</x:v>
      </x:c>
      <x:c r="D8" s="3" t="s">
        <x:v>150</x:v>
      </x:c>
      <x:c r="E8" s="31" t="s">
        <x:v>151</x:v>
      </x:c>
      <x:c r="F8" s="32" t="s">
        <x:v>170</x:v>
      </x:c>
      <x:c r="G8" s="31" t="s">
        <x:v>151</x:v>
      </x:c>
      <x:c r="H8" s="3" t="s">
        <x:v>153</x:v>
      </x:c>
      <x:c r="I8" s="3" t="s">
        <x:v>154</x:v>
      </x:c>
      <x:c r="J8" s="3"/>
      <x:c r="K8" s="3" t="s">
        <x:v>23</x:v>
      </x:c>
      <x:c r="L8" s="30">
        <x:v>46236.783576180555</x:v>
      </x:c>
      <x:c r="M8" s="3" t="s">
        <x:v>171</x:v>
      </x:c>
      <x:c r="N8" s="17" t="s">
        <x:v>172</x:v>
      </x:c>
      <x:c r="O8" s="33" t="str">
        <x:f>IF(A8="","",IF(COUNTIF($A$5:$A$504,A8)&gt;1,"错误:重复渠道代码",IF(OR(B8="",C8="",D8="",E8&lt;=0,F8&lt;0,G8&lt;=0,H8="",I8=""),"错误:必填项","OK")))</x:f>
        <x:v>OK</x:v>
      </x:c>
    </x:row>
    <x:row r="9" ht="39.599998474121094" customHeight="1">
      <x:c r="A9" s="3" t="s">
        <x:v>173</x:v>
      </x:c>
      <x:c r="B9" s="3" t="s">
        <x:v>174</x:v>
      </x:c>
      <x:c r="C9" s="3" t="s">
        <x:v>175</x:v>
      </x:c>
      <x:c r="D9" s="3" t="s">
        <x:v>150</x:v>
      </x:c>
      <x:c r="E9" s="31" t="s">
        <x:v>151</x:v>
      </x:c>
      <x:c r="F9" s="32" t="s">
        <x:v>176</x:v>
      </x:c>
      <x:c r="G9" s="31" t="s">
        <x:v>151</x:v>
      </x:c>
      <x:c r="H9" s="3" t="s">
        <x:v>153</x:v>
      </x:c>
      <x:c r="I9" s="3" t="s">
        <x:v>154</x:v>
      </x:c>
      <x:c r="J9" s="3"/>
      <x:c r="K9" s="3" t="s">
        <x:v>23</x:v>
      </x:c>
      <x:c r="L9" s="30">
        <x:v>46236.783576180555</x:v>
      </x:c>
      <x:c r="M9" s="3" t="s">
        <x:v>177</x:v>
      </x:c>
      <x:c r="N9" s="17" t="s">
        <x:v>178</x:v>
      </x:c>
      <x:c r="O9" s="33" t="str">
        <x:f>IF(A9="","",IF(COUNTIF($A$5:$A$504,A9)&gt;1,"错误:重复渠道代码",IF(OR(B9="",C9="",D9="",E9&lt;=0,F9&lt;0,G9&lt;=0,H9="",I9=""),"错误:必填项","OK")))</x:f>
        <x:v>OK</x:v>
      </x:c>
    </x:row>
    <x:row r="10" ht="39.599998474121094" customHeight="1">
      <x:c r="A10" s="3" t="s">
        <x:v>179</x:v>
      </x:c>
      <x:c r="B10" s="3" t="s">
        <x:v>180</x:v>
      </x:c>
      <x:c r="C10" s="3" t="s">
        <x:v>181</x:v>
      </x:c>
      <x:c r="D10" s="3" t="s">
        <x:v>150</x:v>
      </x:c>
      <x:c r="E10" s="31" t="s">
        <x:v>151</x:v>
      </x:c>
      <x:c r="F10" s="32" t="s">
        <x:v>152</x:v>
      </x:c>
      <x:c r="G10" s="31" t="s">
        <x:v>151</x:v>
      </x:c>
      <x:c r="H10" s="3" t="s">
        <x:v>153</x:v>
      </x:c>
      <x:c r="I10" s="3" t="s">
        <x:v>154</x:v>
      </x:c>
      <x:c r="J10" s="3"/>
      <x:c r="K10" s="3" t="s">
        <x:v>23</x:v>
      </x:c>
      <x:c r="L10" s="30">
        <x:v>46236.783576180555</x:v>
      </x:c>
      <x:c r="M10" s="3" t="s">
        <x:v>182</x:v>
      </x:c>
      <x:c r="N10" s="17" t="s">
        <x:v>183</x:v>
      </x:c>
      <x:c r="O10" s="33" t="str">
        <x:f>IF(A10="","",IF(COUNTIF($A$5:$A$504,A10)&gt;1,"错误:重复渠道代码",IF(OR(B10="",C10="",D10="",E10&lt;=0,F10&lt;0,G10&lt;=0,H10="",I10=""),"错误:必填项","OK")))</x:f>
        <x:v>OK</x:v>
      </x:c>
    </x:row>
    <x:row r="11" ht="39.599998474121094" customHeight="1">
      <x:c r="A11" s="3" t="s">
        <x:v>184</x:v>
      </x:c>
      <x:c r="B11" s="3" t="s">
        <x:v>185</x:v>
      </x:c>
      <x:c r="C11" s="3" t="s">
        <x:v>186</x:v>
      </x:c>
      <x:c r="D11" s="3" t="s">
        <x:v>150</x:v>
      </x:c>
      <x:c r="E11" s="31" t="s">
        <x:v>151</x:v>
      </x:c>
      <x:c r="F11" s="32" t="s">
        <x:v>152</x:v>
      </x:c>
      <x:c r="G11" s="31" t="s">
        <x:v>151</x:v>
      </x:c>
      <x:c r="H11" s="3" t="s">
        <x:v>153</x:v>
      </x:c>
      <x:c r="I11" s="3" t="s">
        <x:v>154</x:v>
      </x:c>
      <x:c r="J11" s="3"/>
      <x:c r="K11" s="3" t="s">
        <x:v>23</x:v>
      </x:c>
      <x:c r="L11" s="30">
        <x:v>46236.783576180555</x:v>
      </x:c>
      <x:c r="M11" s="3" t="s">
        <x:v>187</x:v>
      </x:c>
      <x:c r="N11" s="17" t="s">
        <x:v>188</x:v>
      </x:c>
      <x:c r="O11" s="33" t="str">
        <x:f>IF(A11="","",IF(COUNTIF($A$5:$A$504,A11)&gt;1,"错误:重复渠道代码",IF(OR(B11="",C11="",D11="",E11&lt;=0,F11&lt;0,G11&lt;=0,H11="",I11=""),"错误:必填项","OK")))</x:f>
        <x:v>OK</x:v>
      </x:c>
    </x:row>
    <x:row r="12" ht="39.599998474121094" customHeight="1">
      <x:c r="A12" s="3" t="s">
        <x:v>189</x:v>
      </x:c>
      <x:c r="B12" s="3" t="s">
        <x:v>190</x:v>
      </x:c>
      <x:c r="C12" s="3" t="s">
        <x:v>191</x:v>
      </x:c>
      <x:c r="D12" s="3" t="s">
        <x:v>150</x:v>
      </x:c>
      <x:c r="E12" s="31" t="s">
        <x:v>151</x:v>
      </x:c>
      <x:c r="F12" s="32" t="s">
        <x:v>152</x:v>
      </x:c>
      <x:c r="G12" s="31" t="s">
        <x:v>151</x:v>
      </x:c>
      <x:c r="H12" s="3" t="s">
        <x:v>153</x:v>
      </x:c>
      <x:c r="I12" s="3" t="s">
        <x:v>154</x:v>
      </x:c>
      <x:c r="J12" s="3"/>
      <x:c r="K12" s="3" t="s">
        <x:v>23</x:v>
      </x:c>
      <x:c r="L12" s="30">
        <x:v>46236.783576180555</x:v>
      </x:c>
      <x:c r="M12" s="3" t="s">
        <x:v>192</x:v>
      </x:c>
      <x:c r="N12" s="17" t="s">
        <x:v>193</x:v>
      </x:c>
      <x:c r="O12" s="33" t="str">
        <x:f>IF(A12="","",IF(COUNTIF($A$5:$A$504,A12)&gt;1,"错误:重复渠道代码",IF(OR(B12="",C12="",D12="",E12&lt;=0,F12&lt;0,G12&lt;=0,H12="",I12=""),"错误:必填项","OK")))</x:f>
        <x:v>OK</x:v>
      </x:c>
    </x:row>
    <x:row r="13">
      <x:c r="A13" s="3" t="s">
        <x:v>194</x:v>
      </x:c>
      <x:c r="B13" s="3" t="s">
        <x:v>195</x:v>
      </x:c>
      <x:c r="C13" s="3" t="s">
        <x:v>196</x:v>
      </x:c>
      <x:c r="D13" s="3" t="s">
        <x:v>150</x:v>
      </x:c>
      <x:c r="E13" s="31" t="s">
        <x:v>151</x:v>
      </x:c>
      <x:c r="F13" s="32" t="s">
        <x:v>152</x:v>
      </x:c>
      <x:c r="G13" s="31" t="s">
        <x:v>151</x:v>
      </x:c>
      <x:c r="H13" s="3" t="s">
        <x:v>153</x:v>
      </x:c>
      <x:c r="I13" s="3" t="s">
        <x:v>154</x:v>
      </x:c>
      <x:c r="J13" s="3"/>
      <x:c r="K13" s="3" t="s">
        <x:v>23</x:v>
      </x:c>
      <x:c r="L13" s="30">
        <x:v>46236.783576180555</x:v>
      </x:c>
      <x:c r="M13" s="3" t="s">
        <x:v>197</x:v>
      </x:c>
      <x:c r="N13" s="3" t="s">
        <x:v>198</x:v>
      </x:c>
      <x:c r="O13" s="33" t="str">
        <x:f>IF(A13="","",IF(COUNTIF($A$5:$A$504,A13)&gt;1,"错误:重复渠道代码",IF(OR(B13="",C13="",D13="",E13&lt;=0,F13&lt;0,G13&lt;=0,H13="",I13=""),"错误:必填项","OK")))</x:f>
        <x:v>OK</x:v>
      </x:c>
    </x:row>
    <x:row r="14">
      <x:c r="A14" s="3" t="s">
        <x:v>199</x:v>
      </x:c>
      <x:c r="B14" s="3" t="s">
        <x:v>200</x:v>
      </x:c>
      <x:c r="C14" s="3" t="s">
        <x:v>201</x:v>
      </x:c>
      <x:c r="D14" s="3" t="s">
        <x:v>150</x:v>
      </x:c>
      <x:c r="E14" s="31" t="s">
        <x:v>151</x:v>
      </x:c>
      <x:c r="F14" s="32" t="s">
        <x:v>152</x:v>
      </x:c>
      <x:c r="G14" s="31" t="s">
        <x:v>151</x:v>
      </x:c>
      <x:c r="H14" s="3" t="s">
        <x:v>153</x:v>
      </x:c>
      <x:c r="I14" s="3" t="s">
        <x:v>154</x:v>
      </x:c>
      <x:c r="J14" s="3"/>
      <x:c r="K14" s="3" t="s">
        <x:v>23</x:v>
      </x:c>
      <x:c r="L14" s="30">
        <x:v>46236.783576180555</x:v>
      </x:c>
      <x:c r="M14" s="3" t="s">
        <x:v>202</x:v>
      </x:c>
      <x:c r="N14" s="3" t="s">
        <x:v>203</x:v>
      </x:c>
      <x:c r="O14" s="33" t="str">
        <x:f>IF(A14="","",IF(COUNTIF($A$5:$A$504,A14)&gt;1,"错误:重复渠道代码",IF(OR(B14="",C14="",D14="",E14&lt;=0,F14&lt;0,G14&lt;=0,H14="",I14=""),"错误:必填项","OK")))</x:f>
        <x:v>OK</x:v>
      </x:c>
    </x:row>
    <x:row r="15">
      <x:c r="A15" s="3"/>
      <x:c r="B15" s="3"/>
      <x:c r="C15" s="3"/>
      <x:c r="D15" s="3"/>
      <x:c r="E15" s="31"/>
      <x:c r="F15" s="32"/>
      <x:c r="G15" s="31"/>
      <x:c r="H15" s="3"/>
      <x:c r="I15" s="3"/>
      <x:c r="J15" s="3"/>
      <x:c r="K15" s="3"/>
      <x:c r="L15" s="30"/>
      <x:c r="M15" s="3"/>
      <x:c r="N15" s="3"/>
      <x:c r="O15" s="33"/>
    </x:row>
    <x:row r="16">
      <x:c r="A16" s="3"/>
      <x:c r="B16" s="3"/>
      <x:c r="C16" s="3"/>
      <x:c r="D16" s="3"/>
      <x:c r="E16" s="31"/>
      <x:c r="F16" s="32"/>
      <x:c r="G16" s="31"/>
      <x:c r="H16" s="3"/>
      <x:c r="I16" s="3"/>
      <x:c r="J16" s="3"/>
      <x:c r="K16" s="3"/>
      <x:c r="L16" s="30"/>
      <x:c r="M16" s="3"/>
      <x:c r="N16" s="3"/>
      <x:c r="O16" s="33"/>
    </x:row>
    <x:row r="17">
      <x:c r="A17" s="3"/>
      <x:c r="B17" s="3"/>
      <x:c r="C17" s="3"/>
      <x:c r="D17" s="3"/>
      <x:c r="E17" s="31"/>
      <x:c r="F17" s="32"/>
      <x:c r="G17" s="31"/>
      <x:c r="H17" s="3"/>
      <x:c r="I17" s="3"/>
      <x:c r="J17" s="3"/>
      <x:c r="K17" s="3"/>
      <x:c r="L17" s="30"/>
      <x:c r="M17" s="3"/>
      <x:c r="N17" s="3"/>
      <x:c r="O17" s="33"/>
    </x:row>
    <x:row r="18">
      <x:c r="A18" s="3"/>
      <x:c r="B18" s="3"/>
      <x:c r="C18" s="3"/>
      <x:c r="D18" s="3"/>
      <x:c r="E18" s="31"/>
      <x:c r="F18" s="32"/>
      <x:c r="G18" s="31"/>
      <x:c r="H18" s="3"/>
      <x:c r="I18" s="3"/>
      <x:c r="J18" s="3"/>
      <x:c r="K18" s="3"/>
      <x:c r="L18" s="30"/>
      <x:c r="M18" s="3"/>
      <x:c r="N18" s="3"/>
      <x:c r="O18" s="33"/>
    </x:row>
    <x:row r="19">
      <x:c r="A19" s="3"/>
      <x:c r="B19" s="3"/>
      <x:c r="C19" s="3"/>
      <x:c r="D19" s="3"/>
      <x:c r="E19" s="31"/>
      <x:c r="F19" s="32"/>
      <x:c r="G19" s="31"/>
      <x:c r="H19" s="3"/>
      <x:c r="I19" s="3"/>
      <x:c r="J19" s="3"/>
      <x:c r="K19" s="3"/>
      <x:c r="L19" s="30"/>
      <x:c r="M19" s="3"/>
      <x:c r="N19" s="3"/>
      <x:c r="O19" s="33"/>
    </x:row>
    <x:row r="20">
      <x:c r="A20" s="3"/>
      <x:c r="B20" s="3"/>
      <x:c r="C20" s="3"/>
      <x:c r="D20" s="3"/>
      <x:c r="E20" s="31"/>
      <x:c r="F20" s="32"/>
      <x:c r="G20" s="31"/>
      <x:c r="H20" s="3"/>
      <x:c r="I20" s="3"/>
      <x:c r="J20" s="3"/>
      <x:c r="K20" s="3"/>
      <x:c r="L20" s="30"/>
      <x:c r="M20" s="3"/>
      <x:c r="N20" s="3"/>
      <x:c r="O20" s="33"/>
    </x:row>
    <x:row r="21">
      <x:c r="A21" s="3"/>
      <x:c r="B21" s="3"/>
      <x:c r="C21" s="3"/>
      <x:c r="D21" s="3"/>
      <x:c r="E21" s="31"/>
      <x:c r="F21" s="32"/>
      <x:c r="G21" s="31"/>
      <x:c r="H21" s="3"/>
      <x:c r="I21" s="3"/>
      <x:c r="J21" s="3"/>
      <x:c r="K21" s="3"/>
      <x:c r="L21" s="30"/>
      <x:c r="M21" s="3"/>
      <x:c r="N21" s="3"/>
      <x:c r="O21" s="33"/>
    </x:row>
    <x:row r="22">
      <x:c r="A22" s="3"/>
      <x:c r="B22" s="3"/>
      <x:c r="C22" s="3"/>
      <x:c r="D22" s="3"/>
      <x:c r="E22" s="31"/>
      <x:c r="F22" s="32"/>
      <x:c r="G22" s="31"/>
      <x:c r="H22" s="3"/>
      <x:c r="I22" s="3"/>
      <x:c r="J22" s="3"/>
      <x:c r="K22" s="3"/>
      <x:c r="L22" s="30"/>
      <x:c r="M22" s="3"/>
      <x:c r="N22" s="3"/>
      <x:c r="O22" s="33"/>
    </x:row>
    <x:row r="23">
      <x:c r="A23" s="3"/>
      <x:c r="B23" s="3"/>
      <x:c r="C23" s="3"/>
      <x:c r="D23" s="3"/>
      <x:c r="E23" s="31"/>
      <x:c r="F23" s="32"/>
      <x:c r="G23" s="31"/>
      <x:c r="H23" s="3"/>
      <x:c r="I23" s="3"/>
      <x:c r="J23" s="3"/>
      <x:c r="K23" s="3"/>
      <x:c r="L23" s="30"/>
      <x:c r="M23" s="3"/>
      <x:c r="N23" s="3"/>
      <x:c r="O23" s="33"/>
    </x:row>
    <x:row r="24">
      <x:c r="A24" s="3"/>
      <x:c r="B24" s="3"/>
      <x:c r="C24" s="3"/>
      <x:c r="D24" s="3"/>
      <x:c r="E24" s="31"/>
      <x:c r="F24" s="32"/>
      <x:c r="G24" s="31"/>
      <x:c r="H24" s="3"/>
      <x:c r="I24" s="3"/>
      <x:c r="J24" s="3"/>
      <x:c r="K24" s="3"/>
      <x:c r="L24" s="30"/>
      <x:c r="M24" s="3"/>
      <x:c r="N24" s="3"/>
      <x:c r="O24" s="33"/>
    </x:row>
    <x:row r="25">
      <x:c r="A25" s="3"/>
      <x:c r="B25" s="3"/>
      <x:c r="C25" s="3"/>
      <x:c r="D25" s="3"/>
      <x:c r="E25" s="31"/>
      <x:c r="F25" s="32"/>
      <x:c r="G25" s="31"/>
      <x:c r="H25" s="3"/>
      <x:c r="I25" s="3"/>
      <x:c r="J25" s="3"/>
      <x:c r="K25" s="3"/>
      <x:c r="L25" s="30"/>
      <x:c r="M25" s="3"/>
      <x:c r="N25" s="3"/>
      <x:c r="O25" s="33"/>
    </x:row>
    <x:row r="26">
      <x:c r="A26" s="3"/>
      <x:c r="B26" s="3"/>
      <x:c r="C26" s="3"/>
      <x:c r="D26" s="3"/>
      <x:c r="E26" s="31"/>
      <x:c r="F26" s="32"/>
      <x:c r="G26" s="31"/>
      <x:c r="H26" s="3"/>
      <x:c r="I26" s="3"/>
      <x:c r="J26" s="3"/>
      <x:c r="K26" s="3"/>
      <x:c r="L26" s="30"/>
      <x:c r="M26" s="3"/>
      <x:c r="N26" s="3"/>
      <x:c r="O26" s="33"/>
    </x:row>
    <x:row r="27">
      <x:c r="A27" s="3"/>
      <x:c r="B27" s="3"/>
      <x:c r="C27" s="3"/>
      <x:c r="D27" s="3"/>
      <x:c r="E27" s="31"/>
      <x:c r="F27" s="32"/>
      <x:c r="G27" s="31"/>
      <x:c r="H27" s="3"/>
      <x:c r="I27" s="3"/>
      <x:c r="J27" s="3"/>
      <x:c r="K27" s="3"/>
      <x:c r="L27" s="30"/>
      <x:c r="M27" s="3"/>
      <x:c r="N27" s="3"/>
      <x:c r="O27" s="33"/>
    </x:row>
    <x:row r="28">
      <x:c r="A28" s="3"/>
      <x:c r="B28" s="3"/>
      <x:c r="C28" s="3"/>
      <x:c r="D28" s="3"/>
      <x:c r="E28" s="31"/>
      <x:c r="F28" s="32"/>
      <x:c r="G28" s="31"/>
      <x:c r="H28" s="3"/>
      <x:c r="I28" s="3"/>
      <x:c r="J28" s="3"/>
      <x:c r="K28" s="3"/>
      <x:c r="L28" s="30"/>
      <x:c r="M28" s="3"/>
      <x:c r="N28" s="3"/>
      <x:c r="O28" s="33"/>
    </x:row>
    <x:row r="29">
      <x:c r="A29" s="3"/>
      <x:c r="B29" s="3"/>
      <x:c r="C29" s="3"/>
      <x:c r="D29" s="3"/>
      <x:c r="E29" s="31"/>
      <x:c r="F29" s="32"/>
      <x:c r="G29" s="31"/>
      <x:c r="H29" s="3"/>
      <x:c r="I29" s="3"/>
      <x:c r="J29" s="3"/>
      <x:c r="K29" s="3"/>
      <x:c r="L29" s="30"/>
      <x:c r="M29" s="3"/>
      <x:c r="N29" s="3"/>
      <x:c r="O29" s="33"/>
    </x:row>
    <x:row r="30">
      <x:c r="A30" s="3"/>
      <x:c r="B30" s="3"/>
      <x:c r="C30" s="3"/>
      <x:c r="D30" s="3"/>
      <x:c r="E30" s="31"/>
      <x:c r="F30" s="32"/>
      <x:c r="G30" s="31"/>
      <x:c r="H30" s="3"/>
      <x:c r="I30" s="3"/>
      <x:c r="J30" s="3"/>
      <x:c r="K30" s="3"/>
      <x:c r="L30" s="30"/>
      <x:c r="M30" s="3"/>
      <x:c r="N30" s="3"/>
      <x:c r="O30" s="33"/>
    </x:row>
    <x:row r="31">
      <x:c r="A31" s="3"/>
      <x:c r="B31" s="3"/>
      <x:c r="C31" s="3"/>
      <x:c r="D31" s="3"/>
      <x:c r="E31" s="31"/>
      <x:c r="F31" s="32"/>
      <x:c r="G31" s="31"/>
      <x:c r="H31" s="3"/>
      <x:c r="I31" s="3"/>
      <x:c r="J31" s="3"/>
      <x:c r="K31" s="3"/>
      <x:c r="L31" s="30"/>
      <x:c r="M31" s="3"/>
      <x:c r="N31" s="3"/>
      <x:c r="O31" s="33"/>
    </x:row>
    <x:row r="32">
      <x:c r="A32" s="3"/>
      <x:c r="B32" s="3"/>
      <x:c r="C32" s="3"/>
      <x:c r="D32" s="3"/>
      <x:c r="E32" s="31"/>
      <x:c r="F32" s="32"/>
      <x:c r="G32" s="31"/>
      <x:c r="H32" s="3"/>
      <x:c r="I32" s="3"/>
      <x:c r="J32" s="3"/>
      <x:c r="K32" s="3"/>
      <x:c r="L32" s="30"/>
      <x:c r="M32" s="3"/>
      <x:c r="N32" s="3"/>
      <x:c r="O32" s="33"/>
    </x:row>
    <x:row r="33">
      <x:c r="A33" s="3"/>
      <x:c r="B33" s="3"/>
      <x:c r="C33" s="3"/>
      <x:c r="D33" s="3"/>
      <x:c r="E33" s="31"/>
      <x:c r="F33" s="32"/>
      <x:c r="G33" s="31"/>
      <x:c r="H33" s="3"/>
      <x:c r="I33" s="3"/>
      <x:c r="J33" s="3"/>
      <x:c r="K33" s="3"/>
      <x:c r="L33" s="30"/>
      <x:c r="M33" s="3"/>
      <x:c r="N33" s="3"/>
      <x:c r="O33" s="33"/>
    </x:row>
    <x:row r="34">
      <x:c r="A34" s="3"/>
      <x:c r="B34" s="3"/>
      <x:c r="C34" s="3"/>
      <x:c r="D34" s="3"/>
      <x:c r="E34" s="31"/>
      <x:c r="F34" s="32"/>
      <x:c r="G34" s="31"/>
      <x:c r="H34" s="3"/>
      <x:c r="I34" s="3"/>
      <x:c r="J34" s="3"/>
      <x:c r="K34" s="3"/>
      <x:c r="L34" s="30"/>
      <x:c r="M34" s="3"/>
      <x:c r="N34" s="3"/>
      <x:c r="O34" s="33"/>
    </x:row>
    <x:row r="35">
      <x:c r="A35" s="3"/>
      <x:c r="B35" s="3"/>
      <x:c r="C35" s="3"/>
      <x:c r="D35" s="3"/>
      <x:c r="E35" s="31"/>
      <x:c r="F35" s="32"/>
      <x:c r="G35" s="31"/>
      <x:c r="H35" s="3"/>
      <x:c r="I35" s="3"/>
      <x:c r="J35" s="3"/>
      <x:c r="K35" s="3"/>
      <x:c r="L35" s="30"/>
      <x:c r="M35" s="3"/>
      <x:c r="N35" s="3"/>
      <x:c r="O35" s="33"/>
    </x:row>
    <x:row r="36">
      <x:c r="A36" s="3"/>
      <x:c r="B36" s="3"/>
      <x:c r="C36" s="3"/>
      <x:c r="D36" s="3"/>
      <x:c r="E36" s="31"/>
      <x:c r="F36" s="32"/>
      <x:c r="G36" s="31"/>
      <x:c r="H36" s="3"/>
      <x:c r="I36" s="3"/>
      <x:c r="J36" s="3"/>
      <x:c r="K36" s="3"/>
      <x:c r="L36" s="30"/>
      <x:c r="M36" s="3"/>
      <x:c r="N36" s="3"/>
      <x:c r="O36" s="33"/>
    </x:row>
    <x:row r="37">
      <x:c r="A37" s="3"/>
      <x:c r="B37" s="3"/>
      <x:c r="C37" s="3"/>
      <x:c r="D37" s="3"/>
      <x:c r="E37" s="31"/>
      <x:c r="F37" s="32"/>
      <x:c r="G37" s="31"/>
      <x:c r="H37" s="3"/>
      <x:c r="I37" s="3"/>
      <x:c r="J37" s="3"/>
      <x:c r="K37" s="3"/>
      <x:c r="L37" s="30"/>
      <x:c r="M37" s="3"/>
      <x:c r="N37" s="3"/>
      <x:c r="O37" s="33"/>
    </x:row>
    <x:row r="38">
      <x:c r="A38" s="3"/>
      <x:c r="B38" s="3"/>
      <x:c r="C38" s="3"/>
      <x:c r="D38" s="3"/>
      <x:c r="E38" s="31"/>
      <x:c r="F38" s="32"/>
      <x:c r="G38" s="31"/>
      <x:c r="H38" s="3"/>
      <x:c r="I38" s="3"/>
      <x:c r="J38" s="3"/>
      <x:c r="K38" s="3"/>
      <x:c r="L38" s="30"/>
      <x:c r="M38" s="3"/>
      <x:c r="N38" s="3"/>
      <x:c r="O38" s="33"/>
    </x:row>
    <x:row r="39">
      <x:c r="A39" s="3"/>
      <x:c r="B39" s="3"/>
      <x:c r="C39" s="3"/>
      <x:c r="D39" s="3"/>
      <x:c r="E39" s="31"/>
      <x:c r="F39" s="32"/>
      <x:c r="G39" s="31"/>
      <x:c r="H39" s="3"/>
      <x:c r="I39" s="3"/>
      <x:c r="J39" s="3"/>
      <x:c r="K39" s="3"/>
      <x:c r="L39" s="30"/>
      <x:c r="M39" s="3"/>
      <x:c r="N39" s="3"/>
      <x:c r="O39" s="33"/>
    </x:row>
    <x:row r="40">
      <x:c r="A40" s="3"/>
      <x:c r="B40" s="3"/>
      <x:c r="C40" s="3"/>
      <x:c r="D40" s="3"/>
      <x:c r="E40" s="31"/>
      <x:c r="F40" s="32"/>
      <x:c r="G40" s="31"/>
      <x:c r="H40" s="3"/>
      <x:c r="I40" s="3"/>
      <x:c r="J40" s="3"/>
      <x:c r="K40" s="3"/>
      <x:c r="L40" s="30"/>
      <x:c r="M40" s="3"/>
      <x:c r="N40" s="3"/>
      <x:c r="O40" s="33"/>
    </x:row>
    <x:row r="41">
      <x:c r="A41" s="3"/>
      <x:c r="B41" s="3"/>
      <x:c r="C41" s="3"/>
      <x:c r="D41" s="3"/>
      <x:c r="E41" s="31"/>
      <x:c r="F41" s="32"/>
      <x:c r="G41" s="31"/>
      <x:c r="H41" s="3"/>
      <x:c r="I41" s="3"/>
      <x:c r="J41" s="3"/>
      <x:c r="K41" s="3"/>
      <x:c r="L41" s="30"/>
      <x:c r="M41" s="3"/>
      <x:c r="N41" s="3"/>
      <x:c r="O41" s="33"/>
    </x:row>
    <x:row r="42">
      <x:c r="A42" s="3"/>
      <x:c r="B42" s="3"/>
      <x:c r="C42" s="3"/>
      <x:c r="D42" s="3"/>
      <x:c r="E42" s="31"/>
      <x:c r="F42" s="32"/>
      <x:c r="G42" s="31"/>
      <x:c r="H42" s="3"/>
      <x:c r="I42" s="3"/>
      <x:c r="J42" s="3"/>
      <x:c r="K42" s="3"/>
      <x:c r="L42" s="30"/>
      <x:c r="M42" s="3"/>
      <x:c r="N42" s="3"/>
      <x:c r="O42" s="33"/>
    </x:row>
    <x:row r="43">
      <x:c r="A43" s="3"/>
      <x:c r="B43" s="3"/>
      <x:c r="C43" s="3"/>
      <x:c r="D43" s="3"/>
      <x:c r="E43" s="31"/>
      <x:c r="F43" s="32"/>
      <x:c r="G43" s="31"/>
      <x:c r="H43" s="3"/>
      <x:c r="I43" s="3"/>
      <x:c r="J43" s="3"/>
      <x:c r="K43" s="3"/>
      <x:c r="L43" s="30"/>
      <x:c r="M43" s="3"/>
      <x:c r="N43" s="3"/>
      <x:c r="O43" s="33"/>
    </x:row>
    <x:row r="44">
      <x:c r="A44" s="3"/>
      <x:c r="B44" s="3"/>
      <x:c r="C44" s="3"/>
      <x:c r="D44" s="3"/>
      <x:c r="E44" s="31"/>
      <x:c r="F44" s="32"/>
      <x:c r="G44" s="31"/>
      <x:c r="H44" s="3"/>
      <x:c r="I44" s="3"/>
      <x:c r="J44" s="3"/>
      <x:c r="K44" s="3"/>
      <x:c r="L44" s="30"/>
      <x:c r="M44" s="3"/>
      <x:c r="N44" s="3"/>
      <x:c r="O44" s="33"/>
    </x:row>
    <x:row r="45">
      <x:c r="A45" s="3"/>
      <x:c r="B45" s="3"/>
      <x:c r="C45" s="3"/>
      <x:c r="D45" s="3"/>
      <x:c r="E45" s="31"/>
      <x:c r="F45" s="32"/>
      <x:c r="G45" s="31"/>
      <x:c r="H45" s="3"/>
      <x:c r="I45" s="3"/>
      <x:c r="J45" s="3"/>
      <x:c r="K45" s="3"/>
      <x:c r="L45" s="30"/>
      <x:c r="M45" s="3"/>
      <x:c r="N45" s="3"/>
      <x:c r="O45" s="33"/>
    </x:row>
    <x:row r="46">
      <x:c r="A46" s="3"/>
      <x:c r="B46" s="3"/>
      <x:c r="C46" s="3"/>
      <x:c r="D46" s="3"/>
      <x:c r="E46" s="31"/>
      <x:c r="F46" s="32"/>
      <x:c r="G46" s="31"/>
      <x:c r="H46" s="3"/>
      <x:c r="I46" s="3"/>
      <x:c r="J46" s="3"/>
      <x:c r="K46" s="3"/>
      <x:c r="L46" s="30"/>
      <x:c r="M46" s="3"/>
      <x:c r="N46" s="3"/>
      <x:c r="O46" s="33"/>
    </x:row>
    <x:row r="47">
      <x:c r="A47" s="3"/>
      <x:c r="B47" s="3"/>
      <x:c r="C47" s="3"/>
      <x:c r="D47" s="3"/>
      <x:c r="E47" s="31"/>
      <x:c r="F47" s="32"/>
      <x:c r="G47" s="31"/>
      <x:c r="H47" s="3"/>
      <x:c r="I47" s="3"/>
      <x:c r="J47" s="3"/>
      <x:c r="K47" s="3"/>
      <x:c r="L47" s="30"/>
      <x:c r="M47" s="3"/>
      <x:c r="N47" s="3"/>
      <x:c r="O47" s="33"/>
    </x:row>
    <x:row r="48">
      <x:c r="A48" s="3"/>
      <x:c r="B48" s="3"/>
      <x:c r="C48" s="3"/>
      <x:c r="D48" s="3"/>
      <x:c r="E48" s="31"/>
      <x:c r="F48" s="32"/>
      <x:c r="G48" s="31"/>
      <x:c r="H48" s="3"/>
      <x:c r="I48" s="3"/>
      <x:c r="J48" s="3"/>
      <x:c r="K48" s="3"/>
      <x:c r="L48" s="30"/>
      <x:c r="M48" s="3"/>
      <x:c r="N48" s="3"/>
      <x:c r="O48" s="33"/>
    </x:row>
    <x:row r="49">
      <x:c r="A49" s="3"/>
      <x:c r="B49" s="3"/>
      <x:c r="C49" s="3"/>
      <x:c r="D49" s="3"/>
      <x:c r="E49" s="31"/>
      <x:c r="F49" s="32"/>
      <x:c r="G49" s="31"/>
      <x:c r="H49" s="3"/>
      <x:c r="I49" s="3"/>
      <x:c r="J49" s="3"/>
      <x:c r="K49" s="3"/>
      <x:c r="L49" s="30"/>
      <x:c r="M49" s="3"/>
      <x:c r="N49" s="3"/>
      <x:c r="O49" s="33"/>
    </x:row>
    <x:row r="50">
      <x:c r="A50" s="3"/>
      <x:c r="B50" s="3"/>
      <x:c r="C50" s="3"/>
      <x:c r="D50" s="3"/>
      <x:c r="E50" s="31"/>
      <x:c r="F50" s="32"/>
      <x:c r="G50" s="31"/>
      <x:c r="H50" s="3"/>
      <x:c r="I50" s="3"/>
      <x:c r="J50" s="3"/>
      <x:c r="K50" s="3"/>
      <x:c r="L50" s="30"/>
      <x:c r="M50" s="3"/>
      <x:c r="N50" s="3"/>
      <x:c r="O50" s="33"/>
    </x:row>
    <x:row r="51">
      <x:c r="A51" s="3"/>
      <x:c r="B51" s="3"/>
      <x:c r="C51" s="3"/>
      <x:c r="D51" s="3"/>
      <x:c r="E51" s="31"/>
      <x:c r="F51" s="32"/>
      <x:c r="G51" s="31"/>
      <x:c r="H51" s="3"/>
      <x:c r="I51" s="3"/>
      <x:c r="J51" s="3"/>
      <x:c r="K51" s="3"/>
      <x:c r="L51" s="30"/>
      <x:c r="M51" s="3"/>
      <x:c r="N51" s="3"/>
      <x:c r="O51" s="33"/>
    </x:row>
    <x:row r="52">
      <x:c r="A52" s="3"/>
      <x:c r="B52" s="3"/>
      <x:c r="C52" s="3"/>
      <x:c r="D52" s="3"/>
      <x:c r="E52" s="31"/>
      <x:c r="F52" s="32"/>
      <x:c r="G52" s="31"/>
      <x:c r="H52" s="3"/>
      <x:c r="I52" s="3"/>
      <x:c r="J52" s="3"/>
      <x:c r="K52" s="3"/>
      <x:c r="L52" s="30"/>
      <x:c r="M52" s="3"/>
      <x:c r="N52" s="3"/>
      <x:c r="O52" s="33"/>
    </x:row>
    <x:row r="53">
      <x:c r="A53" s="3"/>
      <x:c r="B53" s="3"/>
      <x:c r="C53" s="3"/>
      <x:c r="D53" s="3"/>
      <x:c r="E53" s="31"/>
      <x:c r="F53" s="32"/>
      <x:c r="G53" s="31"/>
      <x:c r="H53" s="3"/>
      <x:c r="I53" s="3"/>
      <x:c r="J53" s="3"/>
      <x:c r="K53" s="3"/>
      <x:c r="L53" s="30"/>
      <x:c r="M53" s="3"/>
      <x:c r="N53" s="3"/>
      <x:c r="O53" s="33"/>
    </x:row>
    <x:row r="54">
      <x:c r="A54" s="3"/>
      <x:c r="B54" s="3"/>
      <x:c r="C54" s="3"/>
      <x:c r="D54" s="3"/>
      <x:c r="E54" s="31"/>
      <x:c r="F54" s="32"/>
      <x:c r="G54" s="31"/>
      <x:c r="H54" s="3"/>
      <x:c r="I54" s="3"/>
      <x:c r="J54" s="3"/>
      <x:c r="K54" s="3"/>
      <x:c r="L54" s="30"/>
      <x:c r="M54" s="3"/>
      <x:c r="N54" s="3"/>
      <x:c r="O54" s="33"/>
    </x:row>
    <x:row r="55">
      <x:c r="A55" s="3"/>
      <x:c r="B55" s="3"/>
      <x:c r="C55" s="3"/>
      <x:c r="D55" s="3"/>
      <x:c r="E55" s="31"/>
      <x:c r="F55" s="32"/>
      <x:c r="G55" s="31"/>
      <x:c r="H55" s="3"/>
      <x:c r="I55" s="3"/>
      <x:c r="J55" s="3"/>
      <x:c r="K55" s="3"/>
      <x:c r="L55" s="30"/>
      <x:c r="M55" s="3"/>
      <x:c r="N55" s="3"/>
      <x:c r="O55" s="33"/>
    </x:row>
    <x:row r="56">
      <x:c r="A56" s="3"/>
      <x:c r="B56" s="3"/>
      <x:c r="C56" s="3"/>
      <x:c r="D56" s="3"/>
      <x:c r="E56" s="31"/>
      <x:c r="F56" s="32"/>
      <x:c r="G56" s="31"/>
      <x:c r="H56" s="3"/>
      <x:c r="I56" s="3"/>
      <x:c r="J56" s="3"/>
      <x:c r="K56" s="3"/>
      <x:c r="L56" s="30"/>
      <x:c r="M56" s="3"/>
      <x:c r="N56" s="3"/>
      <x:c r="O56" s="33"/>
    </x:row>
    <x:row r="57">
      <x:c r="A57" s="3"/>
      <x:c r="B57" s="3"/>
      <x:c r="C57" s="3"/>
      <x:c r="D57" s="3"/>
      <x:c r="E57" s="31"/>
      <x:c r="F57" s="32"/>
      <x:c r="G57" s="31"/>
      <x:c r="H57" s="3"/>
      <x:c r="I57" s="3"/>
      <x:c r="J57" s="3"/>
      <x:c r="K57" s="3"/>
      <x:c r="L57" s="30"/>
      <x:c r="M57" s="3"/>
      <x:c r="N57" s="3"/>
      <x:c r="O57" s="33"/>
    </x:row>
    <x:row r="58">
      <x:c r="A58" s="3"/>
      <x:c r="B58" s="3"/>
      <x:c r="C58" s="3"/>
      <x:c r="D58" s="3"/>
      <x:c r="E58" s="31"/>
      <x:c r="F58" s="32"/>
      <x:c r="G58" s="31"/>
      <x:c r="H58" s="3"/>
      <x:c r="I58" s="3"/>
      <x:c r="J58" s="3"/>
      <x:c r="K58" s="3"/>
      <x:c r="L58" s="30"/>
      <x:c r="M58" s="3"/>
      <x:c r="N58" s="3"/>
      <x:c r="O58" s="33"/>
    </x:row>
    <x:row r="59">
      <x:c r="A59" s="3"/>
      <x:c r="B59" s="3"/>
      <x:c r="C59" s="3"/>
      <x:c r="D59" s="3"/>
      <x:c r="E59" s="31"/>
      <x:c r="F59" s="32"/>
      <x:c r="G59" s="31"/>
      <x:c r="H59" s="3"/>
      <x:c r="I59" s="3"/>
      <x:c r="J59" s="3"/>
      <x:c r="K59" s="3"/>
      <x:c r="L59" s="30"/>
      <x:c r="M59" s="3"/>
      <x:c r="N59" s="3"/>
      <x:c r="O59" s="33"/>
    </x:row>
    <x:row r="60">
      <x:c r="A60" s="3"/>
      <x:c r="B60" s="3"/>
      <x:c r="C60" s="3"/>
      <x:c r="D60" s="3"/>
      <x:c r="E60" s="31"/>
      <x:c r="F60" s="32"/>
      <x:c r="G60" s="31"/>
      <x:c r="H60" s="3"/>
      <x:c r="I60" s="3"/>
      <x:c r="J60" s="3"/>
      <x:c r="K60" s="3"/>
      <x:c r="L60" s="30"/>
      <x:c r="M60" s="3"/>
      <x:c r="N60" s="3"/>
      <x:c r="O60" s="33"/>
    </x:row>
    <x:row r="61">
      <x:c r="A61" s="3"/>
      <x:c r="B61" s="3"/>
      <x:c r="C61" s="3"/>
      <x:c r="D61" s="3"/>
      <x:c r="E61" s="31"/>
      <x:c r="F61" s="32"/>
      <x:c r="G61" s="31"/>
      <x:c r="H61" s="3"/>
      <x:c r="I61" s="3"/>
      <x:c r="J61" s="3"/>
      <x:c r="K61" s="3"/>
      <x:c r="L61" s="30"/>
      <x:c r="M61" s="3"/>
      <x:c r="N61" s="3"/>
      <x:c r="O61" s="33"/>
    </x:row>
    <x:row r="62">
      <x:c r="A62" s="3"/>
      <x:c r="B62" s="3"/>
      <x:c r="C62" s="3"/>
      <x:c r="D62" s="3"/>
      <x:c r="E62" s="31"/>
      <x:c r="F62" s="32"/>
      <x:c r="G62" s="31"/>
      <x:c r="H62" s="3"/>
      <x:c r="I62" s="3"/>
      <x:c r="J62" s="3"/>
      <x:c r="K62" s="3"/>
      <x:c r="L62" s="30"/>
      <x:c r="M62" s="3"/>
      <x:c r="N62" s="3"/>
      <x:c r="O62" s="33"/>
    </x:row>
    <x:row r="63">
      <x:c r="A63" s="3"/>
      <x:c r="B63" s="3"/>
      <x:c r="C63" s="3"/>
      <x:c r="D63" s="3"/>
      <x:c r="E63" s="31"/>
      <x:c r="F63" s="32"/>
      <x:c r="G63" s="31"/>
      <x:c r="H63" s="3"/>
      <x:c r="I63" s="3"/>
      <x:c r="J63" s="3"/>
      <x:c r="K63" s="3"/>
      <x:c r="L63" s="30"/>
      <x:c r="M63" s="3"/>
      <x:c r="N63" s="3"/>
      <x:c r="O63" s="33"/>
    </x:row>
    <x:row r="64">
      <x:c r="A64" s="3"/>
      <x:c r="B64" s="3"/>
      <x:c r="C64" s="3"/>
      <x:c r="D64" s="3"/>
      <x:c r="E64" s="31"/>
      <x:c r="F64" s="32"/>
      <x:c r="G64" s="31"/>
      <x:c r="H64" s="3"/>
      <x:c r="I64" s="3"/>
      <x:c r="J64" s="3"/>
      <x:c r="K64" s="3"/>
      <x:c r="L64" s="30"/>
      <x:c r="M64" s="3"/>
      <x:c r="N64" s="3"/>
      <x:c r="O64" s="33"/>
    </x:row>
    <x:row r="65">
      <x:c r="A65" s="3"/>
      <x:c r="B65" s="3"/>
      <x:c r="C65" s="3"/>
      <x:c r="D65" s="3"/>
      <x:c r="E65" s="31"/>
      <x:c r="F65" s="32"/>
      <x:c r="G65" s="31"/>
      <x:c r="H65" s="3"/>
      <x:c r="I65" s="3"/>
      <x:c r="J65" s="3"/>
      <x:c r="K65" s="3"/>
      <x:c r="L65" s="30"/>
      <x:c r="M65" s="3"/>
      <x:c r="N65" s="3"/>
      <x:c r="O65" s="33"/>
    </x:row>
    <x:row r="66">
      <x:c r="A66" s="3"/>
      <x:c r="B66" s="3"/>
      <x:c r="C66" s="3"/>
      <x:c r="D66" s="3"/>
      <x:c r="E66" s="31"/>
      <x:c r="F66" s="32"/>
      <x:c r="G66" s="31"/>
      <x:c r="H66" s="3"/>
      <x:c r="I66" s="3"/>
      <x:c r="J66" s="3"/>
      <x:c r="K66" s="3"/>
      <x:c r="L66" s="30"/>
      <x:c r="M66" s="3"/>
      <x:c r="N66" s="3"/>
      <x:c r="O66" s="33"/>
    </x:row>
    <x:row r="67">
      <x:c r="A67" s="3"/>
      <x:c r="B67" s="3"/>
      <x:c r="C67" s="3"/>
      <x:c r="D67" s="3"/>
      <x:c r="E67" s="31"/>
      <x:c r="F67" s="32"/>
      <x:c r="G67" s="31"/>
      <x:c r="H67" s="3"/>
      <x:c r="I67" s="3"/>
      <x:c r="J67" s="3"/>
      <x:c r="K67" s="3"/>
      <x:c r="L67" s="30"/>
      <x:c r="M67" s="3"/>
      <x:c r="N67" s="3"/>
      <x:c r="O67" s="33"/>
    </x:row>
    <x:row r="68">
      <x:c r="A68" s="3"/>
      <x:c r="B68" s="3"/>
      <x:c r="C68" s="3"/>
      <x:c r="D68" s="3"/>
      <x:c r="E68" s="31"/>
      <x:c r="F68" s="32"/>
      <x:c r="G68" s="31"/>
      <x:c r="H68" s="3"/>
      <x:c r="I68" s="3"/>
      <x:c r="J68" s="3"/>
      <x:c r="K68" s="3"/>
      <x:c r="L68" s="30"/>
      <x:c r="M68" s="3"/>
      <x:c r="N68" s="3"/>
      <x:c r="O68" s="33"/>
    </x:row>
    <x:row r="69">
      <x:c r="A69" s="3"/>
      <x:c r="B69" s="3"/>
      <x:c r="C69" s="3"/>
      <x:c r="D69" s="3"/>
      <x:c r="E69" s="31"/>
      <x:c r="F69" s="32"/>
      <x:c r="G69" s="31"/>
      <x:c r="H69" s="3"/>
      <x:c r="I69" s="3"/>
      <x:c r="J69" s="3"/>
      <x:c r="K69" s="3"/>
      <x:c r="L69" s="30"/>
      <x:c r="M69" s="3"/>
      <x:c r="N69" s="3"/>
      <x:c r="O69" s="33"/>
    </x:row>
    <x:row r="70">
      <x:c r="A70" s="3"/>
      <x:c r="B70" s="3"/>
      <x:c r="C70" s="3"/>
      <x:c r="D70" s="3"/>
      <x:c r="E70" s="31"/>
      <x:c r="F70" s="32"/>
      <x:c r="G70" s="31"/>
      <x:c r="H70" s="3"/>
      <x:c r="I70" s="3"/>
      <x:c r="J70" s="3"/>
      <x:c r="K70" s="3"/>
      <x:c r="L70" s="30"/>
      <x:c r="M70" s="3"/>
      <x:c r="N70" s="3"/>
      <x:c r="O70" s="33"/>
    </x:row>
    <x:row r="71">
      <x:c r="A71" s="3"/>
      <x:c r="B71" s="3"/>
      <x:c r="C71" s="3"/>
      <x:c r="D71" s="3"/>
      <x:c r="E71" s="31"/>
      <x:c r="F71" s="32"/>
      <x:c r="G71" s="31"/>
      <x:c r="H71" s="3"/>
      <x:c r="I71" s="3"/>
      <x:c r="J71" s="3"/>
      <x:c r="K71" s="3"/>
      <x:c r="L71" s="30"/>
      <x:c r="M71" s="3"/>
      <x:c r="N71" s="3"/>
      <x:c r="O71" s="33"/>
    </x:row>
    <x:row r="72">
      <x:c r="A72" s="3"/>
      <x:c r="B72" s="3"/>
      <x:c r="C72" s="3"/>
      <x:c r="D72" s="3"/>
      <x:c r="E72" s="31"/>
      <x:c r="F72" s="32"/>
      <x:c r="G72" s="31"/>
      <x:c r="H72" s="3"/>
      <x:c r="I72" s="3"/>
      <x:c r="J72" s="3"/>
      <x:c r="K72" s="3"/>
      <x:c r="L72" s="30"/>
      <x:c r="M72" s="3"/>
      <x:c r="N72" s="3"/>
      <x:c r="O72" s="33"/>
    </x:row>
    <x:row r="73">
      <x:c r="A73" s="3"/>
      <x:c r="B73" s="3"/>
      <x:c r="C73" s="3"/>
      <x:c r="D73" s="3"/>
      <x:c r="E73" s="31"/>
      <x:c r="F73" s="32"/>
      <x:c r="G73" s="31"/>
      <x:c r="H73" s="3"/>
      <x:c r="I73" s="3"/>
      <x:c r="J73" s="3"/>
      <x:c r="K73" s="3"/>
      <x:c r="L73" s="30"/>
      <x:c r="M73" s="3"/>
      <x:c r="N73" s="3"/>
      <x:c r="O73" s="33"/>
    </x:row>
    <x:row r="74">
      <x:c r="A74" s="3"/>
      <x:c r="B74" s="3"/>
      <x:c r="C74" s="3"/>
      <x:c r="D74" s="3"/>
      <x:c r="E74" s="31"/>
      <x:c r="F74" s="32"/>
      <x:c r="G74" s="31"/>
      <x:c r="H74" s="3"/>
      <x:c r="I74" s="3"/>
      <x:c r="J74" s="3"/>
      <x:c r="K74" s="3"/>
      <x:c r="L74" s="30"/>
      <x:c r="M74" s="3"/>
      <x:c r="N74" s="3"/>
      <x:c r="O74" s="33"/>
    </x:row>
    <x:row r="75">
      <x:c r="A75" s="3"/>
      <x:c r="B75" s="3"/>
      <x:c r="C75" s="3"/>
      <x:c r="D75" s="3"/>
      <x:c r="E75" s="31"/>
      <x:c r="F75" s="32"/>
      <x:c r="G75" s="31"/>
      <x:c r="H75" s="3"/>
      <x:c r="I75" s="3"/>
      <x:c r="J75" s="3"/>
      <x:c r="K75" s="3"/>
      <x:c r="L75" s="30"/>
      <x:c r="M75" s="3"/>
      <x:c r="N75" s="3"/>
      <x:c r="O75" s="33"/>
    </x:row>
    <x:row r="76">
      <x:c r="A76" s="3"/>
      <x:c r="B76" s="3"/>
      <x:c r="C76" s="3"/>
      <x:c r="D76" s="3"/>
      <x:c r="E76" s="31"/>
      <x:c r="F76" s="32"/>
      <x:c r="G76" s="31"/>
      <x:c r="H76" s="3"/>
      <x:c r="I76" s="3"/>
      <x:c r="J76" s="3"/>
      <x:c r="K76" s="3"/>
      <x:c r="L76" s="30"/>
      <x:c r="M76" s="3"/>
      <x:c r="N76" s="3"/>
      <x:c r="O76" s="33"/>
    </x:row>
    <x:row r="77">
      <x:c r="A77" s="3"/>
      <x:c r="B77" s="3"/>
      <x:c r="C77" s="3"/>
      <x:c r="D77" s="3"/>
      <x:c r="E77" s="31"/>
      <x:c r="F77" s="32"/>
      <x:c r="G77" s="31"/>
      <x:c r="H77" s="3"/>
      <x:c r="I77" s="3"/>
      <x:c r="J77" s="3"/>
      <x:c r="K77" s="3"/>
      <x:c r="L77" s="30"/>
      <x:c r="M77" s="3"/>
      <x:c r="N77" s="3"/>
      <x:c r="O77" s="33"/>
    </x:row>
    <x:row r="78">
      <x:c r="A78" s="3"/>
      <x:c r="B78" s="3"/>
      <x:c r="C78" s="3"/>
      <x:c r="D78" s="3"/>
      <x:c r="E78" s="31"/>
      <x:c r="F78" s="32"/>
      <x:c r="G78" s="31"/>
      <x:c r="H78" s="3"/>
      <x:c r="I78" s="3"/>
      <x:c r="J78" s="3"/>
      <x:c r="K78" s="3"/>
      <x:c r="L78" s="30"/>
      <x:c r="M78" s="3"/>
      <x:c r="N78" s="3"/>
      <x:c r="O78" s="33"/>
    </x:row>
    <x:row r="79">
      <x:c r="A79" s="3"/>
      <x:c r="B79" s="3"/>
      <x:c r="C79" s="3"/>
      <x:c r="D79" s="3"/>
      <x:c r="E79" s="31"/>
      <x:c r="F79" s="32"/>
      <x:c r="G79" s="31"/>
      <x:c r="H79" s="3"/>
      <x:c r="I79" s="3"/>
      <x:c r="J79" s="3"/>
      <x:c r="K79" s="3"/>
      <x:c r="L79" s="30"/>
      <x:c r="M79" s="3"/>
      <x:c r="N79" s="3"/>
      <x:c r="O79" s="33"/>
    </x:row>
    <x:row r="80">
      <x:c r="A80" s="3"/>
      <x:c r="B80" s="3"/>
      <x:c r="C80" s="3"/>
      <x:c r="D80" s="3"/>
      <x:c r="E80" s="31"/>
      <x:c r="F80" s="32"/>
      <x:c r="G80" s="31"/>
      <x:c r="H80" s="3"/>
      <x:c r="I80" s="3"/>
      <x:c r="J80" s="3"/>
      <x:c r="K80" s="3"/>
      <x:c r="L80" s="30"/>
      <x:c r="M80" s="3"/>
      <x:c r="N80" s="3"/>
      <x:c r="O80" s="33"/>
    </x:row>
    <x:row r="81">
      <x:c r="A81" s="3"/>
      <x:c r="B81" s="3"/>
      <x:c r="C81" s="3"/>
      <x:c r="D81" s="3"/>
      <x:c r="E81" s="31"/>
      <x:c r="F81" s="32"/>
      <x:c r="G81" s="31"/>
      <x:c r="H81" s="3"/>
      <x:c r="I81" s="3"/>
      <x:c r="J81" s="3"/>
      <x:c r="K81" s="3"/>
      <x:c r="L81" s="30"/>
      <x:c r="M81" s="3"/>
      <x:c r="N81" s="3"/>
      <x:c r="O81" s="33"/>
    </x:row>
    <x:row r="82">
      <x:c r="A82" s="3"/>
      <x:c r="B82" s="3"/>
      <x:c r="C82" s="3"/>
      <x:c r="D82" s="3"/>
      <x:c r="E82" s="31"/>
      <x:c r="F82" s="32"/>
      <x:c r="G82" s="31"/>
      <x:c r="H82" s="3"/>
      <x:c r="I82" s="3"/>
      <x:c r="J82" s="3"/>
      <x:c r="K82" s="3"/>
      <x:c r="L82" s="30"/>
      <x:c r="M82" s="3"/>
      <x:c r="N82" s="3"/>
      <x:c r="O82" s="33"/>
    </x:row>
    <x:row r="83">
      <x:c r="A83" s="3"/>
      <x:c r="B83" s="3"/>
      <x:c r="C83" s="3"/>
      <x:c r="D83" s="3"/>
      <x:c r="E83" s="31"/>
      <x:c r="F83" s="32"/>
      <x:c r="G83" s="31"/>
      <x:c r="H83" s="3"/>
      <x:c r="I83" s="3"/>
      <x:c r="J83" s="3"/>
      <x:c r="K83" s="3"/>
      <x:c r="L83" s="30"/>
      <x:c r="M83" s="3"/>
      <x:c r="N83" s="3"/>
      <x:c r="O83" s="33"/>
    </x:row>
    <x:row r="84">
      <x:c r="A84" s="3"/>
      <x:c r="B84" s="3"/>
      <x:c r="C84" s="3"/>
      <x:c r="D84" s="3"/>
      <x:c r="E84" s="31"/>
      <x:c r="F84" s="32"/>
      <x:c r="G84" s="31"/>
      <x:c r="H84" s="3"/>
      <x:c r="I84" s="3"/>
      <x:c r="J84" s="3"/>
      <x:c r="K84" s="3"/>
      <x:c r="L84" s="30"/>
      <x:c r="M84" s="3"/>
      <x:c r="N84" s="3"/>
      <x:c r="O84" s="33"/>
    </x:row>
    <x:row r="85">
      <x:c r="A85" s="3"/>
      <x:c r="B85" s="3"/>
      <x:c r="C85" s="3"/>
      <x:c r="D85" s="3"/>
      <x:c r="E85" s="31"/>
      <x:c r="F85" s="32"/>
      <x:c r="G85" s="31"/>
      <x:c r="H85" s="3"/>
      <x:c r="I85" s="3"/>
      <x:c r="J85" s="3"/>
      <x:c r="K85" s="3"/>
      <x:c r="L85" s="30"/>
      <x:c r="M85" s="3"/>
      <x:c r="N85" s="3"/>
      <x:c r="O85" s="33"/>
    </x:row>
    <x:row r="86">
      <x:c r="A86" s="3"/>
      <x:c r="B86" s="3"/>
      <x:c r="C86" s="3"/>
      <x:c r="D86" s="3"/>
      <x:c r="E86" s="31"/>
      <x:c r="F86" s="32"/>
      <x:c r="G86" s="31"/>
      <x:c r="H86" s="3"/>
      <x:c r="I86" s="3"/>
      <x:c r="J86" s="3"/>
      <x:c r="K86" s="3"/>
      <x:c r="L86" s="30"/>
      <x:c r="M86" s="3"/>
      <x:c r="N86" s="3"/>
      <x:c r="O86" s="33"/>
    </x:row>
    <x:row r="87">
      <x:c r="A87" s="3"/>
      <x:c r="B87" s="3"/>
      <x:c r="C87" s="3"/>
      <x:c r="D87" s="3"/>
      <x:c r="E87" s="31"/>
      <x:c r="F87" s="32"/>
      <x:c r="G87" s="31"/>
      <x:c r="H87" s="3"/>
      <x:c r="I87" s="3"/>
      <x:c r="J87" s="3"/>
      <x:c r="K87" s="3"/>
      <x:c r="L87" s="30"/>
      <x:c r="M87" s="3"/>
      <x:c r="N87" s="3"/>
      <x:c r="O87" s="33"/>
    </x:row>
    <x:row r="88">
      <x:c r="A88" s="3"/>
      <x:c r="B88" s="3"/>
      <x:c r="C88" s="3"/>
      <x:c r="D88" s="3"/>
      <x:c r="E88" s="31"/>
      <x:c r="F88" s="32"/>
      <x:c r="G88" s="31"/>
      <x:c r="H88" s="3"/>
      <x:c r="I88" s="3"/>
      <x:c r="J88" s="3"/>
      <x:c r="K88" s="3"/>
      <x:c r="L88" s="30"/>
      <x:c r="M88" s="3"/>
      <x:c r="N88" s="3"/>
      <x:c r="O88" s="33"/>
    </x:row>
    <x:row r="89">
      <x:c r="A89" s="3"/>
      <x:c r="B89" s="3"/>
      <x:c r="C89" s="3"/>
      <x:c r="D89" s="3"/>
      <x:c r="E89" s="31"/>
      <x:c r="F89" s="32"/>
      <x:c r="G89" s="31"/>
      <x:c r="H89" s="3"/>
      <x:c r="I89" s="3"/>
      <x:c r="J89" s="3"/>
      <x:c r="K89" s="3"/>
      <x:c r="L89" s="30"/>
      <x:c r="M89" s="3"/>
      <x:c r="N89" s="3"/>
      <x:c r="O89" s="33"/>
    </x:row>
    <x:row r="90">
      <x:c r="A90" s="3"/>
      <x:c r="B90" s="3"/>
      <x:c r="C90" s="3"/>
      <x:c r="D90" s="3"/>
      <x:c r="E90" s="31"/>
      <x:c r="F90" s="32"/>
      <x:c r="G90" s="31"/>
      <x:c r="H90" s="3"/>
      <x:c r="I90" s="3"/>
      <x:c r="J90" s="3"/>
      <x:c r="K90" s="3"/>
      <x:c r="L90" s="30"/>
      <x:c r="M90" s="3"/>
      <x:c r="N90" s="3"/>
      <x:c r="O90" s="33"/>
    </x:row>
    <x:row r="91">
      <x:c r="A91" s="3"/>
      <x:c r="B91" s="3"/>
      <x:c r="C91" s="3"/>
      <x:c r="D91" s="3"/>
      <x:c r="E91" s="31"/>
      <x:c r="F91" s="32"/>
      <x:c r="G91" s="31"/>
      <x:c r="H91" s="3"/>
      <x:c r="I91" s="3"/>
      <x:c r="J91" s="3"/>
      <x:c r="K91" s="3"/>
      <x:c r="L91" s="30"/>
      <x:c r="M91" s="3"/>
      <x:c r="N91" s="3"/>
      <x:c r="O91" s="33"/>
    </x:row>
    <x:row r="92">
      <x:c r="A92" s="3"/>
      <x:c r="B92" s="3"/>
      <x:c r="C92" s="3"/>
      <x:c r="D92" s="3"/>
      <x:c r="E92" s="31"/>
      <x:c r="F92" s="32"/>
      <x:c r="G92" s="31"/>
      <x:c r="H92" s="3"/>
      <x:c r="I92" s="3"/>
      <x:c r="J92" s="3"/>
      <x:c r="K92" s="3"/>
      <x:c r="L92" s="30"/>
      <x:c r="M92" s="3"/>
      <x:c r="N92" s="3"/>
      <x:c r="O92" s="33"/>
    </x:row>
    <x:row r="93">
      <x:c r="A93" s="3"/>
      <x:c r="B93" s="3"/>
      <x:c r="C93" s="3"/>
      <x:c r="D93" s="3"/>
      <x:c r="E93" s="31"/>
      <x:c r="F93" s="32"/>
      <x:c r="G93" s="31"/>
      <x:c r="H93" s="3"/>
      <x:c r="I93" s="3"/>
      <x:c r="J93" s="3"/>
      <x:c r="K93" s="3"/>
      <x:c r="L93" s="30"/>
      <x:c r="M93" s="3"/>
      <x:c r="N93" s="3"/>
      <x:c r="O93" s="33"/>
    </x:row>
    <x:row r="94">
      <x:c r="A94" s="3"/>
      <x:c r="B94" s="3"/>
      <x:c r="C94" s="3"/>
      <x:c r="D94" s="3"/>
      <x:c r="E94" s="31"/>
      <x:c r="F94" s="32"/>
      <x:c r="G94" s="31"/>
      <x:c r="H94" s="3"/>
      <x:c r="I94" s="3"/>
      <x:c r="J94" s="3"/>
      <x:c r="K94" s="3"/>
      <x:c r="L94" s="30"/>
      <x:c r="M94" s="3"/>
      <x:c r="N94" s="3"/>
      <x:c r="O94" s="33"/>
    </x:row>
    <x:row r="95">
      <x:c r="A95" s="3"/>
      <x:c r="B95" s="3"/>
      <x:c r="C95" s="3"/>
      <x:c r="D95" s="3"/>
      <x:c r="E95" s="31"/>
      <x:c r="F95" s="32"/>
      <x:c r="G95" s="31"/>
      <x:c r="H95" s="3"/>
      <x:c r="I95" s="3"/>
      <x:c r="J95" s="3"/>
      <x:c r="K95" s="3"/>
      <x:c r="L95" s="30"/>
      <x:c r="M95" s="3"/>
      <x:c r="N95" s="3"/>
      <x:c r="O95" s="33"/>
    </x:row>
    <x:row r="96">
      <x:c r="A96" s="3"/>
      <x:c r="B96" s="3"/>
      <x:c r="C96" s="3"/>
      <x:c r="D96" s="3"/>
      <x:c r="E96" s="31"/>
      <x:c r="F96" s="32"/>
      <x:c r="G96" s="31"/>
      <x:c r="H96" s="3"/>
      <x:c r="I96" s="3"/>
      <x:c r="J96" s="3"/>
      <x:c r="K96" s="3"/>
      <x:c r="L96" s="30"/>
      <x:c r="M96" s="3"/>
      <x:c r="N96" s="3"/>
      <x:c r="O96" s="33"/>
    </x:row>
    <x:row r="97">
      <x:c r="A97" s="3"/>
      <x:c r="B97" s="3"/>
      <x:c r="C97" s="3"/>
      <x:c r="D97" s="3"/>
      <x:c r="E97" s="31"/>
      <x:c r="F97" s="32"/>
      <x:c r="G97" s="31"/>
      <x:c r="H97" s="3"/>
      <x:c r="I97" s="3"/>
      <x:c r="J97" s="3"/>
      <x:c r="K97" s="3"/>
      <x:c r="L97" s="30"/>
      <x:c r="M97" s="3"/>
      <x:c r="N97" s="3"/>
      <x:c r="O97" s="33"/>
    </x:row>
    <x:row r="98">
      <x:c r="A98" s="3"/>
      <x:c r="B98" s="3"/>
      <x:c r="C98" s="3"/>
      <x:c r="D98" s="3"/>
      <x:c r="E98" s="31"/>
      <x:c r="F98" s="32"/>
      <x:c r="G98" s="31"/>
      <x:c r="H98" s="3"/>
      <x:c r="I98" s="3"/>
      <x:c r="J98" s="3"/>
      <x:c r="K98" s="3"/>
      <x:c r="L98" s="30"/>
      <x:c r="M98" s="3"/>
      <x:c r="N98" s="3"/>
      <x:c r="O98" s="33"/>
    </x:row>
    <x:row r="99">
      <x:c r="A99" s="3"/>
      <x:c r="B99" s="3"/>
      <x:c r="C99" s="3"/>
      <x:c r="D99" s="3"/>
      <x:c r="E99" s="31"/>
      <x:c r="F99" s="32"/>
      <x:c r="G99" s="31"/>
      <x:c r="H99" s="3"/>
      <x:c r="I99" s="3"/>
      <x:c r="J99" s="3"/>
      <x:c r="K99" s="3"/>
      <x:c r="L99" s="30"/>
      <x:c r="M99" s="3"/>
      <x:c r="N99" s="3"/>
      <x:c r="O99" s="33"/>
    </x:row>
    <x:row r="100">
      <x:c r="A100" s="3"/>
      <x:c r="B100" s="3"/>
      <x:c r="C100" s="3"/>
      <x:c r="D100" s="3"/>
      <x:c r="E100" s="31"/>
      <x:c r="F100" s="32"/>
      <x:c r="G100" s="31"/>
      <x:c r="H100" s="3"/>
      <x:c r="I100" s="3"/>
      <x:c r="J100" s="3"/>
      <x:c r="K100" s="3"/>
      <x:c r="L100" s="30"/>
      <x:c r="M100" s="3"/>
      <x:c r="N100" s="3"/>
      <x:c r="O100" s="33"/>
    </x:row>
    <x:row r="101">
      <x:c r="A101" s="3"/>
      <x:c r="B101" s="3"/>
      <x:c r="C101" s="3"/>
      <x:c r="D101" s="3"/>
      <x:c r="E101" s="31"/>
      <x:c r="F101" s="32"/>
      <x:c r="G101" s="31"/>
      <x:c r="H101" s="3"/>
      <x:c r="I101" s="3"/>
      <x:c r="J101" s="3"/>
      <x:c r="K101" s="3"/>
      <x:c r="L101" s="30"/>
      <x:c r="M101" s="3"/>
      <x:c r="N101" s="3"/>
      <x:c r="O101" s="33"/>
    </x:row>
    <x:row r="102">
      <x:c r="A102" s="3"/>
      <x:c r="B102" s="3"/>
      <x:c r="C102" s="3"/>
      <x:c r="D102" s="3"/>
      <x:c r="E102" s="31"/>
      <x:c r="F102" s="32"/>
      <x:c r="G102" s="31"/>
      <x:c r="H102" s="3"/>
      <x:c r="I102" s="3"/>
      <x:c r="J102" s="3"/>
      <x:c r="K102" s="3"/>
      <x:c r="L102" s="30"/>
      <x:c r="M102" s="3"/>
      <x:c r="N102" s="3"/>
      <x:c r="O102" s="33"/>
    </x:row>
    <x:row r="103">
      <x:c r="A103" s="3"/>
      <x:c r="B103" s="3"/>
      <x:c r="C103" s="3"/>
      <x:c r="D103" s="3"/>
      <x:c r="E103" s="31"/>
      <x:c r="F103" s="32"/>
      <x:c r="G103" s="31"/>
      <x:c r="H103" s="3"/>
      <x:c r="I103" s="3"/>
      <x:c r="J103" s="3"/>
      <x:c r="K103" s="3"/>
      <x:c r="L103" s="30"/>
      <x:c r="M103" s="3"/>
      <x:c r="N103" s="3"/>
      <x:c r="O103" s="33"/>
    </x:row>
    <x:row r="104">
      <x:c r="A104" s="3"/>
      <x:c r="B104" s="3"/>
      <x:c r="C104" s="3"/>
      <x:c r="D104" s="3"/>
      <x:c r="E104" s="31"/>
      <x:c r="F104" s="32"/>
      <x:c r="G104" s="31"/>
      <x:c r="H104" s="3"/>
      <x:c r="I104" s="3"/>
      <x:c r="J104" s="3"/>
      <x:c r="K104" s="3"/>
      <x:c r="L104" s="30"/>
      <x:c r="M104" s="3"/>
      <x:c r="N104" s="3"/>
      <x:c r="O104" s="33"/>
    </x:row>
    <x:row r="105">
      <x:c r="A105" s="3"/>
      <x:c r="B105" s="3"/>
      <x:c r="C105" s="3"/>
      <x:c r="D105" s="3"/>
      <x:c r="E105" s="31"/>
      <x:c r="F105" s="32"/>
      <x:c r="G105" s="31"/>
      <x:c r="H105" s="3"/>
      <x:c r="I105" s="3"/>
      <x:c r="J105" s="3"/>
      <x:c r="K105" s="3"/>
      <x:c r="L105" s="30"/>
      <x:c r="M105" s="3"/>
      <x:c r="N105" s="3"/>
      <x:c r="O105" s="33"/>
    </x:row>
    <x:row r="106">
      <x:c r="A106" s="3"/>
      <x:c r="B106" s="3"/>
      <x:c r="C106" s="3"/>
      <x:c r="D106" s="3"/>
      <x:c r="E106" s="31"/>
      <x:c r="F106" s="32"/>
      <x:c r="G106" s="31"/>
      <x:c r="H106" s="3"/>
      <x:c r="I106" s="3"/>
      <x:c r="J106" s="3"/>
      <x:c r="K106" s="3"/>
      <x:c r="L106" s="30"/>
      <x:c r="M106" s="3"/>
      <x:c r="N106" s="3"/>
      <x:c r="O106" s="33"/>
    </x:row>
    <x:row r="107">
      <x:c r="A107" s="3"/>
      <x:c r="B107" s="3"/>
      <x:c r="C107" s="3"/>
      <x:c r="D107" s="3"/>
      <x:c r="E107" s="31"/>
      <x:c r="F107" s="32"/>
      <x:c r="G107" s="31"/>
      <x:c r="H107" s="3"/>
      <x:c r="I107" s="3"/>
      <x:c r="J107" s="3"/>
      <x:c r="K107" s="3"/>
      <x:c r="L107" s="30"/>
      <x:c r="M107" s="3"/>
      <x:c r="N107" s="3"/>
      <x:c r="O107" s="33"/>
    </x:row>
    <x:row r="108">
      <x:c r="A108" s="3"/>
      <x:c r="B108" s="3"/>
      <x:c r="C108" s="3"/>
      <x:c r="D108" s="3"/>
      <x:c r="E108" s="31"/>
      <x:c r="F108" s="32"/>
      <x:c r="G108" s="31"/>
      <x:c r="H108" s="3"/>
      <x:c r="I108" s="3"/>
      <x:c r="J108" s="3"/>
      <x:c r="K108" s="3"/>
      <x:c r="L108" s="30"/>
      <x:c r="M108" s="3"/>
      <x:c r="N108" s="3"/>
      <x:c r="O108" s="33"/>
    </x:row>
    <x:row r="109">
      <x:c r="A109" s="3"/>
      <x:c r="B109" s="3"/>
      <x:c r="C109" s="3"/>
      <x:c r="D109" s="3"/>
      <x:c r="E109" s="31"/>
      <x:c r="F109" s="32"/>
      <x:c r="G109" s="31"/>
      <x:c r="H109" s="3"/>
      <x:c r="I109" s="3"/>
      <x:c r="J109" s="3"/>
      <x:c r="K109" s="3"/>
      <x:c r="L109" s="30"/>
      <x:c r="M109" s="3"/>
      <x:c r="N109" s="3"/>
      <x:c r="O109" s="33"/>
    </x:row>
    <x:row r="110">
      <x:c r="A110" s="3"/>
      <x:c r="B110" s="3"/>
      <x:c r="C110" s="3"/>
      <x:c r="D110" s="3"/>
      <x:c r="E110" s="31"/>
      <x:c r="F110" s="32"/>
      <x:c r="G110" s="31"/>
      <x:c r="H110" s="3"/>
      <x:c r="I110" s="3"/>
      <x:c r="J110" s="3"/>
      <x:c r="K110" s="3"/>
      <x:c r="L110" s="30"/>
      <x:c r="M110" s="3"/>
      <x:c r="N110" s="3"/>
      <x:c r="O110" s="33"/>
    </x:row>
    <x:row r="111">
      <x:c r="A111" s="3"/>
      <x:c r="B111" s="3"/>
      <x:c r="C111" s="3"/>
      <x:c r="D111" s="3"/>
      <x:c r="E111" s="31"/>
      <x:c r="F111" s="32"/>
      <x:c r="G111" s="31"/>
      <x:c r="H111" s="3"/>
      <x:c r="I111" s="3"/>
      <x:c r="J111" s="3"/>
      <x:c r="K111" s="3"/>
      <x:c r="L111" s="30"/>
      <x:c r="M111" s="3"/>
      <x:c r="N111" s="3"/>
      <x:c r="O111" s="33"/>
    </x:row>
    <x:row r="112">
      <x:c r="A112" s="3"/>
      <x:c r="B112" s="3"/>
      <x:c r="C112" s="3"/>
      <x:c r="D112" s="3"/>
      <x:c r="E112" s="31"/>
      <x:c r="F112" s="32"/>
      <x:c r="G112" s="31"/>
      <x:c r="H112" s="3"/>
      <x:c r="I112" s="3"/>
      <x:c r="J112" s="3"/>
      <x:c r="K112" s="3"/>
      <x:c r="L112" s="30"/>
      <x:c r="M112" s="3"/>
      <x:c r="N112" s="3"/>
      <x:c r="O112" s="33"/>
    </x:row>
    <x:row r="113">
      <x:c r="A113" s="3"/>
      <x:c r="B113" s="3"/>
      <x:c r="C113" s="3"/>
      <x:c r="D113" s="3"/>
      <x:c r="E113" s="31"/>
      <x:c r="F113" s="32"/>
      <x:c r="G113" s="31"/>
      <x:c r="H113" s="3"/>
      <x:c r="I113" s="3"/>
      <x:c r="J113" s="3"/>
      <x:c r="K113" s="3"/>
      <x:c r="L113" s="30"/>
      <x:c r="M113" s="3"/>
      <x:c r="N113" s="3"/>
      <x:c r="O113" s="33"/>
    </x:row>
    <x:row r="114">
      <x:c r="A114" s="3"/>
      <x:c r="B114" s="3"/>
      <x:c r="C114" s="3"/>
      <x:c r="D114" s="3"/>
      <x:c r="E114" s="31"/>
      <x:c r="F114" s="32"/>
      <x:c r="G114" s="31"/>
      <x:c r="H114" s="3"/>
      <x:c r="I114" s="3"/>
      <x:c r="J114" s="3"/>
      <x:c r="K114" s="3"/>
      <x:c r="L114" s="30"/>
      <x:c r="M114" s="3"/>
      <x:c r="N114" s="3"/>
      <x:c r="O114" s="33"/>
    </x:row>
    <x:row r="115">
      <x:c r="A115" s="3"/>
      <x:c r="B115" s="3"/>
      <x:c r="C115" s="3"/>
      <x:c r="D115" s="3"/>
      <x:c r="E115" s="31"/>
      <x:c r="F115" s="32"/>
      <x:c r="G115" s="31"/>
      <x:c r="H115" s="3"/>
      <x:c r="I115" s="3"/>
      <x:c r="J115" s="3"/>
      <x:c r="K115" s="3"/>
      <x:c r="L115" s="30"/>
      <x:c r="M115" s="3"/>
      <x:c r="N115" s="3"/>
      <x:c r="O115" s="33"/>
    </x:row>
    <x:row r="116">
      <x:c r="A116" s="3"/>
      <x:c r="B116" s="3"/>
      <x:c r="C116" s="3"/>
      <x:c r="D116" s="3"/>
      <x:c r="E116" s="31"/>
      <x:c r="F116" s="32"/>
      <x:c r="G116" s="31"/>
      <x:c r="H116" s="3"/>
      <x:c r="I116" s="3"/>
      <x:c r="J116" s="3"/>
      <x:c r="K116" s="3"/>
      <x:c r="L116" s="30"/>
      <x:c r="M116" s="3"/>
      <x:c r="N116" s="3"/>
      <x:c r="O116" s="33"/>
    </x:row>
    <x:row r="117">
      <x:c r="A117" s="3"/>
      <x:c r="B117" s="3"/>
      <x:c r="C117" s="3"/>
      <x:c r="D117" s="3"/>
      <x:c r="E117" s="31"/>
      <x:c r="F117" s="32"/>
      <x:c r="G117" s="31"/>
      <x:c r="H117" s="3"/>
      <x:c r="I117" s="3"/>
      <x:c r="J117" s="3"/>
      <x:c r="K117" s="3"/>
      <x:c r="L117" s="30"/>
      <x:c r="M117" s="3"/>
      <x:c r="N117" s="3"/>
      <x:c r="O117" s="33"/>
    </x:row>
    <x:row r="118">
      <x:c r="A118" s="3"/>
      <x:c r="B118" s="3"/>
      <x:c r="C118" s="3"/>
      <x:c r="D118" s="3"/>
      <x:c r="E118" s="31"/>
      <x:c r="F118" s="32"/>
      <x:c r="G118" s="31"/>
      <x:c r="H118" s="3"/>
      <x:c r="I118" s="3"/>
      <x:c r="J118" s="3"/>
      <x:c r="K118" s="3"/>
      <x:c r="L118" s="30"/>
      <x:c r="M118" s="3"/>
      <x:c r="N118" s="3"/>
      <x:c r="O118" s="33"/>
    </x:row>
    <x:row r="119">
      <x:c r="A119" s="3"/>
      <x:c r="B119" s="3"/>
      <x:c r="C119" s="3"/>
      <x:c r="D119" s="3"/>
      <x:c r="E119" s="31"/>
      <x:c r="F119" s="32"/>
      <x:c r="G119" s="31"/>
      <x:c r="H119" s="3"/>
      <x:c r="I119" s="3"/>
      <x:c r="J119" s="3"/>
      <x:c r="K119" s="3"/>
      <x:c r="L119" s="30"/>
      <x:c r="M119" s="3"/>
      <x:c r="N119" s="3"/>
      <x:c r="O119" s="33"/>
    </x:row>
    <x:row r="120">
      <x:c r="A120" s="3"/>
      <x:c r="B120" s="3"/>
      <x:c r="C120" s="3"/>
      <x:c r="D120" s="3"/>
      <x:c r="E120" s="31"/>
      <x:c r="F120" s="32"/>
      <x:c r="G120" s="31"/>
      <x:c r="H120" s="3"/>
      <x:c r="I120" s="3"/>
      <x:c r="J120" s="3"/>
      <x:c r="K120" s="3"/>
      <x:c r="L120" s="30"/>
      <x:c r="M120" s="3"/>
      <x:c r="N120" s="3"/>
      <x:c r="O120" s="33"/>
    </x:row>
    <x:row r="121">
      <x:c r="A121" s="3"/>
      <x:c r="B121" s="3"/>
      <x:c r="C121" s="3"/>
      <x:c r="D121" s="3"/>
      <x:c r="E121" s="31"/>
      <x:c r="F121" s="32"/>
      <x:c r="G121" s="31"/>
      <x:c r="H121" s="3"/>
      <x:c r="I121" s="3"/>
      <x:c r="J121" s="3"/>
      <x:c r="K121" s="3"/>
      <x:c r="L121" s="30"/>
      <x:c r="M121" s="3"/>
      <x:c r="N121" s="3"/>
      <x:c r="O121" s="33"/>
    </x:row>
    <x:row r="122">
      <x:c r="A122" s="3"/>
      <x:c r="B122" s="3"/>
      <x:c r="C122" s="3"/>
      <x:c r="D122" s="3"/>
      <x:c r="E122" s="31"/>
      <x:c r="F122" s="32"/>
      <x:c r="G122" s="31"/>
      <x:c r="H122" s="3"/>
      <x:c r="I122" s="3"/>
      <x:c r="J122" s="3"/>
      <x:c r="K122" s="3"/>
      <x:c r="L122" s="30"/>
      <x:c r="M122" s="3"/>
      <x:c r="N122" s="3"/>
      <x:c r="O122" s="33"/>
    </x:row>
    <x:row r="123">
      <x:c r="A123" s="3"/>
      <x:c r="B123" s="3"/>
      <x:c r="C123" s="3"/>
      <x:c r="D123" s="3"/>
      <x:c r="E123" s="31"/>
      <x:c r="F123" s="32"/>
      <x:c r="G123" s="31"/>
      <x:c r="H123" s="3"/>
      <x:c r="I123" s="3"/>
      <x:c r="J123" s="3"/>
      <x:c r="K123" s="3"/>
      <x:c r="L123" s="30"/>
      <x:c r="M123" s="3"/>
      <x:c r="N123" s="3"/>
      <x:c r="O123" s="33"/>
    </x:row>
    <x:row r="124">
      <x:c r="A124" s="3"/>
      <x:c r="B124" s="3"/>
      <x:c r="C124" s="3"/>
      <x:c r="D124" s="3"/>
      <x:c r="E124" s="31"/>
      <x:c r="F124" s="32"/>
      <x:c r="G124" s="31"/>
      <x:c r="H124" s="3"/>
      <x:c r="I124" s="3"/>
      <x:c r="J124" s="3"/>
      <x:c r="K124" s="3"/>
      <x:c r="L124" s="30"/>
      <x:c r="M124" s="3"/>
      <x:c r="N124" s="3"/>
      <x:c r="O124" s="33"/>
    </x:row>
    <x:row r="125">
      <x:c r="A125" s="3"/>
      <x:c r="B125" s="3"/>
      <x:c r="C125" s="3"/>
      <x:c r="D125" s="3"/>
      <x:c r="E125" s="31"/>
      <x:c r="F125" s="32"/>
      <x:c r="G125" s="31"/>
      <x:c r="H125" s="3"/>
      <x:c r="I125" s="3"/>
      <x:c r="J125" s="3"/>
      <x:c r="K125" s="3"/>
      <x:c r="L125" s="30"/>
      <x:c r="M125" s="3"/>
      <x:c r="N125" s="3"/>
      <x:c r="O125" s="33"/>
    </x:row>
    <x:row r="126">
      <x:c r="A126" s="3"/>
      <x:c r="B126" s="3"/>
      <x:c r="C126" s="3"/>
      <x:c r="D126" s="3"/>
      <x:c r="E126" s="31"/>
      <x:c r="F126" s="32"/>
      <x:c r="G126" s="31"/>
      <x:c r="H126" s="3"/>
      <x:c r="I126" s="3"/>
      <x:c r="J126" s="3"/>
      <x:c r="K126" s="3"/>
      <x:c r="L126" s="30"/>
      <x:c r="M126" s="3"/>
      <x:c r="N126" s="3"/>
      <x:c r="O126" s="33"/>
    </x:row>
    <x:row r="127">
      <x:c r="A127" s="3"/>
      <x:c r="B127" s="3"/>
      <x:c r="C127" s="3"/>
      <x:c r="D127" s="3"/>
      <x:c r="E127" s="31"/>
      <x:c r="F127" s="32"/>
      <x:c r="G127" s="31"/>
      <x:c r="H127" s="3"/>
      <x:c r="I127" s="3"/>
      <x:c r="J127" s="3"/>
      <x:c r="K127" s="3"/>
      <x:c r="L127" s="30"/>
      <x:c r="M127" s="3"/>
      <x:c r="N127" s="3"/>
      <x:c r="O127" s="33"/>
    </x:row>
    <x:row r="128">
      <x:c r="A128" s="3"/>
      <x:c r="B128" s="3"/>
      <x:c r="C128" s="3"/>
      <x:c r="D128" s="3"/>
      <x:c r="E128" s="31"/>
      <x:c r="F128" s="32"/>
      <x:c r="G128" s="31"/>
      <x:c r="H128" s="3"/>
      <x:c r="I128" s="3"/>
      <x:c r="J128" s="3"/>
      <x:c r="K128" s="3"/>
      <x:c r="L128" s="30"/>
      <x:c r="M128" s="3"/>
      <x:c r="N128" s="3"/>
      <x:c r="O128" s="33"/>
    </x:row>
    <x:row r="129">
      <x:c r="A129" s="3"/>
      <x:c r="B129" s="3"/>
      <x:c r="C129" s="3"/>
      <x:c r="D129" s="3"/>
      <x:c r="E129" s="31"/>
      <x:c r="F129" s="32"/>
      <x:c r="G129" s="31"/>
      <x:c r="H129" s="3"/>
      <x:c r="I129" s="3"/>
      <x:c r="J129" s="3"/>
      <x:c r="K129" s="3"/>
      <x:c r="L129" s="30"/>
      <x:c r="M129" s="3"/>
      <x:c r="N129" s="3"/>
      <x:c r="O129" s="33"/>
    </x:row>
    <x:row r="130">
      <x:c r="A130" s="3"/>
      <x:c r="B130" s="3"/>
      <x:c r="C130" s="3"/>
      <x:c r="D130" s="3"/>
      <x:c r="E130" s="31"/>
      <x:c r="F130" s="32"/>
      <x:c r="G130" s="31"/>
      <x:c r="H130" s="3"/>
      <x:c r="I130" s="3"/>
      <x:c r="J130" s="3"/>
      <x:c r="K130" s="3"/>
      <x:c r="L130" s="30"/>
      <x:c r="M130" s="3"/>
      <x:c r="N130" s="3"/>
      <x:c r="O130" s="33"/>
    </x:row>
    <x:row r="131">
      <x:c r="A131" s="3"/>
      <x:c r="B131" s="3"/>
      <x:c r="C131" s="3"/>
      <x:c r="D131" s="3"/>
      <x:c r="E131" s="31"/>
      <x:c r="F131" s="32"/>
      <x:c r="G131" s="31"/>
      <x:c r="H131" s="3"/>
      <x:c r="I131" s="3"/>
      <x:c r="J131" s="3"/>
      <x:c r="K131" s="3"/>
      <x:c r="L131" s="30"/>
      <x:c r="M131" s="3"/>
      <x:c r="N131" s="3"/>
      <x:c r="O131" s="33"/>
    </x:row>
    <x:row r="132">
      <x:c r="A132" s="3"/>
      <x:c r="B132" s="3"/>
      <x:c r="C132" s="3"/>
      <x:c r="D132" s="3"/>
      <x:c r="E132" s="31"/>
      <x:c r="F132" s="32"/>
      <x:c r="G132" s="31"/>
      <x:c r="H132" s="3"/>
      <x:c r="I132" s="3"/>
      <x:c r="J132" s="3"/>
      <x:c r="K132" s="3"/>
      <x:c r="L132" s="30"/>
      <x:c r="M132" s="3"/>
      <x:c r="N132" s="3"/>
      <x:c r="O132" s="33"/>
    </x:row>
    <x:row r="133">
      <x:c r="A133" s="3"/>
      <x:c r="B133" s="3"/>
      <x:c r="C133" s="3"/>
      <x:c r="D133" s="3"/>
      <x:c r="E133" s="31"/>
      <x:c r="F133" s="32"/>
      <x:c r="G133" s="31"/>
      <x:c r="H133" s="3"/>
      <x:c r="I133" s="3"/>
      <x:c r="J133" s="3"/>
      <x:c r="K133" s="3"/>
      <x:c r="L133" s="30"/>
      <x:c r="M133" s="3"/>
      <x:c r="N133" s="3"/>
      <x:c r="O133" s="33"/>
    </x:row>
    <x:row r="134">
      <x:c r="A134" s="3"/>
      <x:c r="B134" s="3"/>
      <x:c r="C134" s="3"/>
      <x:c r="D134" s="3"/>
      <x:c r="E134" s="31"/>
      <x:c r="F134" s="32"/>
      <x:c r="G134" s="31"/>
      <x:c r="H134" s="3"/>
      <x:c r="I134" s="3"/>
      <x:c r="J134" s="3"/>
      <x:c r="K134" s="3"/>
      <x:c r="L134" s="30"/>
      <x:c r="M134" s="3"/>
      <x:c r="N134" s="3"/>
      <x:c r="O134" s="33"/>
    </x:row>
    <x:row r="135">
      <x:c r="A135" s="3"/>
      <x:c r="B135" s="3"/>
      <x:c r="C135" s="3"/>
      <x:c r="D135" s="3"/>
      <x:c r="E135" s="31"/>
      <x:c r="F135" s="32"/>
      <x:c r="G135" s="31"/>
      <x:c r="H135" s="3"/>
      <x:c r="I135" s="3"/>
      <x:c r="J135" s="3"/>
      <x:c r="K135" s="3"/>
      <x:c r="L135" s="30"/>
      <x:c r="M135" s="3"/>
      <x:c r="N135" s="3"/>
      <x:c r="O135" s="33"/>
    </x:row>
    <x:row r="136">
      <x:c r="A136" s="3"/>
      <x:c r="B136" s="3"/>
      <x:c r="C136" s="3"/>
      <x:c r="D136" s="3"/>
      <x:c r="E136" s="31"/>
      <x:c r="F136" s="32"/>
      <x:c r="G136" s="31"/>
      <x:c r="H136" s="3"/>
      <x:c r="I136" s="3"/>
      <x:c r="J136" s="3"/>
      <x:c r="K136" s="3"/>
      <x:c r="L136" s="30"/>
      <x:c r="M136" s="3"/>
      <x:c r="N136" s="3"/>
      <x:c r="O136" s="33"/>
    </x:row>
    <x:row r="137">
      <x:c r="A137" s="3"/>
      <x:c r="B137" s="3"/>
      <x:c r="C137" s="3"/>
      <x:c r="D137" s="3"/>
      <x:c r="E137" s="31"/>
      <x:c r="F137" s="32"/>
      <x:c r="G137" s="31"/>
      <x:c r="H137" s="3"/>
      <x:c r="I137" s="3"/>
      <x:c r="J137" s="3"/>
      <x:c r="K137" s="3"/>
      <x:c r="L137" s="30"/>
      <x:c r="M137" s="3"/>
      <x:c r="N137" s="3"/>
      <x:c r="O137" s="33"/>
    </x:row>
    <x:row r="138">
      <x:c r="A138" s="3"/>
      <x:c r="B138" s="3"/>
      <x:c r="C138" s="3"/>
      <x:c r="D138" s="3"/>
      <x:c r="E138" s="31"/>
      <x:c r="F138" s="32"/>
      <x:c r="G138" s="31"/>
      <x:c r="H138" s="3"/>
      <x:c r="I138" s="3"/>
      <x:c r="J138" s="3"/>
      <x:c r="K138" s="3"/>
      <x:c r="L138" s="30"/>
      <x:c r="M138" s="3"/>
      <x:c r="N138" s="3"/>
      <x:c r="O138" s="33"/>
    </x:row>
    <x:row r="139">
      <x:c r="A139" s="3"/>
      <x:c r="B139" s="3"/>
      <x:c r="C139" s="3"/>
      <x:c r="D139" s="3"/>
      <x:c r="E139" s="31"/>
      <x:c r="F139" s="32"/>
      <x:c r="G139" s="31"/>
      <x:c r="H139" s="3"/>
      <x:c r="I139" s="3"/>
      <x:c r="J139" s="3"/>
      <x:c r="K139" s="3"/>
      <x:c r="L139" s="30"/>
      <x:c r="M139" s="3"/>
      <x:c r="N139" s="3"/>
      <x:c r="O139" s="33"/>
    </x:row>
    <x:row r="140">
      <x:c r="A140" s="3"/>
      <x:c r="B140" s="3"/>
      <x:c r="C140" s="3"/>
      <x:c r="D140" s="3"/>
      <x:c r="E140" s="31"/>
      <x:c r="F140" s="32"/>
      <x:c r="G140" s="31"/>
      <x:c r="H140" s="3"/>
      <x:c r="I140" s="3"/>
      <x:c r="J140" s="3"/>
      <x:c r="K140" s="3"/>
      <x:c r="L140" s="30"/>
      <x:c r="M140" s="3"/>
      <x:c r="N140" s="3"/>
      <x:c r="O140" s="33"/>
    </x:row>
    <x:row r="141">
      <x:c r="A141" s="3"/>
      <x:c r="B141" s="3"/>
      <x:c r="C141" s="3"/>
      <x:c r="D141" s="3"/>
      <x:c r="E141" s="31"/>
      <x:c r="F141" s="32"/>
      <x:c r="G141" s="31"/>
      <x:c r="H141" s="3"/>
      <x:c r="I141" s="3"/>
      <x:c r="J141" s="3"/>
      <x:c r="K141" s="3"/>
      <x:c r="L141" s="30"/>
      <x:c r="M141" s="3"/>
      <x:c r="N141" s="3"/>
      <x:c r="O141" s="33"/>
    </x:row>
    <x:row r="142">
      <x:c r="A142" s="3"/>
      <x:c r="B142" s="3"/>
      <x:c r="C142" s="3"/>
      <x:c r="D142" s="3"/>
      <x:c r="E142" s="31"/>
      <x:c r="F142" s="32"/>
      <x:c r="G142" s="31"/>
      <x:c r="H142" s="3"/>
      <x:c r="I142" s="3"/>
      <x:c r="J142" s="3"/>
      <x:c r="K142" s="3"/>
      <x:c r="L142" s="30"/>
      <x:c r="M142" s="3"/>
      <x:c r="N142" s="3"/>
      <x:c r="O142" s="33"/>
    </x:row>
    <x:row r="143">
      <x:c r="A143" s="3"/>
      <x:c r="B143" s="3"/>
      <x:c r="C143" s="3"/>
      <x:c r="D143" s="3"/>
      <x:c r="E143" s="31"/>
      <x:c r="F143" s="32"/>
      <x:c r="G143" s="31"/>
      <x:c r="H143" s="3"/>
      <x:c r="I143" s="3"/>
      <x:c r="J143" s="3"/>
      <x:c r="K143" s="3"/>
      <x:c r="L143" s="30"/>
      <x:c r="M143" s="3"/>
      <x:c r="N143" s="3"/>
      <x:c r="O143" s="33"/>
    </x:row>
    <x:row r="144">
      <x:c r="A144" s="3"/>
      <x:c r="B144" s="3"/>
      <x:c r="C144" s="3"/>
      <x:c r="D144" s="3"/>
      <x:c r="E144" s="31"/>
      <x:c r="F144" s="32"/>
      <x:c r="G144" s="31"/>
      <x:c r="H144" s="3"/>
      <x:c r="I144" s="3"/>
      <x:c r="J144" s="3"/>
      <x:c r="K144" s="3"/>
      <x:c r="L144" s="30"/>
      <x:c r="M144" s="3"/>
      <x:c r="N144" s="3"/>
      <x:c r="O144" s="33"/>
    </x:row>
    <x:row r="145">
      <x:c r="A145" s="3"/>
      <x:c r="B145" s="3"/>
      <x:c r="C145" s="3"/>
      <x:c r="D145" s="3"/>
      <x:c r="E145" s="31"/>
      <x:c r="F145" s="32"/>
      <x:c r="G145" s="31"/>
      <x:c r="H145" s="3"/>
      <x:c r="I145" s="3"/>
      <x:c r="J145" s="3"/>
      <x:c r="K145" s="3"/>
      <x:c r="L145" s="30"/>
      <x:c r="M145" s="3"/>
      <x:c r="N145" s="3"/>
      <x:c r="O145" s="33"/>
    </x:row>
    <x:row r="146">
      <x:c r="A146" s="3"/>
      <x:c r="B146" s="3"/>
      <x:c r="C146" s="3"/>
      <x:c r="D146" s="3"/>
      <x:c r="E146" s="31"/>
      <x:c r="F146" s="32"/>
      <x:c r="G146" s="31"/>
      <x:c r="H146" s="3"/>
      <x:c r="I146" s="3"/>
      <x:c r="J146" s="3"/>
      <x:c r="K146" s="3"/>
      <x:c r="L146" s="30"/>
      <x:c r="M146" s="3"/>
      <x:c r="N146" s="3"/>
      <x:c r="O146" s="33"/>
    </x:row>
    <x:row r="147">
      <x:c r="A147" s="3"/>
      <x:c r="B147" s="3"/>
      <x:c r="C147" s="3"/>
      <x:c r="D147" s="3"/>
      <x:c r="E147" s="31"/>
      <x:c r="F147" s="32"/>
      <x:c r="G147" s="31"/>
      <x:c r="H147" s="3"/>
      <x:c r="I147" s="3"/>
      <x:c r="J147" s="3"/>
      <x:c r="K147" s="3"/>
      <x:c r="L147" s="30"/>
      <x:c r="M147" s="3"/>
      <x:c r="N147" s="3"/>
      <x:c r="O147" s="33"/>
    </x:row>
    <x:row r="148">
      <x:c r="A148" s="3"/>
      <x:c r="B148" s="3"/>
      <x:c r="C148" s="3"/>
      <x:c r="D148" s="3"/>
      <x:c r="E148" s="31"/>
      <x:c r="F148" s="32"/>
      <x:c r="G148" s="31"/>
      <x:c r="H148" s="3"/>
      <x:c r="I148" s="3"/>
      <x:c r="J148" s="3"/>
      <x:c r="K148" s="3"/>
      <x:c r="L148" s="30"/>
      <x:c r="M148" s="3"/>
      <x:c r="N148" s="3"/>
      <x:c r="O148" s="33"/>
    </x:row>
    <x:row r="149">
      <x:c r="A149" s="3"/>
      <x:c r="B149" s="3"/>
      <x:c r="C149" s="3"/>
      <x:c r="D149" s="3"/>
      <x:c r="E149" s="31"/>
      <x:c r="F149" s="32"/>
      <x:c r="G149" s="31"/>
      <x:c r="H149" s="3"/>
      <x:c r="I149" s="3"/>
      <x:c r="J149" s="3"/>
      <x:c r="K149" s="3"/>
      <x:c r="L149" s="30"/>
      <x:c r="M149" s="3"/>
      <x:c r="N149" s="3"/>
      <x:c r="O149" s="33"/>
    </x:row>
    <x:row r="150">
      <x:c r="A150" s="3"/>
      <x:c r="B150" s="3"/>
      <x:c r="C150" s="3"/>
      <x:c r="D150" s="3"/>
      <x:c r="E150" s="31"/>
      <x:c r="F150" s="32"/>
      <x:c r="G150" s="31"/>
      <x:c r="H150" s="3"/>
      <x:c r="I150" s="3"/>
      <x:c r="J150" s="3"/>
      <x:c r="K150" s="3"/>
      <x:c r="L150" s="30"/>
      <x:c r="M150" s="3"/>
      <x:c r="N150" s="3"/>
      <x:c r="O150" s="33"/>
    </x:row>
    <x:row r="151">
      <x:c r="A151" s="3"/>
      <x:c r="B151" s="3"/>
      <x:c r="C151" s="3"/>
      <x:c r="D151" s="3"/>
      <x:c r="E151" s="31"/>
      <x:c r="F151" s="32"/>
      <x:c r="G151" s="31"/>
      <x:c r="H151" s="3"/>
      <x:c r="I151" s="3"/>
      <x:c r="J151" s="3"/>
      <x:c r="K151" s="3"/>
      <x:c r="L151" s="30"/>
      <x:c r="M151" s="3"/>
      <x:c r="N151" s="3"/>
      <x:c r="O151" s="33"/>
    </x:row>
    <x:row r="152">
      <x:c r="A152" s="3"/>
      <x:c r="B152" s="3"/>
      <x:c r="C152" s="3"/>
      <x:c r="D152" s="3"/>
      <x:c r="E152" s="31"/>
      <x:c r="F152" s="32"/>
      <x:c r="G152" s="31"/>
      <x:c r="H152" s="3"/>
      <x:c r="I152" s="3"/>
      <x:c r="J152" s="3"/>
      <x:c r="K152" s="3"/>
      <x:c r="L152" s="30"/>
      <x:c r="M152" s="3"/>
      <x:c r="N152" s="3"/>
      <x:c r="O152" s="33"/>
    </x:row>
    <x:row r="153">
      <x:c r="A153" s="3"/>
      <x:c r="B153" s="3"/>
      <x:c r="C153" s="3"/>
      <x:c r="D153" s="3"/>
      <x:c r="E153" s="31"/>
      <x:c r="F153" s="32"/>
      <x:c r="G153" s="31"/>
      <x:c r="H153" s="3"/>
      <x:c r="I153" s="3"/>
      <x:c r="J153" s="3"/>
      <x:c r="K153" s="3"/>
      <x:c r="L153" s="30"/>
      <x:c r="M153" s="3"/>
      <x:c r="N153" s="3"/>
      <x:c r="O153" s="33"/>
    </x:row>
    <x:row r="154">
      <x:c r="A154" s="3"/>
      <x:c r="B154" s="3"/>
      <x:c r="C154" s="3"/>
      <x:c r="D154" s="3"/>
      <x:c r="E154" s="31"/>
      <x:c r="F154" s="32"/>
      <x:c r="G154" s="31"/>
      <x:c r="H154" s="3"/>
      <x:c r="I154" s="3"/>
      <x:c r="J154" s="3"/>
      <x:c r="K154" s="3"/>
      <x:c r="L154" s="30"/>
      <x:c r="M154" s="3"/>
      <x:c r="N154" s="3"/>
      <x:c r="O154" s="33"/>
    </x:row>
    <x:row r="155">
      <x:c r="A155" s="3"/>
      <x:c r="B155" s="3"/>
      <x:c r="C155" s="3"/>
      <x:c r="D155" s="3"/>
      <x:c r="E155" s="31"/>
      <x:c r="F155" s="32"/>
      <x:c r="G155" s="31"/>
      <x:c r="H155" s="3"/>
      <x:c r="I155" s="3"/>
      <x:c r="J155" s="3"/>
      <x:c r="K155" s="3"/>
      <x:c r="L155" s="30"/>
      <x:c r="M155" s="3"/>
      <x:c r="N155" s="3"/>
      <x:c r="O155" s="33"/>
    </x:row>
    <x:row r="156">
      <x:c r="A156" s="3"/>
      <x:c r="B156" s="3"/>
      <x:c r="C156" s="3"/>
      <x:c r="D156" s="3"/>
      <x:c r="E156" s="31"/>
      <x:c r="F156" s="32"/>
      <x:c r="G156" s="31"/>
      <x:c r="H156" s="3"/>
      <x:c r="I156" s="3"/>
      <x:c r="J156" s="3"/>
      <x:c r="K156" s="3"/>
      <x:c r="L156" s="30"/>
      <x:c r="M156" s="3"/>
      <x:c r="N156" s="3"/>
      <x:c r="O156" s="33"/>
    </x:row>
    <x:row r="157">
      <x:c r="A157" s="3"/>
      <x:c r="B157" s="3"/>
      <x:c r="C157" s="3"/>
      <x:c r="D157" s="3"/>
      <x:c r="E157" s="31"/>
      <x:c r="F157" s="32"/>
      <x:c r="G157" s="31"/>
      <x:c r="H157" s="3"/>
      <x:c r="I157" s="3"/>
      <x:c r="J157" s="3"/>
      <x:c r="K157" s="3"/>
      <x:c r="L157" s="30"/>
      <x:c r="M157" s="3"/>
      <x:c r="N157" s="3"/>
      <x:c r="O157" s="33"/>
    </x:row>
    <x:row r="158">
      <x:c r="A158" s="3"/>
      <x:c r="B158" s="3"/>
      <x:c r="C158" s="3"/>
      <x:c r="D158" s="3"/>
      <x:c r="E158" s="31"/>
      <x:c r="F158" s="32"/>
      <x:c r="G158" s="31"/>
      <x:c r="H158" s="3"/>
      <x:c r="I158" s="3"/>
      <x:c r="J158" s="3"/>
      <x:c r="K158" s="3"/>
      <x:c r="L158" s="30"/>
      <x:c r="M158" s="3"/>
      <x:c r="N158" s="3"/>
      <x:c r="O158" s="33"/>
    </x:row>
    <x:row r="159">
      <x:c r="A159" s="3"/>
      <x:c r="B159" s="3"/>
      <x:c r="C159" s="3"/>
      <x:c r="D159" s="3"/>
      <x:c r="E159" s="31"/>
      <x:c r="F159" s="32"/>
      <x:c r="G159" s="31"/>
      <x:c r="H159" s="3"/>
      <x:c r="I159" s="3"/>
      <x:c r="J159" s="3"/>
      <x:c r="K159" s="3"/>
      <x:c r="L159" s="30"/>
      <x:c r="M159" s="3"/>
      <x:c r="N159" s="3"/>
      <x:c r="O159" s="33"/>
    </x:row>
    <x:row r="160">
      <x:c r="A160" s="3"/>
      <x:c r="B160" s="3"/>
      <x:c r="C160" s="3"/>
      <x:c r="D160" s="3"/>
      <x:c r="E160" s="31"/>
      <x:c r="F160" s="32"/>
      <x:c r="G160" s="31"/>
      <x:c r="H160" s="3"/>
      <x:c r="I160" s="3"/>
      <x:c r="J160" s="3"/>
      <x:c r="K160" s="3"/>
      <x:c r="L160" s="30"/>
      <x:c r="M160" s="3"/>
      <x:c r="N160" s="3"/>
      <x:c r="O160" s="33"/>
    </x:row>
    <x:row r="161">
      <x:c r="A161" s="3"/>
      <x:c r="B161" s="3"/>
      <x:c r="C161" s="3"/>
      <x:c r="D161" s="3"/>
      <x:c r="E161" s="31"/>
      <x:c r="F161" s="32"/>
      <x:c r="G161" s="31"/>
      <x:c r="H161" s="3"/>
      <x:c r="I161" s="3"/>
      <x:c r="J161" s="3"/>
      <x:c r="K161" s="3"/>
      <x:c r="L161" s="30"/>
      <x:c r="M161" s="3"/>
      <x:c r="N161" s="3"/>
      <x:c r="O161" s="33"/>
    </x:row>
    <x:row r="162">
      <x:c r="A162" s="3"/>
      <x:c r="B162" s="3"/>
      <x:c r="C162" s="3"/>
      <x:c r="D162" s="3"/>
      <x:c r="E162" s="31"/>
      <x:c r="F162" s="32"/>
      <x:c r="G162" s="31"/>
      <x:c r="H162" s="3"/>
      <x:c r="I162" s="3"/>
      <x:c r="J162" s="3"/>
      <x:c r="K162" s="3"/>
      <x:c r="L162" s="30"/>
      <x:c r="M162" s="3"/>
      <x:c r="N162" s="3"/>
      <x:c r="O162" s="33"/>
    </x:row>
    <x:row r="163">
      <x:c r="A163" s="3"/>
      <x:c r="B163" s="3"/>
      <x:c r="C163" s="3"/>
      <x:c r="D163" s="3"/>
      <x:c r="E163" s="31"/>
      <x:c r="F163" s="32"/>
      <x:c r="G163" s="31"/>
      <x:c r="H163" s="3"/>
      <x:c r="I163" s="3"/>
      <x:c r="J163" s="3"/>
      <x:c r="K163" s="3"/>
      <x:c r="L163" s="30"/>
      <x:c r="M163" s="3"/>
      <x:c r="N163" s="3"/>
      <x:c r="O163" s="33"/>
    </x:row>
    <x:row r="164">
      <x:c r="A164" s="3"/>
      <x:c r="B164" s="3"/>
      <x:c r="C164" s="3"/>
      <x:c r="D164" s="3"/>
      <x:c r="E164" s="31"/>
      <x:c r="F164" s="32"/>
      <x:c r="G164" s="31"/>
      <x:c r="H164" s="3"/>
      <x:c r="I164" s="3"/>
      <x:c r="J164" s="3"/>
      <x:c r="K164" s="3"/>
      <x:c r="L164" s="30"/>
      <x:c r="M164" s="3"/>
      <x:c r="N164" s="3"/>
      <x:c r="O164" s="33"/>
    </x:row>
    <x:row r="165">
      <x:c r="A165" s="3"/>
      <x:c r="B165" s="3"/>
      <x:c r="C165" s="3"/>
      <x:c r="D165" s="3"/>
      <x:c r="E165" s="31"/>
      <x:c r="F165" s="32"/>
      <x:c r="G165" s="31"/>
      <x:c r="H165" s="3"/>
      <x:c r="I165" s="3"/>
      <x:c r="J165" s="3"/>
      <x:c r="K165" s="3"/>
      <x:c r="L165" s="30"/>
      <x:c r="M165" s="3"/>
      <x:c r="N165" s="3"/>
      <x:c r="O165" s="33"/>
    </x:row>
    <x:row r="166">
      <x:c r="A166" s="3"/>
      <x:c r="B166" s="3"/>
      <x:c r="C166" s="3"/>
      <x:c r="D166" s="3"/>
      <x:c r="E166" s="31"/>
      <x:c r="F166" s="32"/>
      <x:c r="G166" s="31"/>
      <x:c r="H166" s="3"/>
      <x:c r="I166" s="3"/>
      <x:c r="J166" s="3"/>
      <x:c r="K166" s="3"/>
      <x:c r="L166" s="30"/>
      <x:c r="M166" s="3"/>
      <x:c r="N166" s="3"/>
      <x:c r="O166" s="33"/>
    </x:row>
    <x:row r="167">
      <x:c r="A167" s="3"/>
      <x:c r="B167" s="3"/>
      <x:c r="C167" s="3"/>
      <x:c r="D167" s="3"/>
      <x:c r="E167" s="31"/>
      <x:c r="F167" s="32"/>
      <x:c r="G167" s="31"/>
      <x:c r="H167" s="3"/>
      <x:c r="I167" s="3"/>
      <x:c r="J167" s="3"/>
      <x:c r="K167" s="3"/>
      <x:c r="L167" s="30"/>
      <x:c r="M167" s="3"/>
      <x:c r="N167" s="3"/>
      <x:c r="O167" s="33"/>
    </x:row>
    <x:row r="168">
      <x:c r="A168" s="3"/>
      <x:c r="B168" s="3"/>
      <x:c r="C168" s="3"/>
      <x:c r="D168" s="3"/>
      <x:c r="E168" s="31"/>
      <x:c r="F168" s="32"/>
      <x:c r="G168" s="31"/>
      <x:c r="H168" s="3"/>
      <x:c r="I168" s="3"/>
      <x:c r="J168" s="3"/>
      <x:c r="K168" s="3"/>
      <x:c r="L168" s="30"/>
      <x:c r="M168" s="3"/>
      <x:c r="N168" s="3"/>
      <x:c r="O168" s="33"/>
    </x:row>
    <x:row r="169">
      <x:c r="A169" s="3"/>
      <x:c r="B169" s="3"/>
      <x:c r="C169" s="3"/>
      <x:c r="D169" s="3"/>
      <x:c r="E169" s="31"/>
      <x:c r="F169" s="32"/>
      <x:c r="G169" s="31"/>
      <x:c r="H169" s="3"/>
      <x:c r="I169" s="3"/>
      <x:c r="J169" s="3"/>
      <x:c r="K169" s="3"/>
      <x:c r="L169" s="30"/>
      <x:c r="M169" s="3"/>
      <x:c r="N169" s="3"/>
      <x:c r="O169" s="33"/>
    </x:row>
    <x:row r="170">
      <x:c r="A170" s="3"/>
      <x:c r="B170" s="3"/>
      <x:c r="C170" s="3"/>
      <x:c r="D170" s="3"/>
      <x:c r="E170" s="31"/>
      <x:c r="F170" s="32"/>
      <x:c r="G170" s="31"/>
      <x:c r="H170" s="3"/>
      <x:c r="I170" s="3"/>
      <x:c r="J170" s="3"/>
      <x:c r="K170" s="3"/>
      <x:c r="L170" s="30"/>
      <x:c r="M170" s="3"/>
      <x:c r="N170" s="3"/>
      <x:c r="O170" s="33"/>
    </x:row>
    <x:row r="171">
      <x:c r="A171" s="3"/>
      <x:c r="B171" s="3"/>
      <x:c r="C171" s="3"/>
      <x:c r="D171" s="3"/>
      <x:c r="E171" s="31"/>
      <x:c r="F171" s="32"/>
      <x:c r="G171" s="31"/>
      <x:c r="H171" s="3"/>
      <x:c r="I171" s="3"/>
      <x:c r="J171" s="3"/>
      <x:c r="K171" s="3"/>
      <x:c r="L171" s="30"/>
      <x:c r="M171" s="3"/>
      <x:c r="N171" s="3"/>
      <x:c r="O171" s="33"/>
    </x:row>
    <x:row r="172">
      <x:c r="A172" s="3"/>
      <x:c r="B172" s="3"/>
      <x:c r="C172" s="3"/>
      <x:c r="D172" s="3"/>
      <x:c r="E172" s="31"/>
      <x:c r="F172" s="32"/>
      <x:c r="G172" s="31"/>
      <x:c r="H172" s="3"/>
      <x:c r="I172" s="3"/>
      <x:c r="J172" s="3"/>
      <x:c r="K172" s="3"/>
      <x:c r="L172" s="30"/>
      <x:c r="M172" s="3"/>
      <x:c r="N172" s="3"/>
      <x:c r="O172" s="33"/>
    </x:row>
    <x:row r="173">
      <x:c r="A173" s="3"/>
      <x:c r="B173" s="3"/>
      <x:c r="C173" s="3"/>
      <x:c r="D173" s="3"/>
      <x:c r="E173" s="31"/>
      <x:c r="F173" s="32"/>
      <x:c r="G173" s="31"/>
      <x:c r="H173" s="3"/>
      <x:c r="I173" s="3"/>
      <x:c r="J173" s="3"/>
      <x:c r="K173" s="3"/>
      <x:c r="L173" s="30"/>
      <x:c r="M173" s="3"/>
      <x:c r="N173" s="3"/>
      <x:c r="O173" s="33"/>
    </x:row>
    <x:row r="174">
      <x:c r="A174" s="3"/>
      <x:c r="B174" s="3"/>
      <x:c r="C174" s="3"/>
      <x:c r="D174" s="3"/>
      <x:c r="E174" s="31"/>
      <x:c r="F174" s="32"/>
      <x:c r="G174" s="31"/>
      <x:c r="H174" s="3"/>
      <x:c r="I174" s="3"/>
      <x:c r="J174" s="3"/>
      <x:c r="K174" s="3"/>
      <x:c r="L174" s="30"/>
      <x:c r="M174" s="3"/>
      <x:c r="N174" s="3"/>
      <x:c r="O174" s="33"/>
    </x:row>
    <x:row r="175">
      <x:c r="A175" s="3"/>
      <x:c r="B175" s="3"/>
      <x:c r="C175" s="3"/>
      <x:c r="D175" s="3"/>
      <x:c r="E175" s="31"/>
      <x:c r="F175" s="32"/>
      <x:c r="G175" s="31"/>
      <x:c r="H175" s="3"/>
      <x:c r="I175" s="3"/>
      <x:c r="J175" s="3"/>
      <x:c r="K175" s="3"/>
      <x:c r="L175" s="30"/>
      <x:c r="M175" s="3"/>
      <x:c r="N175" s="3"/>
      <x:c r="O175" s="33"/>
    </x:row>
    <x:row r="176">
      <x:c r="A176" s="3"/>
      <x:c r="B176" s="3"/>
      <x:c r="C176" s="3"/>
      <x:c r="D176" s="3"/>
      <x:c r="E176" s="31"/>
      <x:c r="F176" s="32"/>
      <x:c r="G176" s="31"/>
      <x:c r="H176" s="3"/>
      <x:c r="I176" s="3"/>
      <x:c r="J176" s="3"/>
      <x:c r="K176" s="3"/>
      <x:c r="L176" s="30"/>
      <x:c r="M176" s="3"/>
      <x:c r="N176" s="3"/>
      <x:c r="O176" s="33"/>
    </x:row>
    <x:row r="177">
      <x:c r="A177" s="3"/>
      <x:c r="B177" s="3"/>
      <x:c r="C177" s="3"/>
      <x:c r="D177" s="3"/>
      <x:c r="E177" s="31"/>
      <x:c r="F177" s="32"/>
      <x:c r="G177" s="31"/>
      <x:c r="H177" s="3"/>
      <x:c r="I177" s="3"/>
      <x:c r="J177" s="3"/>
      <x:c r="K177" s="3"/>
      <x:c r="L177" s="30"/>
      <x:c r="M177" s="3"/>
      <x:c r="N177" s="3"/>
      <x:c r="O177" s="33"/>
    </x:row>
    <x:row r="178">
      <x:c r="A178" s="3"/>
      <x:c r="B178" s="3"/>
      <x:c r="C178" s="3"/>
      <x:c r="D178" s="3"/>
      <x:c r="E178" s="31"/>
      <x:c r="F178" s="32"/>
      <x:c r="G178" s="31"/>
      <x:c r="H178" s="3"/>
      <x:c r="I178" s="3"/>
      <x:c r="J178" s="3"/>
      <x:c r="K178" s="3"/>
      <x:c r="L178" s="30"/>
      <x:c r="M178" s="3"/>
      <x:c r="N178" s="3"/>
      <x:c r="O178" s="33"/>
    </x:row>
    <x:row r="179">
      <x:c r="A179" s="3"/>
      <x:c r="B179" s="3"/>
      <x:c r="C179" s="3"/>
      <x:c r="D179" s="3"/>
      <x:c r="E179" s="31"/>
      <x:c r="F179" s="32"/>
      <x:c r="G179" s="31"/>
      <x:c r="H179" s="3"/>
      <x:c r="I179" s="3"/>
      <x:c r="J179" s="3"/>
      <x:c r="K179" s="3"/>
      <x:c r="L179" s="30"/>
      <x:c r="M179" s="3"/>
      <x:c r="N179" s="3"/>
      <x:c r="O179" s="33"/>
    </x:row>
    <x:row r="180">
      <x:c r="A180" s="3"/>
      <x:c r="B180" s="3"/>
      <x:c r="C180" s="3"/>
      <x:c r="D180" s="3"/>
      <x:c r="E180" s="31"/>
      <x:c r="F180" s="32"/>
      <x:c r="G180" s="31"/>
      <x:c r="H180" s="3"/>
      <x:c r="I180" s="3"/>
      <x:c r="J180" s="3"/>
      <x:c r="K180" s="3"/>
      <x:c r="L180" s="30"/>
      <x:c r="M180" s="3"/>
      <x:c r="N180" s="3"/>
      <x:c r="O180" s="33"/>
    </x:row>
    <x:row r="181">
      <x:c r="A181" s="3"/>
      <x:c r="B181" s="3"/>
      <x:c r="C181" s="3"/>
      <x:c r="D181" s="3"/>
      <x:c r="E181" s="31"/>
      <x:c r="F181" s="32"/>
      <x:c r="G181" s="31"/>
      <x:c r="H181" s="3"/>
      <x:c r="I181" s="3"/>
      <x:c r="J181" s="3"/>
      <x:c r="K181" s="3"/>
      <x:c r="L181" s="30"/>
      <x:c r="M181" s="3"/>
      <x:c r="N181" s="3"/>
      <x:c r="O181" s="33"/>
    </x:row>
    <x:row r="182">
      <x:c r="A182" s="3"/>
      <x:c r="B182" s="3"/>
      <x:c r="C182" s="3"/>
      <x:c r="D182" s="3"/>
      <x:c r="E182" s="31"/>
      <x:c r="F182" s="32"/>
      <x:c r="G182" s="31"/>
      <x:c r="H182" s="3"/>
      <x:c r="I182" s="3"/>
      <x:c r="J182" s="3"/>
      <x:c r="K182" s="3"/>
      <x:c r="L182" s="30"/>
      <x:c r="M182" s="3"/>
      <x:c r="N182" s="3"/>
      <x:c r="O182" s="33"/>
    </x:row>
    <x:row r="183">
      <x:c r="A183" s="3"/>
      <x:c r="B183" s="3"/>
      <x:c r="C183" s="3"/>
      <x:c r="D183" s="3"/>
      <x:c r="E183" s="31"/>
      <x:c r="F183" s="32"/>
      <x:c r="G183" s="31"/>
      <x:c r="H183" s="3"/>
      <x:c r="I183" s="3"/>
      <x:c r="J183" s="3"/>
      <x:c r="K183" s="3"/>
      <x:c r="L183" s="30"/>
      <x:c r="M183" s="3"/>
      <x:c r="N183" s="3"/>
      <x:c r="O183" s="33"/>
    </x:row>
    <x:row r="184">
      <x:c r="A184" s="3"/>
      <x:c r="B184" s="3"/>
      <x:c r="C184" s="3"/>
      <x:c r="D184" s="3"/>
      <x:c r="E184" s="31"/>
      <x:c r="F184" s="32"/>
      <x:c r="G184" s="31"/>
      <x:c r="H184" s="3"/>
      <x:c r="I184" s="3"/>
      <x:c r="J184" s="3"/>
      <x:c r="K184" s="3"/>
      <x:c r="L184" s="30"/>
      <x:c r="M184" s="3"/>
      <x:c r="N184" s="3"/>
      <x:c r="O184" s="33"/>
    </x:row>
    <x:row r="185">
      <x:c r="A185" s="3"/>
      <x:c r="B185" s="3"/>
      <x:c r="C185" s="3"/>
      <x:c r="D185" s="3"/>
      <x:c r="E185" s="31"/>
      <x:c r="F185" s="32"/>
      <x:c r="G185" s="31"/>
      <x:c r="H185" s="3"/>
      <x:c r="I185" s="3"/>
      <x:c r="J185" s="3"/>
      <x:c r="K185" s="3"/>
      <x:c r="L185" s="30"/>
      <x:c r="M185" s="3"/>
      <x:c r="N185" s="3"/>
      <x:c r="O185" s="33"/>
    </x:row>
    <x:row r="186">
      <x:c r="A186" s="3"/>
      <x:c r="B186" s="3"/>
      <x:c r="C186" s="3"/>
      <x:c r="D186" s="3"/>
      <x:c r="E186" s="31"/>
      <x:c r="F186" s="32"/>
      <x:c r="G186" s="31"/>
      <x:c r="H186" s="3"/>
      <x:c r="I186" s="3"/>
      <x:c r="J186" s="3"/>
      <x:c r="K186" s="3"/>
      <x:c r="L186" s="30"/>
      <x:c r="M186" s="3"/>
      <x:c r="N186" s="3"/>
      <x:c r="O186" s="33"/>
    </x:row>
    <x:row r="187">
      <x:c r="A187" s="3"/>
      <x:c r="B187" s="3"/>
      <x:c r="C187" s="3"/>
      <x:c r="D187" s="3"/>
      <x:c r="E187" s="31"/>
      <x:c r="F187" s="32"/>
      <x:c r="G187" s="31"/>
      <x:c r="H187" s="3"/>
      <x:c r="I187" s="3"/>
      <x:c r="J187" s="3"/>
      <x:c r="K187" s="3"/>
      <x:c r="L187" s="30"/>
      <x:c r="M187" s="3"/>
      <x:c r="N187" s="3"/>
      <x:c r="O187" s="33"/>
    </x:row>
    <x:row r="188">
      <x:c r="A188" s="3"/>
      <x:c r="B188" s="3"/>
      <x:c r="C188" s="3"/>
      <x:c r="D188" s="3"/>
      <x:c r="E188" s="31"/>
      <x:c r="F188" s="32"/>
      <x:c r="G188" s="31"/>
      <x:c r="H188" s="3"/>
      <x:c r="I188" s="3"/>
      <x:c r="J188" s="3"/>
      <x:c r="K188" s="3"/>
      <x:c r="L188" s="30"/>
      <x:c r="M188" s="3"/>
      <x:c r="N188" s="3"/>
      <x:c r="O188" s="33"/>
    </x:row>
    <x:row r="189">
      <x:c r="A189" s="3"/>
      <x:c r="B189" s="3"/>
      <x:c r="C189" s="3"/>
      <x:c r="D189" s="3"/>
      <x:c r="E189" s="31"/>
      <x:c r="F189" s="32"/>
      <x:c r="G189" s="31"/>
      <x:c r="H189" s="3"/>
      <x:c r="I189" s="3"/>
      <x:c r="J189" s="3"/>
      <x:c r="K189" s="3"/>
      <x:c r="L189" s="30"/>
      <x:c r="M189" s="3"/>
      <x:c r="N189" s="3"/>
      <x:c r="O189" s="33"/>
    </x:row>
    <x:row r="190">
      <x:c r="A190" s="3"/>
      <x:c r="B190" s="3"/>
      <x:c r="C190" s="3"/>
      <x:c r="D190" s="3"/>
      <x:c r="E190" s="31"/>
      <x:c r="F190" s="32"/>
      <x:c r="G190" s="31"/>
      <x:c r="H190" s="3"/>
      <x:c r="I190" s="3"/>
      <x:c r="J190" s="3"/>
      <x:c r="K190" s="3"/>
      <x:c r="L190" s="30"/>
      <x:c r="M190" s="3"/>
      <x:c r="N190" s="3"/>
      <x:c r="O190" s="33"/>
    </x:row>
    <x:row r="191">
      <x:c r="A191" s="3"/>
      <x:c r="B191" s="3"/>
      <x:c r="C191" s="3"/>
      <x:c r="D191" s="3"/>
      <x:c r="E191" s="31"/>
      <x:c r="F191" s="32"/>
      <x:c r="G191" s="31"/>
      <x:c r="H191" s="3"/>
      <x:c r="I191" s="3"/>
      <x:c r="J191" s="3"/>
      <x:c r="K191" s="3"/>
      <x:c r="L191" s="30"/>
      <x:c r="M191" s="3"/>
      <x:c r="N191" s="3"/>
      <x:c r="O191" s="33"/>
    </x:row>
    <x:row r="192">
      <x:c r="A192" s="3"/>
      <x:c r="B192" s="3"/>
      <x:c r="C192" s="3"/>
      <x:c r="D192" s="3"/>
      <x:c r="E192" s="31"/>
      <x:c r="F192" s="32"/>
      <x:c r="G192" s="31"/>
      <x:c r="H192" s="3"/>
      <x:c r="I192" s="3"/>
      <x:c r="J192" s="3"/>
      <x:c r="K192" s="3"/>
      <x:c r="L192" s="30"/>
      <x:c r="M192" s="3"/>
      <x:c r="N192" s="3"/>
      <x:c r="O192" s="33"/>
    </x:row>
    <x:row r="193">
      <x:c r="A193" s="3"/>
      <x:c r="B193" s="3"/>
      <x:c r="C193" s="3"/>
      <x:c r="D193" s="3"/>
      <x:c r="E193" s="31"/>
      <x:c r="F193" s="32"/>
      <x:c r="G193" s="31"/>
      <x:c r="H193" s="3"/>
      <x:c r="I193" s="3"/>
      <x:c r="J193" s="3"/>
      <x:c r="K193" s="3"/>
      <x:c r="L193" s="30"/>
      <x:c r="M193" s="3"/>
      <x:c r="N193" s="3"/>
      <x:c r="O193" s="33"/>
    </x:row>
    <x:row r="194">
      <x:c r="A194" s="3"/>
      <x:c r="B194" s="3"/>
      <x:c r="C194" s="3"/>
      <x:c r="D194" s="3"/>
      <x:c r="E194" s="31"/>
      <x:c r="F194" s="32"/>
      <x:c r="G194" s="31"/>
      <x:c r="H194" s="3"/>
      <x:c r="I194" s="3"/>
      <x:c r="J194" s="3"/>
      <x:c r="K194" s="3"/>
      <x:c r="L194" s="30"/>
      <x:c r="M194" s="3"/>
      <x:c r="N194" s="3"/>
      <x:c r="O194" s="33"/>
    </x:row>
    <x:row r="195">
      <x:c r="A195" s="3"/>
      <x:c r="B195" s="3"/>
      <x:c r="C195" s="3"/>
      <x:c r="D195" s="3"/>
      <x:c r="E195" s="31"/>
      <x:c r="F195" s="32"/>
      <x:c r="G195" s="31"/>
      <x:c r="H195" s="3"/>
      <x:c r="I195" s="3"/>
      <x:c r="J195" s="3"/>
      <x:c r="K195" s="3"/>
      <x:c r="L195" s="30"/>
      <x:c r="M195" s="3"/>
      <x:c r="N195" s="3"/>
      <x:c r="O195" s="33"/>
    </x:row>
    <x:row r="196">
      <x:c r="A196" s="3"/>
      <x:c r="B196" s="3"/>
      <x:c r="C196" s="3"/>
      <x:c r="D196" s="3"/>
      <x:c r="E196" s="31"/>
      <x:c r="F196" s="32"/>
      <x:c r="G196" s="31"/>
      <x:c r="H196" s="3"/>
      <x:c r="I196" s="3"/>
      <x:c r="J196" s="3"/>
      <x:c r="K196" s="3"/>
      <x:c r="L196" s="30"/>
      <x:c r="M196" s="3"/>
      <x:c r="N196" s="3"/>
      <x:c r="O196" s="33"/>
    </x:row>
    <x:row r="197">
      <x:c r="A197" s="3"/>
      <x:c r="B197" s="3"/>
      <x:c r="C197" s="3"/>
      <x:c r="D197" s="3"/>
      <x:c r="E197" s="31"/>
      <x:c r="F197" s="32"/>
      <x:c r="G197" s="31"/>
      <x:c r="H197" s="3"/>
      <x:c r="I197" s="3"/>
      <x:c r="J197" s="3"/>
      <x:c r="K197" s="3"/>
      <x:c r="L197" s="30"/>
      <x:c r="M197" s="3"/>
      <x:c r="N197" s="3"/>
      <x:c r="O197" s="33"/>
    </x:row>
    <x:row r="198">
      <x:c r="A198" s="3"/>
      <x:c r="B198" s="3"/>
      <x:c r="C198" s="3"/>
      <x:c r="D198" s="3"/>
      <x:c r="E198" s="31"/>
      <x:c r="F198" s="32"/>
      <x:c r="G198" s="31"/>
      <x:c r="H198" s="3"/>
      <x:c r="I198" s="3"/>
      <x:c r="J198" s="3"/>
      <x:c r="K198" s="3"/>
      <x:c r="L198" s="30"/>
      <x:c r="M198" s="3"/>
      <x:c r="N198" s="3"/>
      <x:c r="O198" s="33"/>
    </x:row>
    <x:row r="199">
      <x:c r="A199" s="3"/>
      <x:c r="B199" s="3"/>
      <x:c r="C199" s="3"/>
      <x:c r="D199" s="3"/>
      <x:c r="E199" s="31"/>
      <x:c r="F199" s="32"/>
      <x:c r="G199" s="31"/>
      <x:c r="H199" s="3"/>
      <x:c r="I199" s="3"/>
      <x:c r="J199" s="3"/>
      <x:c r="K199" s="3"/>
      <x:c r="L199" s="30"/>
      <x:c r="M199" s="3"/>
      <x:c r="N199" s="3"/>
      <x:c r="O199" s="33"/>
    </x:row>
    <x:row r="200">
      <x:c r="A200" s="3"/>
      <x:c r="B200" s="3"/>
      <x:c r="C200" s="3"/>
      <x:c r="D200" s="3"/>
      <x:c r="E200" s="31"/>
      <x:c r="F200" s="32"/>
      <x:c r="G200" s="31"/>
      <x:c r="H200" s="3"/>
      <x:c r="I200" s="3"/>
      <x:c r="J200" s="3"/>
      <x:c r="K200" s="3"/>
      <x:c r="L200" s="30"/>
      <x:c r="M200" s="3"/>
      <x:c r="N200" s="3"/>
      <x:c r="O200" s="33"/>
    </x:row>
    <x:row r="201">
      <x:c r="A201" s="3"/>
      <x:c r="B201" s="3"/>
      <x:c r="C201" s="3"/>
      <x:c r="D201" s="3"/>
      <x:c r="E201" s="31"/>
      <x:c r="F201" s="32"/>
      <x:c r="G201" s="31"/>
      <x:c r="H201" s="3"/>
      <x:c r="I201" s="3"/>
      <x:c r="J201" s="3"/>
      <x:c r="K201" s="3"/>
      <x:c r="L201" s="30"/>
      <x:c r="M201" s="3"/>
      <x:c r="N201" s="3"/>
      <x:c r="O201" s="33"/>
    </x:row>
    <x:row r="202">
      <x:c r="A202" s="3"/>
      <x:c r="B202" s="3"/>
      <x:c r="C202" s="3"/>
      <x:c r="D202" s="3"/>
      <x:c r="E202" s="31"/>
      <x:c r="F202" s="32"/>
      <x:c r="G202" s="31"/>
      <x:c r="H202" s="3"/>
      <x:c r="I202" s="3"/>
      <x:c r="J202" s="3"/>
      <x:c r="K202" s="3"/>
      <x:c r="L202" s="30"/>
      <x:c r="M202" s="3"/>
      <x:c r="N202" s="3"/>
      <x:c r="O202" s="33"/>
    </x:row>
    <x:row r="203">
      <x:c r="A203" s="3"/>
      <x:c r="B203" s="3"/>
      <x:c r="C203" s="3"/>
      <x:c r="D203" s="3"/>
      <x:c r="E203" s="31"/>
      <x:c r="F203" s="32"/>
      <x:c r="G203" s="31"/>
      <x:c r="H203" s="3"/>
      <x:c r="I203" s="3"/>
      <x:c r="J203" s="3"/>
      <x:c r="K203" s="3"/>
      <x:c r="L203" s="30"/>
      <x:c r="M203" s="3"/>
      <x:c r="N203" s="3"/>
      <x:c r="O203" s="33"/>
    </x:row>
    <x:row r="204">
      <x:c r="A204" s="3"/>
      <x:c r="B204" s="3"/>
      <x:c r="C204" s="3"/>
      <x:c r="D204" s="3"/>
      <x:c r="E204" s="31"/>
      <x:c r="F204" s="32"/>
      <x:c r="G204" s="31"/>
      <x:c r="H204" s="3"/>
      <x:c r="I204" s="3"/>
      <x:c r="J204" s="3"/>
      <x:c r="K204" s="3"/>
      <x:c r="L204" s="30"/>
      <x:c r="M204" s="3"/>
      <x:c r="N204" s="3"/>
      <x:c r="O204" s="33"/>
    </x:row>
  </x:sheetData>
  <x:mergeCells>
    <x:mergeCell ref="A1:O1"/>
    <x:mergeCell ref="A2:O2"/>
  </x:mergeCells>
  <x:dataValidations count="8">
    <x:dataValidation type="list" sqref="D10:D204">
      <x:formula1>"CNY,USD"</x:formula1>
    </x:dataValidation>
    <x:dataValidation type="list" sqref="D5:D204">
      <x:formula1>"CNY,USD"</x:formula1>
    </x:dataValidation>
    <x:dataValidation type="list" sqref="H10:H204">
      <x:formula1>"余额,后付费,预付费"</x:formula1>
    </x:dataValidation>
    <x:dataValidation type="list" sqref="H5:H204">
      <x:formula1>"余额,后付费,预付费"</x:formula1>
    </x:dataValidation>
    <x:dataValidation type="list" sqref="I10:I204">
      <x:formula1>"正常,停用,异常"</x:formula1>
    </x:dataValidation>
    <x:dataValidation type="list" sqref="I5:I204">
      <x:formula1>"正常,停用,异常"</x:formula1>
    </x:dataValidation>
    <x:dataValidation type="list" sqref="K10:K204">
      <x:formula1>"是,否"</x:formula1>
    </x:dataValidation>
    <x:dataValidation type="list" sqref="K5:K204">
      <x:formula1>"是,否"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23" customWidth="1"/>
    <x:col min="2" max="2" width="22" customWidth="1"/>
    <x:col min="3" max="3" width="12" customWidth="1"/>
    <x:col min="4" max="4" width="14" customWidth="1"/>
    <x:col min="5" max="6" width="12" customWidth="1"/>
    <x:col min="7" max="7" width="10" customWidth="1"/>
    <x:col min="8" max="10" width="14" customWidth="1"/>
    <x:col min="11" max="11" width="16" customWidth="1"/>
    <x:col min="12" max="12" width="15" customWidth="1"/>
    <x:col min="13" max="13" width="13" customWidth="1"/>
    <x:col min="14" max="14" width="23" customWidth="1"/>
    <x:col min="15" max="15" width="12" customWidth="1"/>
    <x:col min="16" max="16" width="14" customWidth="1"/>
    <x:col min="17" max="17" width="26" customWidth="1"/>
    <x:col min="18" max="18" width="22" customWidth="1"/>
  </x:cols>
  <x:sheetData>
    <x:row r="1" ht="34.04999923706055" customHeight="1">
      <x:c r="A1" s="1" t="s">
        <x:v>26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32" customHeight="1">
      <x:c r="A2" s="2" t="s">
        <x:v>204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34.04999923706055" customHeight="1">
      <x:c r="A4" s="4" t="s">
        <x:v>28</x:v>
      </x:c>
      <x:c r="B4" s="4" t="s">
        <x:v>205</x:v>
      </x:c>
      <x:c r="C4" s="4" t="s">
        <x:v>130</x:v>
      </x:c>
      <x:c r="D4" s="4" t="s">
        <x:v>206</x:v>
      </x:c>
      <x:c r="E4" s="4" t="s">
        <x:v>207</x:v>
      </x:c>
      <x:c r="F4" s="4" t="s">
        <x:v>208</x:v>
      </x:c>
      <x:c r="G4" s="4" t="s">
        <x:v>209</x:v>
      </x:c>
      <x:c r="H4" s="4" t="s">
        <x:v>210</x:v>
      </x:c>
      <x:c r="I4" s="4" t="s">
        <x:v>211</x:v>
      </x:c>
      <x:c r="J4" s="4" t="s">
        <x:v>212</x:v>
      </x:c>
      <x:c r="K4" s="4" t="s">
        <x:v>213</x:v>
      </x:c>
      <x:c r="L4" s="4" t="s">
        <x:v>214</x:v>
      </x:c>
      <x:c r="M4" s="4" t="s">
        <x:v>215</x:v>
      </x:c>
      <x:c r="N4" s="4" t="s">
        <x:v>216</x:v>
      </x:c>
      <x:c r="O4" s="4" t="s">
        <x:v>143</x:v>
      </x:c>
      <x:c r="P4" s="4" t="s">
        <x:v>62</x:v>
      </x:c>
      <x:c r="Q4" s="4" t="s">
        <x:v>9</x:v>
      </x:c>
      <x:c r="R4" s="4" t="s">
        <x:v>67</x:v>
      </x:c>
    </x:row>
    <x:row r="5">
      <x:c r="A5" s="3" t="s">
        <x:v>217</x:v>
      </x:c>
      <x:c r="B5" s="3" t="s">
        <x:v>218</x:v>
      </x:c>
      <x:c r="C5" s="3" t="s">
        <x:v>219</x:v>
      </x:c>
      <x:c r="D5" s="3" t="s">
        <x:v>220</x:v>
      </x:c>
      <x:c r="E5" s="3">
        <x:v>1920</x:v>
      </x:c>
      <x:c r="F5" s="3">
        <x:v>1080</x:v>
      </x:c>
      <x:c r="G5" s="3">
        <x:v>24</x:v>
      </x:c>
      <x:c r="H5" s="3">
        <x:v>4</x:v>
      </x:c>
      <x:c r="I5" s="3">
        <x:v>15</x:v>
      </x:c>
      <x:c r="J5" s="3" t="s">
        <x:v>221</x:v>
      </x:c>
      <x:c r="K5" s="3" t="s">
        <x:v>23</x:v>
      </x:c>
      <x:c r="L5" s="3" t="s">
        <x:v>222</x:v>
      </x:c>
      <x:c r="M5" s="3" t="s">
        <x:v>222</x:v>
      </x:c>
      <x:c r="N5" s="3" t="s">
        <x:v>223</x:v>
      </x:c>
      <x:c r="O5" s="3" t="s">
        <x:v>224</x:v>
      </x:c>
      <x:c r="P5" s="3" t="s">
        <x:v>225</x:v>
      </x:c>
      <x:c r="Q5" s="3" t="s">
        <x:v>226</x:v>
      </x:c>
      <x:c r="R5" s="33" t="str">
        <x:f>IF(A5="","",IF(COUNTIF($A$5:$A$504,A5)&gt;1,"错误:重复SKU代码",IF(OR(B5="",C5="",D5="",E5&lt;=0,F5&lt;=0,G5&lt;=0,H5&lt;=0,I5&lt;H5,N5="",O5=""),"错误:必填项","OK")))</x:f>
        <x:v>OK</x:v>
      </x:c>
    </x:row>
    <x:row r="6">
      <x:c r="A6" s="3" t="s">
        <x:v>227</x:v>
      </x:c>
      <x:c r="B6" s="3" t="s">
        <x:v>218</x:v>
      </x:c>
      <x:c r="C6" s="3" t="s">
        <x:v>219</x:v>
      </x:c>
      <x:c r="D6" s="3" t="s">
        <x:v>228</x:v>
      </x:c>
      <x:c r="E6" s="3">
        <x:v>864</x:v>
      </x:c>
      <x:c r="F6" s="3">
        <x:v>496</x:v>
      </x:c>
      <x:c r="G6" s="3">
        <x:v>24</x:v>
      </x:c>
      <x:c r="H6" s="3">
        <x:v>4</x:v>
      </x:c>
      <x:c r="I6" s="3">
        <x:v>15</x:v>
      </x:c>
      <x:c r="J6" s="3" t="s">
        <x:v>229</x:v>
      </x:c>
      <x:c r="K6" s="3" t="s">
        <x:v>23</x:v>
      </x:c>
      <x:c r="L6" s="3" t="s">
        <x:v>222</x:v>
      </x:c>
      <x:c r="M6" s="3" t="s">
        <x:v>222</x:v>
      </x:c>
      <x:c r="N6" s="3" t="s">
        <x:v>223</x:v>
      </x:c>
      <x:c r="O6" s="3" t="s">
        <x:v>224</x:v>
      </x:c>
      <x:c r="P6" s="3" t="s">
        <x:v>225</x:v>
      </x:c>
      <x:c r="Q6" s="3" t="s">
        <x:v>226</x:v>
      </x:c>
      <x:c r="R6" s="33" t="str">
        <x:f>IF(A6="","",IF(COUNTIF($A$5:$A$504,A6)&gt;1,"错误:重复SKU代码",IF(OR(B6="",C6="",D6="",E6&lt;=0,F6&lt;=0,G6&lt;=0,H6&lt;=0,I6&lt;H6,N6="",O6=""),"错误:必填项","OK")))</x:f>
        <x:v>OK</x:v>
      </x:c>
    </x:row>
    <x:row r="7">
      <x:c r="A7" s="3" t="s">
        <x:v>230</x:v>
      </x:c>
      <x:c r="B7" s="3" t="s">
        <x:v>218</x:v>
      </x:c>
      <x:c r="C7" s="3" t="s">
        <x:v>219</x:v>
      </x:c>
      <x:c r="D7" s="3" t="s">
        <x:v>231</x:v>
      </x:c>
      <x:c r="E7" s="3">
        <x:v>3840</x:v>
      </x:c>
      <x:c r="F7" s="3">
        <x:v>2160</x:v>
      </x:c>
      <x:c r="G7" s="3">
        <x:v>24</x:v>
      </x:c>
      <x:c r="H7" s="3">
        <x:v>4</x:v>
      </x:c>
      <x:c r="I7" s="3">
        <x:v>15</x:v>
      </x:c>
      <x:c r="J7" s="3" t="s">
        <x:v>221</x:v>
      </x:c>
      <x:c r="K7" s="3" t="s">
        <x:v>23</x:v>
      </x:c>
      <x:c r="L7" s="3" t="s">
        <x:v>222</x:v>
      </x:c>
      <x:c r="M7" s="3" t="s">
        <x:v>222</x:v>
      </x:c>
      <x:c r="N7" s="3" t="s">
        <x:v>223</x:v>
      </x:c>
      <x:c r="O7" s="3" t="s">
        <x:v>224</x:v>
      </x:c>
      <x:c r="P7" s="3" t="s">
        <x:v>225</x:v>
      </x:c>
      <x:c r="Q7" s="3" t="s">
        <x:v>226</x:v>
      </x:c>
      <x:c r="R7" s="33" t="str">
        <x:f>IF(A7="","",IF(COUNTIF($A$5:$A$504,A7)&gt;1,"错误:重复SKU代码",IF(OR(B7="",C7="",D7="",E7&lt;=0,F7&lt;=0,G7&lt;=0,H7&lt;=0,I7&lt;H7,N7="",O7=""),"错误:必填项","OK")))</x:f>
        <x:v>OK</x:v>
      </x:c>
    </x:row>
    <x:row r="8">
      <x:c r="A8" s="3" t="s">
        <x:v>232</x:v>
      </x:c>
      <x:c r="B8" s="3" t="s">
        <x:v>218</x:v>
      </x:c>
      <x:c r="C8" s="3" t="s">
        <x:v>219</x:v>
      </x:c>
      <x:c r="D8" s="3" t="s">
        <x:v>233</x:v>
      </x:c>
      <x:c r="E8" s="3">
        <x:v>1280</x:v>
      </x:c>
      <x:c r="F8" s="3">
        <x:v>720</x:v>
      </x:c>
      <x:c r="G8" s="3">
        <x:v>24</x:v>
      </x:c>
      <x:c r="H8" s="3">
        <x:v>4</x:v>
      </x:c>
      <x:c r="I8" s="3">
        <x:v>15</x:v>
      </x:c>
      <x:c r="J8" s="3" t="s">
        <x:v>229</x:v>
      </x:c>
      <x:c r="K8" s="3" t="s">
        <x:v>23</x:v>
      </x:c>
      <x:c r="L8" s="3" t="s">
        <x:v>222</x:v>
      </x:c>
      <x:c r="M8" s="3" t="s">
        <x:v>222</x:v>
      </x:c>
      <x:c r="N8" s="3" t="s">
        <x:v>223</x:v>
      </x:c>
      <x:c r="O8" s="3" t="s">
        <x:v>224</x:v>
      </x:c>
      <x:c r="P8" s="3" t="s">
        <x:v>225</x:v>
      </x:c>
      <x:c r="Q8" s="3" t="s">
        <x:v>226</x:v>
      </x:c>
      <x:c r="R8" s="33" t="str">
        <x:f>IF(A8="","",IF(COUNTIF($A$5:$A$504,A8)&gt;1,"错误:重复SKU代码",IF(OR(B8="",C8="",D8="",E8&lt;=0,F8&lt;=0,G8&lt;=0,H8&lt;=0,I8&lt;H8,N8="",O8=""),"错误:必填项","OK")))</x:f>
        <x:v>OK</x:v>
      </x:c>
    </x:row>
    <x:row r="9">
      <x:c r="A9" s="3" t="s">
        <x:v>234</x:v>
      </x:c>
      <x:c r="B9" s="3" t="s">
        <x:v>235</x:v>
      </x:c>
      <x:c r="C9" s="3" t="s">
        <x:v>236</x:v>
      </x:c>
      <x:c r="D9" s="3" t="s">
        <x:v>228</x:v>
      </x:c>
      <x:c r="E9" s="3">
        <x:v>864</x:v>
      </x:c>
      <x:c r="F9" s="3">
        <x:v>496</x:v>
      </x:c>
      <x:c r="G9" s="3">
        <x:v>24</x:v>
      </x:c>
      <x:c r="H9" s="3">
        <x:v>4</x:v>
      </x:c>
      <x:c r="I9" s="3">
        <x:v>15</x:v>
      </x:c>
      <x:c r="J9" s="3" t="s">
        <x:v>229</x:v>
      </x:c>
      <x:c r="K9" s="3" t="s">
        <x:v>23</x:v>
      </x:c>
      <x:c r="L9" s="3" t="s">
        <x:v>222</x:v>
      </x:c>
      <x:c r="M9" s="3" t="s">
        <x:v>222</x:v>
      </x:c>
      <x:c r="N9" s="3" t="s">
        <x:v>223</x:v>
      </x:c>
      <x:c r="O9" s="3" t="s">
        <x:v>224</x:v>
      </x:c>
      <x:c r="P9" s="3" t="s">
        <x:v>237</x:v>
      </x:c>
      <x:c r="Q9" s="3" t="s">
        <x:v>226</x:v>
      </x:c>
      <x:c r="R9" s="33" t="str">
        <x:f>IF(A9="","",IF(COUNTIF($A$5:$A$504,A9)&gt;1,"错误:重复SKU代码",IF(OR(B9="",C9="",D9="",E9&lt;=0,F9&lt;=0,G9&lt;=0,H9&lt;=0,I9&lt;H9,N9="",O9=""),"错误:必填项","OK")))</x:f>
        <x:v>OK</x:v>
      </x:c>
    </x:row>
    <x:row r="10">
      <x:c r="A10" s="3" t="s">
        <x:v>238</x:v>
      </x:c>
      <x:c r="B10" s="3" t="s">
        <x:v>235</x:v>
      </x:c>
      <x:c r="C10" s="3" t="s">
        <x:v>236</x:v>
      </x:c>
      <x:c r="D10" s="3" t="s">
        <x:v>233</x:v>
      </x:c>
      <x:c r="E10" s="3">
        <x:v>1280</x:v>
      </x:c>
      <x:c r="F10" s="3">
        <x:v>720</x:v>
      </x:c>
      <x:c r="G10" s="3">
        <x:v>24</x:v>
      </x:c>
      <x:c r="H10" s="3">
        <x:v>4</x:v>
      </x:c>
      <x:c r="I10" s="3">
        <x:v>15</x:v>
      </x:c>
      <x:c r="J10" s="3" t="s">
        <x:v>239</x:v>
      </x:c>
      <x:c r="K10" s="3" t="s">
        <x:v>23</x:v>
      </x:c>
      <x:c r="L10" s="3" t="s">
        <x:v>222</x:v>
      </x:c>
      <x:c r="M10" s="3" t="s">
        <x:v>222</x:v>
      </x:c>
      <x:c r="N10" s="3" t="s">
        <x:v>223</x:v>
      </x:c>
      <x:c r="O10" s="3" t="s">
        <x:v>224</x:v>
      </x:c>
      <x:c r="P10" s="3" t="s">
        <x:v>237</x:v>
      </x:c>
      <x:c r="Q10" s="3" t="s">
        <x:v>226</x:v>
      </x:c>
      <x:c r="R10" s="33" t="str">
        <x:f>IF(A10="","",IF(COUNTIF($A$5:$A$504,A10)&gt;1,"错误:重复SKU代码",IF(OR(B10="",C10="",D10="",E10&lt;=0,F10&lt;=0,G10&lt;=0,H10&lt;=0,I10&lt;H10,N10="",O10=""),"错误:必填项","OK")))</x:f>
        <x:v>OK</x:v>
      </x:c>
    </x:row>
    <x:row r="11">
      <x:c r="A11" s="3" t="s">
        <x:v>240</x:v>
      </x:c>
      <x:c r="B11" s="3" t="s">
        <x:v>241</x:v>
      </x:c>
      <x:c r="C11" s="3" t="s">
        <x:v>242</x:v>
      </x:c>
      <x:c r="D11" s="3" t="s">
        <x:v>228</x:v>
      </x:c>
      <x:c r="E11" s="3">
        <x:v>864</x:v>
      </x:c>
      <x:c r="F11" s="3">
        <x:v>496</x:v>
      </x:c>
      <x:c r="G11" s="3">
        <x:v>24</x:v>
      </x:c>
      <x:c r="H11" s="3">
        <x:v>4</x:v>
      </x:c>
      <x:c r="I11" s="3">
        <x:v>15</x:v>
      </x:c>
      <x:c r="J11" s="3" t="s">
        <x:v>229</x:v>
      </x:c>
      <x:c r="K11" s="3" t="s">
        <x:v>23</x:v>
      </x:c>
      <x:c r="L11" s="3" t="s">
        <x:v>222</x:v>
      </x:c>
      <x:c r="M11" s="3" t="s">
        <x:v>222</x:v>
      </x:c>
      <x:c r="N11" s="3" t="s">
        <x:v>223</x:v>
      </x:c>
      <x:c r="O11" s="3" t="s">
        <x:v>224</x:v>
      </x:c>
      <x:c r="P11" s="3" t="s">
        <x:v>243</x:v>
      </x:c>
      <x:c r="Q11" s="3" t="s">
        <x:v>226</x:v>
      </x:c>
      <x:c r="R11" s="33" t="str">
        <x:f>IF(A11="","",IF(COUNTIF($A$5:$A$504,A11)&gt;1,"错误:重复SKU代码",IF(OR(B11="",C11="",D11="",E11&lt;=0,F11&lt;=0,G11&lt;=0,H11&lt;=0,I11&lt;H11,N11="",O11=""),"错误:必填项","OK")))</x:f>
        <x:v>OK</x:v>
      </x:c>
    </x:row>
    <x:row r="12">
      <x:c r="A12" s="3" t="s">
        <x:v>244</x:v>
      </x:c>
      <x:c r="B12" s="3" t="s">
        <x:v>241</x:v>
      </x:c>
      <x:c r="C12" s="3" t="s">
        <x:v>242</x:v>
      </x:c>
      <x:c r="D12" s="3" t="s">
        <x:v>233</x:v>
      </x:c>
      <x:c r="E12" s="3">
        <x:v>1280</x:v>
      </x:c>
      <x:c r="F12" s="3">
        <x:v>720</x:v>
      </x:c>
      <x:c r="G12" s="3">
        <x:v>24</x:v>
      </x:c>
      <x:c r="H12" s="3">
        <x:v>4</x:v>
      </x:c>
      <x:c r="I12" s="3">
        <x:v>15</x:v>
      </x:c>
      <x:c r="J12" s="3" t="s">
        <x:v>229</x:v>
      </x:c>
      <x:c r="K12" s="3" t="s">
        <x:v>23</x:v>
      </x:c>
      <x:c r="L12" s="3" t="s">
        <x:v>222</x:v>
      </x:c>
      <x:c r="M12" s="3" t="s">
        <x:v>222</x:v>
      </x:c>
      <x:c r="N12" s="3" t="s">
        <x:v>223</x:v>
      </x:c>
      <x:c r="O12" s="3" t="s">
        <x:v>224</x:v>
      </x:c>
      <x:c r="P12" s="3" t="s">
        <x:v>243</x:v>
      </x:c>
      <x:c r="Q12" s="3" t="s">
        <x:v>226</x:v>
      </x:c>
      <x:c r="R12" s="33" t="str">
        <x:f>IF(A12="","",IF(COUNTIF($A$5:$A$504,A12)&gt;1,"错误:重复SKU代码",IF(OR(B12="",C12="",D12="",E12&lt;=0,F12&lt;=0,G12&lt;=0,H12&lt;=0,I12&lt;H12,N12="",O12=""),"错误:必填项","OK")))</x:f>
        <x:v>OK</x:v>
      </x:c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3"/>
    </x:row>
    <x:row r="8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3"/>
    </x:row>
    <x:row r="82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3"/>
    </x:row>
    <x:row r="83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3"/>
    </x:row>
    <x:row r="84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3"/>
    </x:row>
    <x:row r="85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3"/>
    </x:row>
    <x:row r="86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3"/>
    </x:row>
    <x:row r="87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3"/>
    </x:row>
    <x:row r="88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3"/>
    </x:row>
    <x:row r="89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3"/>
    </x:row>
    <x:row r="90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3"/>
    </x:row>
    <x:row r="9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3"/>
    </x:row>
    <x:row r="92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3"/>
    </x:row>
    <x:row r="93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3"/>
    </x:row>
    <x:row r="94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3"/>
    </x:row>
    <x:row r="95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3"/>
    </x:row>
    <x:row r="96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3"/>
    </x:row>
    <x:row r="97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3"/>
    </x:row>
    <x:row r="98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3"/>
    </x:row>
    <x:row r="99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3"/>
    </x:row>
    <x:row r="100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3"/>
    </x:row>
    <x:row r="10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3"/>
    </x:row>
    <x:row r="102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3"/>
    </x:row>
    <x:row r="103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3"/>
    </x:row>
    <x:row r="104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3"/>
    </x:row>
    <x:row r="105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3"/>
    </x:row>
    <x:row r="106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3"/>
    </x:row>
    <x:row r="107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3"/>
    </x:row>
    <x:row r="108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3"/>
    </x:row>
    <x:row r="109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3"/>
    </x:row>
    <x:row r="110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3"/>
    </x:row>
    <x:row r="11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3"/>
    </x:row>
    <x:row r="112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3"/>
    </x:row>
    <x:row r="113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3"/>
    </x:row>
    <x:row r="114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3"/>
    </x:row>
    <x:row r="115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3"/>
    </x:row>
    <x:row r="116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3"/>
    </x:row>
    <x:row r="117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3"/>
    </x:row>
    <x:row r="118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3"/>
    </x:row>
    <x:row r="119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3"/>
    </x:row>
    <x:row r="120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3"/>
    </x:row>
    <x:row r="12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3"/>
    </x:row>
    <x:row r="122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3"/>
    </x:row>
    <x:row r="123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3"/>
    </x:row>
    <x:row r="124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3"/>
    </x:row>
    <x:row r="125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3"/>
    </x:row>
    <x:row r="126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3"/>
    </x:row>
    <x:row r="127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3"/>
    </x:row>
    <x:row r="128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3"/>
    </x:row>
    <x:row r="129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3"/>
    </x:row>
    <x:row r="130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3"/>
    </x:row>
    <x:row r="13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3"/>
      <x:c r="R131" s="33"/>
    </x:row>
    <x:row r="132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33"/>
    </x:row>
    <x:row r="133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3"/>
    </x:row>
    <x:row r="134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3"/>
    </x:row>
    <x:row r="135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3"/>
      <x:c r="R135" s="33"/>
    </x:row>
    <x:row r="136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3"/>
      <x:c r="R136" s="33"/>
    </x:row>
    <x:row r="137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3"/>
      <x:c r="R137" s="33"/>
    </x:row>
    <x:row r="138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3"/>
      <x:c r="R138" s="33"/>
    </x:row>
    <x:row r="139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3"/>
      <x:c r="R139" s="33"/>
    </x:row>
    <x:row r="140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3"/>
      <x:c r="R140" s="33"/>
    </x:row>
    <x:row r="14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3"/>
      <x:c r="R141" s="33"/>
    </x:row>
    <x:row r="142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3"/>
    </x:row>
    <x:row r="143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3"/>
      <x:c r="R143" s="33"/>
    </x:row>
    <x:row r="144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3"/>
      <x:c r="R144" s="33"/>
    </x:row>
    <x:row r="145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3"/>
      <x:c r="R145" s="33"/>
    </x:row>
    <x:row r="146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3"/>
    </x:row>
    <x:row r="147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3"/>
      <x:c r="R147" s="33"/>
    </x:row>
    <x:row r="148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3"/>
      <x:c r="R148" s="33"/>
    </x:row>
    <x:row r="149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3"/>
      <x:c r="R149" s="33"/>
    </x:row>
    <x:row r="150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3"/>
      <x:c r="R150" s="33"/>
    </x:row>
    <x:row r="15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3"/>
      <x:c r="R151" s="33"/>
    </x:row>
    <x:row r="152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33"/>
    </x:row>
    <x:row r="153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33"/>
    </x:row>
    <x:row r="154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33"/>
    </x:row>
    <x:row r="155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3"/>
    </x:row>
    <x:row r="156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3"/>
    </x:row>
    <x:row r="157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3"/>
    </x:row>
    <x:row r="158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3"/>
    </x:row>
    <x:row r="159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3"/>
    </x:row>
    <x:row r="160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3"/>
    </x:row>
    <x:row r="16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3"/>
    </x:row>
    <x:row r="162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3"/>
    </x:row>
    <x:row r="163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3"/>
    </x:row>
    <x:row r="164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3"/>
    </x:row>
    <x:row r="165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3"/>
    </x:row>
    <x:row r="166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3"/>
    </x:row>
    <x:row r="167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3"/>
    </x:row>
    <x:row r="168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3"/>
    </x:row>
    <x:row r="169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3"/>
    </x:row>
    <x:row r="170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3"/>
    </x:row>
    <x:row r="17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3"/>
    </x:row>
    <x:row r="172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3"/>
    </x:row>
    <x:row r="173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3"/>
    </x:row>
    <x:row r="174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3"/>
    </x:row>
    <x:row r="175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3"/>
    </x:row>
    <x:row r="176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3"/>
    </x:row>
    <x:row r="177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3"/>
    </x:row>
    <x:row r="178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3"/>
    </x:row>
    <x:row r="179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3"/>
    </x:row>
    <x:row r="180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3"/>
    </x:row>
    <x:row r="18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3"/>
      <x:c r="Q181" s="3"/>
      <x:c r="R181" s="33"/>
    </x:row>
    <x:row r="182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3"/>
      <x:c r="Q182" s="3"/>
      <x:c r="R182" s="33"/>
    </x:row>
    <x:row r="183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3"/>
      <x:c r="Q183" s="3"/>
      <x:c r="R183" s="33"/>
    </x:row>
    <x:row r="184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3"/>
      <x:c r="Q184" s="3"/>
      <x:c r="R184" s="33"/>
    </x:row>
    <x:row r="185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3"/>
      <x:c r="Q185" s="3"/>
      <x:c r="R185" s="33"/>
    </x:row>
    <x:row r="186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3"/>
      <x:c r="Q186" s="3"/>
      <x:c r="R186" s="33"/>
    </x:row>
    <x:row r="187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3"/>
      <x:c r="Q187" s="3"/>
      <x:c r="R187" s="33"/>
    </x:row>
    <x:row r="188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3"/>
      <x:c r="Q188" s="3"/>
      <x:c r="R188" s="33"/>
    </x:row>
    <x:row r="189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3"/>
      <x:c r="Q189" s="3"/>
      <x:c r="R189" s="33"/>
    </x:row>
    <x:row r="190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3"/>
      <x:c r="Q190" s="3"/>
      <x:c r="R190" s="33"/>
    </x:row>
    <x:row r="19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3"/>
      <x:c r="Q191" s="3"/>
      <x:c r="R191" s="33"/>
    </x:row>
    <x:row r="192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3"/>
      <x:c r="Q192" s="3"/>
      <x:c r="R192" s="33"/>
    </x:row>
    <x:row r="193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3"/>
      <x:c r="Q193" s="3"/>
      <x:c r="R193" s="33"/>
    </x:row>
    <x:row r="194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3"/>
      <x:c r="Q194" s="3"/>
      <x:c r="R194" s="33"/>
    </x:row>
    <x:row r="195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3"/>
      <x:c r="Q195" s="3"/>
      <x:c r="R195" s="33"/>
    </x:row>
    <x:row r="196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3"/>
      <x:c r="Q196" s="3"/>
      <x:c r="R196" s="33"/>
    </x:row>
    <x:row r="197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3"/>
      <x:c r="Q197" s="3"/>
      <x:c r="R197" s="33"/>
    </x:row>
    <x:row r="198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3"/>
      <x:c r="Q198" s="3"/>
      <x:c r="R198" s="33"/>
    </x:row>
    <x:row r="199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3"/>
      <x:c r="Q199" s="3"/>
      <x:c r="R199" s="33"/>
    </x:row>
    <x:row r="200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3"/>
      <x:c r="Q200" s="3"/>
      <x:c r="R200" s="33"/>
    </x:row>
    <x:row r="201">
      <x:c r="A201" s="3"/>
      <x:c r="B201" s="3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3"/>
      <x:c r="Q201" s="3"/>
      <x:c r="R201" s="33"/>
    </x:row>
    <x:row r="202">
      <x:c r="A202" s="3"/>
      <x:c r="B202" s="3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3"/>
      <x:c r="Q202" s="3"/>
      <x:c r="R202" s="33"/>
    </x:row>
    <x:row r="203">
      <x:c r="A203" s="3"/>
      <x:c r="B203" s="3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3"/>
      <x:c r="Q203" s="3"/>
      <x:c r="R203" s="33"/>
    </x:row>
    <x:row r="204">
      <x:c r="A204" s="3"/>
      <x:c r="B204" s="3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3"/>
      <x:c r="Q204" s="3"/>
      <x:c r="R204" s="33"/>
    </x:row>
  </x:sheetData>
  <x:mergeCells>
    <x:mergeCell ref="A1:R1"/>
    <x:mergeCell ref="A2:R2"/>
  </x:mergeCells>
  <x:dataValidations count="6">
    <x:dataValidation type="list" sqref="K10:M204">
      <x:formula1>"是,否,待确认"</x:formula1>
    </x:dataValidation>
    <x:dataValidation type="list" sqref="K5:M204">
      <x:formula1>"是,否,待确认"</x:formula1>
    </x:dataValidation>
    <x:dataValidation type="list" sqref="N10:N204">
      <x:formula1>"video_pixel_tokens,upstream_usage,local_usage"</x:formula1>
    </x:dataValidation>
    <x:dataValidation type="list" sqref="N5:N204">
      <x:formula1>"video_pixel_tokens,upstream_usage,local_usage"</x:formula1>
    </x:dataValidation>
    <x:dataValidation type="list" sqref="O10:O204">
      <x:formula1>"draft,active,inactive"</x:formula1>
    </x:dataValidation>
    <x:dataValidation type="list" sqref="O5:O204">
      <x:formula1>"draft,active,inactive"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27" customWidth="1"/>
    <x:col min="2" max="2" width="25" customWidth="1"/>
    <x:col min="3" max="3" width="24" customWidth="1"/>
    <x:col min="4" max="4" width="16" customWidth="1"/>
    <x:col min="5" max="5" width="14" customWidth="1"/>
    <x:col min="6" max="6" width="10" customWidth="1"/>
    <x:col min="7" max="7" width="13" customWidth="1"/>
    <x:col min="8" max="9" width="11" customWidth="1"/>
    <x:col min="11" max="12" width="17" customWidth="1"/>
    <x:col min="13" max="13" width="14" customWidth="1"/>
    <x:col min="14" max="14" width="17" customWidth="1"/>
    <x:col min="15" max="16" width="14" customWidth="1"/>
    <x:col min="17" max="17" width="12" customWidth="1"/>
    <x:col min="18" max="18" width="14" customWidth="1"/>
    <x:col min="19" max="19" width="34" customWidth="1"/>
    <x:col min="20" max="20" width="22" customWidth="1"/>
  </x:cols>
  <x:sheetData>
    <x:row r="1" ht="34.04999923706055" customHeight="1">
      <x:c r="A1" s="1" t="s">
        <x:v>33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 ht="32" customHeight="1">
      <x:c r="A2" s="2" t="s">
        <x:v>245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</x:row>
    <x:row r="4" ht="34.04999923706055" customHeight="1">
      <x:c r="A4" s="4" t="s">
        <x:v>35</x:v>
      </x:c>
      <x:c r="B4" s="4" t="s">
        <x:v>246</x:v>
      </x:c>
      <x:c r="C4" s="4" t="s">
        <x:v>28</x:v>
      </x:c>
      <x:c r="D4" s="4" t="s">
        <x:v>247</x:v>
      </x:c>
      <x:c r="E4" s="4" t="s">
        <x:v>248</x:v>
      </x:c>
      <x:c r="F4" s="4" t="s">
        <x:v>249</x:v>
      </x:c>
      <x:c r="G4" s="4" t="s">
        <x:v>250</x:v>
      </x:c>
      <x:c r="H4" s="4" t="s">
        <x:v>207</x:v>
      </x:c>
      <x:c r="I4" s="4" t="s">
        <x:v>208</x:v>
      </x:c>
      <x:c r="J4" s="4" t="s">
        <x:v>209</x:v>
      </x:c>
      <x:c r="K4" s="4" t="s">
        <x:v>251</x:v>
      </x:c>
      <x:c r="L4" s="4" t="s">
        <x:v>252</x:v>
      </x:c>
      <x:c r="M4" s="4" t="s">
        <x:v>253</x:v>
      </x:c>
      <x:c r="N4" s="4" t="s">
        <x:v>254</x:v>
      </x:c>
      <x:c r="O4" s="4" t="s">
        <x:v>255</x:v>
      </x:c>
      <x:c r="P4" s="4" t="s">
        <x:v>256</x:v>
      </x:c>
      <x:c r="Q4" s="4" t="s">
        <x:v>143</x:v>
      </x:c>
      <x:c r="R4" s="4" t="s">
        <x:v>62</x:v>
      </x:c>
      <x:c r="S4" s="4" t="s">
        <x:v>9</x:v>
      </x:c>
      <x:c r="T4" s="4" t="s">
        <x:v>67</x:v>
      </x:c>
    </x:row>
    <x:row r="5">
      <x:c r="A5" s="3" t="s">
        <x:v>257</x:v>
      </x:c>
      <x:c r="B5" s="3" t="s">
        <x:v>218</x:v>
      </x:c>
      <x:c r="C5" s="3" t="s">
        <x:v>217</x:v>
      </x:c>
      <x:c r="D5" s="3" t="s">
        <x:v>258</x:v>
      </x:c>
      <x:c r="E5" s="3" t="s">
        <x:v>259</x:v>
      </x:c>
      <x:c r="F5" s="3" t="s">
        <x:v>150</x:v>
      </x:c>
      <x:c r="G5" s="34" t="s">
        <x:v>260</x:v>
      </x:c>
      <x:c r="H5" s="3">
        <x:v>1920</x:v>
      </x:c>
      <x:c r="I5" s="3">
        <x:v>1080</x:v>
      </x:c>
      <x:c r="J5" s="3">
        <x:v>24</x:v>
      </x:c>
      <x:c r="K5" s="35" t="n">
        <x:f>IFERROR(H5*I5*J5/'参数'!$B$7,"")</x:f>
        <x:v>48600</x:v>
      </x:c>
      <x:c r="L5" s="36" t="s">
        <x:v>261</x:v>
      </x:c>
      <x:c r="M5" s="36" t="n">
        <x:f>IFERROR(G5*'参数'!$B$6,"")</x:f>
        <x:v>6.986301369863013</x:v>
      </x:c>
      <x:c r="N5" s="36" t="n">
        <x:f>IFERROR(L5*'参数'!$B$6,"")</x:f>
        <x:v>0.3395890410958904</x:v>
      </x:c>
      <x:c r="O5" s="30">
        <x:v>46236.7835762037</x:v>
      </x:c>
      <x:c r="P5" s="30"/>
      <x:c r="Q5" s="3" t="s">
        <x:v>224</x:v>
      </x:c>
      <x:c r="R5" s="3" t="s">
        <x:v>225</x:v>
      </x:c>
      <x:c r="S5" s="3" t="s">
        <x:v>262</x:v>
      </x:c>
      <x:c r="T5" s="33" t="str">
        <x:f>IF(A5="","",IF(COUNTIF($A$5:$A$504,A5)&gt;1,"错误:重复售价ID",IF(OR(B5="",C5="",D5="",E5="",F5="",G5&lt;=0,Q5="",R5=""),"错误:必填项","OK")))</x:f>
        <x:v>OK</x:v>
      </x:c>
    </x:row>
    <x:row r="6">
      <x:c r="A6" s="3" t="s">
        <x:v>263</x:v>
      </x:c>
      <x:c r="B6" s="3" t="s">
        <x:v>218</x:v>
      </x:c>
      <x:c r="C6" s="3" t="s">
        <x:v>217</x:v>
      </x:c>
      <x:c r="D6" s="3" t="s">
        <x:v>264</x:v>
      </x:c>
      <x:c r="E6" s="3" t="s">
        <x:v>259</x:v>
      </x:c>
      <x:c r="F6" s="3" t="s">
        <x:v>150</x:v>
      </x:c>
      <x:c r="G6" s="34" t="s">
        <x:v>265</x:v>
      </x:c>
      <x:c r="H6" s="3">
        <x:v>1920</x:v>
      </x:c>
      <x:c r="I6" s="3">
        <x:v>1080</x:v>
      </x:c>
      <x:c r="J6" s="3">
        <x:v>24</x:v>
      </x:c>
      <x:c r="K6" s="35" t="n">
        <x:f>IFERROR(H6*I6*J6/'参数'!$B$7,"")</x:f>
        <x:v>48600</x:v>
      </x:c>
      <x:c r="L6" s="36" t="s">
        <x:v>266</x:v>
      </x:c>
      <x:c r="M6" s="36" t="n">
        <x:f>IFERROR(G6*'参数'!$B$6,"")</x:f>
        <x:v>4.2465753424657535</x:v>
      </x:c>
      <x:c r="N6" s="36" t="n">
        <x:f>IFERROR(L6*'参数'!$B$6,"")</x:f>
        <x:v>0.20643835616438352</x:v>
      </x:c>
      <x:c r="O6" s="30">
        <x:v>46236.7835762037</x:v>
      </x:c>
      <x:c r="P6" s="30"/>
      <x:c r="Q6" s="3" t="s">
        <x:v>224</x:v>
      </x:c>
      <x:c r="R6" s="3" t="s">
        <x:v>225</x:v>
      </x:c>
      <x:c r="S6" s="3" t="s">
        <x:v>262</x:v>
      </x:c>
      <x:c r="T6" s="33" t="str">
        <x:f>IF(A6="","",IF(COUNTIF($A$5:$A$504,A6)&gt;1,"错误:重复售价ID",IF(OR(B6="",C6="",D6="",E6="",F6="",G6&lt;=0,Q6="",R6=""),"错误:必填项","OK")))</x:f>
        <x:v>OK</x:v>
      </x:c>
    </x:row>
    <x:row r="7">
      <x:c r="A7" s="3" t="s">
        <x:v>267</x:v>
      </x:c>
      <x:c r="B7" s="3" t="s">
        <x:v>218</x:v>
      </x:c>
      <x:c r="C7" s="3" t="s">
        <x:v>227</x:v>
      </x:c>
      <x:c r="D7" s="3" t="s">
        <x:v>258</x:v>
      </x:c>
      <x:c r="E7" s="3" t="s">
        <x:v>259</x:v>
      </x:c>
      <x:c r="F7" s="3" t="s">
        <x:v>150</x:v>
      </x:c>
      <x:c r="G7" s="34" t="s">
        <x:v>268</x:v>
      </x:c>
      <x:c r="H7" s="3">
        <x:v>864</x:v>
      </x:c>
      <x:c r="I7" s="3">
        <x:v>496</x:v>
      </x:c>
      <x:c r="J7" s="3">
        <x:v>24</x:v>
      </x:c>
      <x:c r="K7" s="35" t="n">
        <x:f>IFERROR(H7*I7*J7/'参数'!$B$7,"")</x:f>
        <x:v>10044</x:v>
      </x:c>
      <x:c r="L7" s="36" t="s">
        <x:v>269</x:v>
      </x:c>
      <x:c r="M7" s="36" t="n">
        <x:f>IFERROR(G7*'参数'!$B$6,"")</x:f>
        <x:v>6.301369863013698</x:v>
      </x:c>
      <x:c r="N7" s="36" t="n">
        <x:f>IFERROR(L7*'参数'!$B$6,"")</x:f>
        <x:v>0.06328767123287671</x:v>
      </x:c>
      <x:c r="O7" s="30">
        <x:v>46236.7835762037</x:v>
      </x:c>
      <x:c r="P7" s="30"/>
      <x:c r="Q7" s="3" t="s">
        <x:v>224</x:v>
      </x:c>
      <x:c r="R7" s="3" t="s">
        <x:v>225</x:v>
      </x:c>
      <x:c r="S7" s="3" t="s">
        <x:v>262</x:v>
      </x:c>
      <x:c r="T7" s="33" t="str">
        <x:f>IF(A7="","",IF(COUNTIF($A$5:$A$504,A7)&gt;1,"错误:重复售价ID",IF(OR(B7="",C7="",D7="",E7="",F7="",G7&lt;=0,Q7="",R7=""),"错误:必填项","OK")))</x:f>
        <x:v>OK</x:v>
      </x:c>
    </x:row>
    <x:row r="8">
      <x:c r="A8" s="3" t="s">
        <x:v>270</x:v>
      </x:c>
      <x:c r="B8" s="3" t="s">
        <x:v>218</x:v>
      </x:c>
      <x:c r="C8" s="3" t="s">
        <x:v>227</x:v>
      </x:c>
      <x:c r="D8" s="3" t="s">
        <x:v>264</x:v>
      </x:c>
      <x:c r="E8" s="3" t="s">
        <x:v>259</x:v>
      </x:c>
      <x:c r="F8" s="3" t="s">
        <x:v>150</x:v>
      </x:c>
      <x:c r="G8" s="34" t="s">
        <x:v>271</x:v>
      </x:c>
      <x:c r="H8" s="3">
        <x:v>864</x:v>
      </x:c>
      <x:c r="I8" s="3">
        <x:v>496</x:v>
      </x:c>
      <x:c r="J8" s="3">
        <x:v>24</x:v>
      </x:c>
      <x:c r="K8" s="35" t="n">
        <x:f>IFERROR(H8*I8*J8/'参数'!$B$7,"")</x:f>
        <x:v>10044</x:v>
      </x:c>
      <x:c r="L8" s="36" t="s">
        <x:v>272</x:v>
      </x:c>
      <x:c r="M8" s="36" t="n">
        <x:f>IFERROR(G8*'参数'!$B$6,"")</x:f>
        <x:v>3.835616438356164</x:v>
      </x:c>
      <x:c r="N8" s="36" t="n">
        <x:f>IFERROR(L8*'参数'!$B$6,"")</x:f>
        <x:v>0.03849315068493151</x:v>
      </x:c>
      <x:c r="O8" s="30">
        <x:v>46236.7835762037</x:v>
      </x:c>
      <x:c r="P8" s="30"/>
      <x:c r="Q8" s="3" t="s">
        <x:v>224</x:v>
      </x:c>
      <x:c r="R8" s="3" t="s">
        <x:v>225</x:v>
      </x:c>
      <x:c r="S8" s="3" t="s">
        <x:v>262</x:v>
      </x:c>
      <x:c r="T8" s="33" t="str">
        <x:f>IF(A8="","",IF(COUNTIF($A$5:$A$504,A8)&gt;1,"错误:重复售价ID",IF(OR(B8="",C8="",D8="",E8="",F8="",G8&lt;=0,Q8="",R8=""),"错误:必填项","OK")))</x:f>
        <x:v>OK</x:v>
      </x:c>
    </x:row>
    <x:row r="9">
      <x:c r="A9" s="3" t="s">
        <x:v>273</x:v>
      </x:c>
      <x:c r="B9" s="3" t="s">
        <x:v>218</x:v>
      </x:c>
      <x:c r="C9" s="3" t="s">
        <x:v>230</x:v>
      </x:c>
      <x:c r="D9" s="3" t="s">
        <x:v>258</x:v>
      </x:c>
      <x:c r="E9" s="3" t="s">
        <x:v>259</x:v>
      </x:c>
      <x:c r="F9" s="3" t="s">
        <x:v>150</x:v>
      </x:c>
      <x:c r="G9" s="34" t="s">
        <x:v>274</x:v>
      </x:c>
      <x:c r="H9" s="3">
        <x:v>3840</x:v>
      </x:c>
      <x:c r="I9" s="3">
        <x:v>2160</x:v>
      </x:c>
      <x:c r="J9" s="3">
        <x:v>24</x:v>
      </x:c>
      <x:c r="K9" s="35" t="n">
        <x:f>IFERROR(H9*I9*J9/'参数'!$B$7,"")</x:f>
        <x:v>194400</x:v>
      </x:c>
      <x:c r="L9" s="36" t="s">
        <x:v>275</x:v>
      </x:c>
      <x:c r="M9" s="36" t="n">
        <x:f>IFERROR(G9*'参数'!$B$6,"")</x:f>
        <x:v>3.5616438356164384</x:v>
      </x:c>
      <x:c r="N9" s="36" t="n">
        <x:f>IFERROR(L9*'参数'!$B$6,"")</x:f>
        <x:v>0.6923287671232877</x:v>
      </x:c>
      <x:c r="O9" s="30">
        <x:v>46236.7835762037</x:v>
      </x:c>
      <x:c r="P9" s="30"/>
      <x:c r="Q9" s="3" t="s">
        <x:v>224</x:v>
      </x:c>
      <x:c r="R9" s="3" t="s">
        <x:v>225</x:v>
      </x:c>
      <x:c r="S9" s="3" t="s">
        <x:v>262</x:v>
      </x:c>
      <x:c r="T9" s="33" t="str">
        <x:f>IF(A9="","",IF(COUNTIF($A$5:$A$504,A9)&gt;1,"错误:重复售价ID",IF(OR(B9="",C9="",D9="",E9="",F9="",G9&lt;=0,Q9="",R9=""),"错误:必填项","OK")))</x:f>
        <x:v>OK</x:v>
      </x:c>
    </x:row>
    <x:row r="10">
      <x:c r="A10" s="3" t="s">
        <x:v>276</x:v>
      </x:c>
      <x:c r="B10" s="3" t="s">
        <x:v>218</x:v>
      </x:c>
      <x:c r="C10" s="3" t="s">
        <x:v>230</x:v>
      </x:c>
      <x:c r="D10" s="3" t="s">
        <x:v>264</x:v>
      </x:c>
      <x:c r="E10" s="3" t="s">
        <x:v>259</x:v>
      </x:c>
      <x:c r="F10" s="3" t="s">
        <x:v>150</x:v>
      </x:c>
      <x:c r="G10" s="34" t="s">
        <x:v>277</x:v>
      </x:c>
      <x:c r="H10" s="3">
        <x:v>3840</x:v>
      </x:c>
      <x:c r="I10" s="3">
        <x:v>2160</x:v>
      </x:c>
      <x:c r="J10" s="3">
        <x:v>24</x:v>
      </x:c>
      <x:c r="K10" s="35" t="n">
        <x:f>IFERROR(H10*I10*J10/'参数'!$B$7,"")</x:f>
        <x:v>194400</x:v>
      </x:c>
      <x:c r="L10" s="36" t="s">
        <x:v>278</x:v>
      </x:c>
      <x:c r="M10" s="36" t="n">
        <x:f>IFERROR(G10*'参数'!$B$6,"")</x:f>
        <x:v>2.191780821917808</x:v>
      </x:c>
      <x:c r="N10" s="36" t="n">
        <x:f>IFERROR(L10*'参数'!$B$6,"")</x:f>
        <x:v>0.42602739726027394</x:v>
      </x:c>
      <x:c r="O10" s="30">
        <x:v>46236.7835762037</x:v>
      </x:c>
      <x:c r="P10" s="30"/>
      <x:c r="Q10" s="3" t="s">
        <x:v>224</x:v>
      </x:c>
      <x:c r="R10" s="3" t="s">
        <x:v>225</x:v>
      </x:c>
      <x:c r="S10" s="3" t="s">
        <x:v>262</x:v>
      </x:c>
      <x:c r="T10" s="33" t="str">
        <x:f>IF(A10="","",IF(COUNTIF($A$5:$A$504,A10)&gt;1,"错误:重复售价ID",IF(OR(B10="",C10="",D10="",E10="",F10="",G10&lt;=0,Q10="",R10=""),"错误:必填项","OK")))</x:f>
        <x:v>OK</x:v>
      </x:c>
    </x:row>
    <x:row r="11">
      <x:c r="A11" s="3" t="s">
        <x:v>279</x:v>
      </x:c>
      <x:c r="B11" s="3" t="s">
        <x:v>218</x:v>
      </x:c>
      <x:c r="C11" s="3" t="s">
        <x:v>232</x:v>
      </x:c>
      <x:c r="D11" s="3" t="s">
        <x:v>258</x:v>
      </x:c>
      <x:c r="E11" s="3" t="s">
        <x:v>259</x:v>
      </x:c>
      <x:c r="F11" s="3" t="s">
        <x:v>150</x:v>
      </x:c>
      <x:c r="G11" s="34" t="s">
        <x:v>268</x:v>
      </x:c>
      <x:c r="H11" s="3">
        <x:v>1280</x:v>
      </x:c>
      <x:c r="I11" s="3">
        <x:v>720</x:v>
      </x:c>
      <x:c r="J11" s="3">
        <x:v>24</x:v>
      </x:c>
      <x:c r="K11" s="35" t="n">
        <x:f>IFERROR(H11*I11*J11/'参数'!$B$7,"")</x:f>
        <x:v>21600</x:v>
      </x:c>
      <x:c r="L11" s="36" t="s">
        <x:v>280</x:v>
      </x:c>
      <x:c r="M11" s="36" t="n">
        <x:f>IFERROR(G11*'参数'!$B$6,"")</x:f>
        <x:v>6.301369863013698</x:v>
      </x:c>
      <x:c r="N11" s="36" t="n">
        <x:f>IFERROR(L11*'参数'!$B$6,"")</x:f>
        <x:v>0.13616438356164381</x:v>
      </x:c>
      <x:c r="O11" s="30">
        <x:v>46236.7835762037</x:v>
      </x:c>
      <x:c r="P11" s="30"/>
      <x:c r="Q11" s="3" t="s">
        <x:v>224</x:v>
      </x:c>
      <x:c r="R11" s="3" t="s">
        <x:v>225</x:v>
      </x:c>
      <x:c r="S11" s="3" t="s">
        <x:v>262</x:v>
      </x:c>
      <x:c r="T11" s="33" t="str">
        <x:f>IF(A11="","",IF(COUNTIF($A$5:$A$504,A11)&gt;1,"错误:重复售价ID",IF(OR(B11="",C11="",D11="",E11="",F11="",G11&lt;=0,Q11="",R11=""),"错误:必填项","OK")))</x:f>
        <x:v>OK</x:v>
      </x:c>
    </x:row>
    <x:row r="12">
      <x:c r="A12" s="3" t="s">
        <x:v>281</x:v>
      </x:c>
      <x:c r="B12" s="3" t="s">
        <x:v>218</x:v>
      </x:c>
      <x:c r="C12" s="3" t="s">
        <x:v>232</x:v>
      </x:c>
      <x:c r="D12" s="3" t="s">
        <x:v>264</x:v>
      </x:c>
      <x:c r="E12" s="3" t="s">
        <x:v>259</x:v>
      </x:c>
      <x:c r="F12" s="3" t="s">
        <x:v>150</x:v>
      </x:c>
      <x:c r="G12" s="34" t="s">
        <x:v>271</x:v>
      </x:c>
      <x:c r="H12" s="3">
        <x:v>1280</x:v>
      </x:c>
      <x:c r="I12" s="3">
        <x:v>720</x:v>
      </x:c>
      <x:c r="J12" s="3">
        <x:v>24</x:v>
      </x:c>
      <x:c r="K12" s="35" t="n">
        <x:f>IFERROR(H12*I12*J12/'参数'!$B$7,"")</x:f>
        <x:v>21600</x:v>
      </x:c>
      <x:c r="L12" s="36" t="s">
        <x:v>282</x:v>
      </x:c>
      <x:c r="M12" s="36" t="n">
        <x:f>IFERROR(G12*'参数'!$B$6,"")</x:f>
        <x:v>3.835616438356164</x:v>
      </x:c>
      <x:c r="N12" s="36" t="n">
        <x:f>IFERROR(L12*'参数'!$B$6,"")</x:f>
        <x:v>0.08287671232876712</x:v>
      </x:c>
      <x:c r="O12" s="30">
        <x:v>46236.7835762037</x:v>
      </x:c>
      <x:c r="P12" s="30"/>
      <x:c r="Q12" s="3" t="s">
        <x:v>224</x:v>
      </x:c>
      <x:c r="R12" s="3" t="s">
        <x:v>225</x:v>
      </x:c>
      <x:c r="S12" s="3" t="s">
        <x:v>262</x:v>
      </x:c>
      <x:c r="T12" s="33" t="str">
        <x:f>IF(A12="","",IF(COUNTIF($A$5:$A$504,A12)&gt;1,"错误:重复售价ID",IF(OR(B12="",C12="",D12="",E12="",F12="",G12&lt;=0,Q12="",R12=""),"错误:必填项","OK")))</x:f>
        <x:v>OK</x:v>
      </x:c>
    </x:row>
    <x:row r="13">
      <x:c r="A13" s="3" t="s">
        <x:v>283</x:v>
      </x:c>
      <x:c r="B13" s="3" t="s">
        <x:v>235</x:v>
      </x:c>
      <x:c r="C13" s="3" t="s">
        <x:v>234</x:v>
      </x:c>
      <x:c r="D13" s="3" t="s">
        <x:v>258</x:v>
      </x:c>
      <x:c r="E13" s="3" t="s">
        <x:v>259</x:v>
      </x:c>
      <x:c r="F13" s="3" t="s">
        <x:v>150</x:v>
      </x:c>
      <x:c r="G13" s="34" t="s">
        <x:v>284</x:v>
      </x:c>
      <x:c r="H13" s="3">
        <x:v>864</x:v>
      </x:c>
      <x:c r="I13" s="3">
        <x:v>496</x:v>
      </x:c>
      <x:c r="J13" s="3">
        <x:v>24</x:v>
      </x:c>
      <x:c r="K13" s="35" t="n">
        <x:f>IFERROR(H13*I13*J13/'参数'!$B$7,"")</x:f>
        <x:v>10044</x:v>
      </x:c>
      <x:c r="L13" s="36" t="s">
        <x:v>285</x:v>
      </x:c>
      <x:c r="M13" s="36" t="n">
        <x:f>IFERROR(G13*'参数'!$B$6,"")</x:f>
        <x:v>5.068493150684931</x:v>
      </x:c>
      <x:c r="N13" s="36" t="n">
        <x:f>IFERROR(L13*'参数'!$B$6,"")</x:f>
        <x:v>0.05095890410958904</x:v>
      </x:c>
      <x:c r="O13" s="30">
        <x:v>46236.7835762037</x:v>
      </x:c>
      <x:c r="P13" s="30"/>
      <x:c r="Q13" s="3" t="s">
        <x:v>224</x:v>
      </x:c>
      <x:c r="R13" s="3" t="s">
        <x:v>237</x:v>
      </x:c>
      <x:c r="S13" s="3" t="s">
        <x:v>262</x:v>
      </x:c>
      <x:c r="T13" s="33" t="str">
        <x:f>IF(A13="","",IF(COUNTIF($A$5:$A$504,A13)&gt;1,"错误:重复售价ID",IF(OR(B13="",C13="",D13="",E13="",F13="",G13&lt;=0,Q13="",R13=""),"错误:必填项","OK")))</x:f>
        <x:v>OK</x:v>
      </x:c>
    </x:row>
    <x:row r="14">
      <x:c r="A14" s="3" t="s">
        <x:v>286</x:v>
      </x:c>
      <x:c r="B14" s="3" t="s">
        <x:v>235</x:v>
      </x:c>
      <x:c r="C14" s="3" t="s">
        <x:v>234</x:v>
      </x:c>
      <x:c r="D14" s="3" t="s">
        <x:v>264</x:v>
      </x:c>
      <x:c r="E14" s="3" t="s">
        <x:v>259</x:v>
      </x:c>
      <x:c r="F14" s="3" t="s">
        <x:v>150</x:v>
      </x:c>
      <x:c r="G14" s="34" t="s">
        <x:v>287</x:v>
      </x:c>
      <x:c r="H14" s="3">
        <x:v>864</x:v>
      </x:c>
      <x:c r="I14" s="3">
        <x:v>496</x:v>
      </x:c>
      <x:c r="J14" s="3">
        <x:v>24</x:v>
      </x:c>
      <x:c r="K14" s="35" t="n">
        <x:f>IFERROR(H14*I14*J14/'参数'!$B$7,"")</x:f>
        <x:v>10044</x:v>
      </x:c>
      <x:c r="L14" s="36" t="s">
        <x:v>288</x:v>
      </x:c>
      <x:c r="M14" s="36" t="n">
        <x:f>IFERROR(G14*'参数'!$B$6,"")</x:f>
        <x:v>3.013698630136986</x:v>
      </x:c>
      <x:c r="N14" s="36" t="n">
        <x:f>IFERROR(L14*'参数'!$B$6,"")</x:f>
        <x:v>0.030273972602739726</x:v>
      </x:c>
      <x:c r="O14" s="30">
        <x:v>46236.7835762037</x:v>
      </x:c>
      <x:c r="P14" s="30"/>
      <x:c r="Q14" s="3" t="s">
        <x:v>224</x:v>
      </x:c>
      <x:c r="R14" s="3" t="s">
        <x:v>237</x:v>
      </x:c>
      <x:c r="S14" s="3" t="s">
        <x:v>262</x:v>
      </x:c>
      <x:c r="T14" s="33" t="str">
        <x:f>IF(A14="","",IF(COUNTIF($A$5:$A$504,A14)&gt;1,"错误:重复售价ID",IF(OR(B14="",C14="",D14="",E14="",F14="",G14&lt;=0,Q14="",R14=""),"错误:必填项","OK")))</x:f>
        <x:v>OK</x:v>
      </x:c>
    </x:row>
    <x:row r="15">
      <x:c r="A15" s="3" t="s">
        <x:v>289</x:v>
      </x:c>
      <x:c r="B15" s="3" t="s">
        <x:v>235</x:v>
      </x:c>
      <x:c r="C15" s="3" t="s">
        <x:v>238</x:v>
      </x:c>
      <x:c r="D15" s="3" t="s">
        <x:v>258</x:v>
      </x:c>
      <x:c r="E15" s="3" t="s">
        <x:v>259</x:v>
      </x:c>
      <x:c r="F15" s="3" t="s">
        <x:v>150</x:v>
      </x:c>
      <x:c r="G15" s="34" t="s">
        <x:v>284</x:v>
      </x:c>
      <x:c r="H15" s="3">
        <x:v>1280</x:v>
      </x:c>
      <x:c r="I15" s="3">
        <x:v>720</x:v>
      </x:c>
      <x:c r="J15" s="3">
        <x:v>24</x:v>
      </x:c>
      <x:c r="K15" s="35" t="n">
        <x:f>IFERROR(H15*I15*J15/'参数'!$B$7,"")</x:f>
        <x:v>21600</x:v>
      </x:c>
      <x:c r="L15" s="36" t="s">
        <x:v>290</x:v>
      </x:c>
      <x:c r="M15" s="36" t="n">
        <x:f>IFERROR(G15*'参数'!$B$6,"")</x:f>
        <x:v>5.068493150684931</x:v>
      </x:c>
      <x:c r="N15" s="36" t="n">
        <x:f>IFERROR(L15*'参数'!$B$6,"")</x:f>
        <x:v>0.10945205479452055</x:v>
      </x:c>
      <x:c r="O15" s="30">
        <x:v>46236.7835762037</x:v>
      </x:c>
      <x:c r="P15" s="30"/>
      <x:c r="Q15" s="3" t="s">
        <x:v>224</x:v>
      </x:c>
      <x:c r="R15" s="3" t="s">
        <x:v>237</x:v>
      </x:c>
      <x:c r="S15" s="3" t="s">
        <x:v>262</x:v>
      </x:c>
      <x:c r="T15" s="33" t="str">
        <x:f>IF(A15="","",IF(COUNTIF($A$5:$A$504,A15)&gt;1,"错误:重复售价ID",IF(OR(B15="",C15="",D15="",E15="",F15="",G15&lt;=0,Q15="",R15=""),"错误:必填项","OK")))</x:f>
        <x:v>OK</x:v>
      </x:c>
    </x:row>
    <x:row r="16">
      <x:c r="A16" s="3" t="s">
        <x:v>291</x:v>
      </x:c>
      <x:c r="B16" s="3" t="s">
        <x:v>235</x:v>
      </x:c>
      <x:c r="C16" s="3" t="s">
        <x:v>238</x:v>
      </x:c>
      <x:c r="D16" s="3" t="s">
        <x:v>264</x:v>
      </x:c>
      <x:c r="E16" s="3" t="s">
        <x:v>259</x:v>
      </x:c>
      <x:c r="F16" s="3" t="s">
        <x:v>150</x:v>
      </x:c>
      <x:c r="G16" s="34" t="s">
        <x:v>287</x:v>
      </x:c>
      <x:c r="H16" s="3">
        <x:v>1280</x:v>
      </x:c>
      <x:c r="I16" s="3">
        <x:v>720</x:v>
      </x:c>
      <x:c r="J16" s="3">
        <x:v>24</x:v>
      </x:c>
      <x:c r="K16" s="35" t="n">
        <x:f>IFERROR(H16*I16*J16/'参数'!$B$7,"")</x:f>
        <x:v>21600</x:v>
      </x:c>
      <x:c r="L16" s="36" t="s">
        <x:v>292</x:v>
      </x:c>
      <x:c r="M16" s="36" t="n">
        <x:f>IFERROR(G16*'参数'!$B$6,"")</x:f>
        <x:v>3.013698630136986</x:v>
      </x:c>
      <x:c r="N16" s="36" t="n">
        <x:f>IFERROR(L16*'参数'!$B$6,"")</x:f>
        <x:v>0.06506849315068493</x:v>
      </x:c>
      <x:c r="O16" s="30">
        <x:v>46236.7835762037</x:v>
      </x:c>
      <x:c r="P16" s="30"/>
      <x:c r="Q16" s="3" t="s">
        <x:v>224</x:v>
      </x:c>
      <x:c r="R16" s="3" t="s">
        <x:v>237</x:v>
      </x:c>
      <x:c r="S16" s="3" t="s">
        <x:v>262</x:v>
      </x:c>
      <x:c r="T16" s="33" t="str">
        <x:f>IF(A16="","",IF(COUNTIF($A$5:$A$504,A16)&gt;1,"错误:重复售价ID",IF(OR(B16="",C16="",D16="",E16="",F16="",G16&lt;=0,Q16="",R16=""),"错误:必填项","OK")))</x:f>
        <x:v>OK</x:v>
      </x:c>
    </x:row>
    <x:row r="17">
      <x:c r="A17" s="3" t="s">
        <x:v>293</x:v>
      </x:c>
      <x:c r="B17" s="3" t="s">
        <x:v>241</x:v>
      </x:c>
      <x:c r="C17" s="3" t="s">
        <x:v>240</x:v>
      </x:c>
      <x:c r="D17" s="3" t="s">
        <x:v>258</x:v>
      </x:c>
      <x:c r="E17" s="3" t="s">
        <x:v>259</x:v>
      </x:c>
      <x:c r="F17" s="3" t="s">
        <x:v>150</x:v>
      </x:c>
      <x:c r="G17" s="34" t="s">
        <x:v>294</x:v>
      </x:c>
      <x:c r="H17" s="3">
        <x:v>864</x:v>
      </x:c>
      <x:c r="I17" s="3">
        <x:v>496</x:v>
      </x:c>
      <x:c r="J17" s="3">
        <x:v>24</x:v>
      </x:c>
      <x:c r="K17" s="35" t="n">
        <x:f>IFERROR(H17*I17*J17/'参数'!$B$7,"")</x:f>
        <x:v>10044</x:v>
      </x:c>
      <x:c r="L17" s="36" t="s">
        <x:v>295</x:v>
      </x:c>
      <x:c r="M17" s="36" t="n">
        <x:f>IFERROR(G17*'参数'!$B$6,"")</x:f>
        <x:v>3.150684931506849</x:v>
      </x:c>
      <x:c r="N17" s="36" t="n">
        <x:f>IFERROR(L17*'参数'!$B$6,"")</x:f>
        <x:v>0.031643835616438354</x:v>
      </x:c>
      <x:c r="O17" s="30">
        <x:v>46236.7835762037</x:v>
      </x:c>
      <x:c r="P17" s="30"/>
      <x:c r="Q17" s="3" t="s">
        <x:v>224</x:v>
      </x:c>
      <x:c r="R17" s="3" t="s">
        <x:v>243</x:v>
      </x:c>
      <x:c r="S17" s="3" t="s">
        <x:v>262</x:v>
      </x:c>
      <x:c r="T17" s="33" t="str">
        <x:f>IF(A17="","",IF(COUNTIF($A$5:$A$504,A17)&gt;1,"错误:重复售价ID",IF(OR(B17="",C17="",D17="",E17="",F17="",G17&lt;=0,Q17="",R17=""),"错误:必填项","OK")))</x:f>
        <x:v>OK</x:v>
      </x:c>
    </x:row>
    <x:row r="18">
      <x:c r="A18" s="3" t="s">
        <x:v>296</x:v>
      </x:c>
      <x:c r="B18" s="3" t="s">
        <x:v>241</x:v>
      </x:c>
      <x:c r="C18" s="3" t="s">
        <x:v>240</x:v>
      </x:c>
      <x:c r="D18" s="3" t="s">
        <x:v>264</x:v>
      </x:c>
      <x:c r="E18" s="3" t="s">
        <x:v>259</x:v>
      </x:c>
      <x:c r="F18" s="3" t="s">
        <x:v>150</x:v>
      </x:c>
      <x:c r="G18" s="34" t="s">
        <x:v>297</x:v>
      </x:c>
      <x:c r="H18" s="3">
        <x:v>864</x:v>
      </x:c>
      <x:c r="I18" s="3">
        <x:v>496</x:v>
      </x:c>
      <x:c r="J18" s="3">
        <x:v>24</x:v>
      </x:c>
      <x:c r="K18" s="35" t="n">
        <x:f>IFERROR(H18*I18*J18/'参数'!$B$7,"")</x:f>
        <x:v>10044</x:v>
      </x:c>
      <x:c r="L18" s="36" t="s">
        <x:v>298</x:v>
      </x:c>
      <x:c r="M18" s="36" t="n">
        <x:f>IFERROR(G18*'参数'!$B$6,"")</x:f>
        <x:v>1.917808219178082</x:v>
      </x:c>
      <x:c r="N18" s="36" t="n">
        <x:f>IFERROR(L18*'参数'!$B$6,"")</x:f>
        <x:v>0.01931506849315068</x:v>
      </x:c>
      <x:c r="O18" s="30">
        <x:v>46236.7835762037</x:v>
      </x:c>
      <x:c r="P18" s="30"/>
      <x:c r="Q18" s="3" t="s">
        <x:v>224</x:v>
      </x:c>
      <x:c r="R18" s="3" t="s">
        <x:v>243</x:v>
      </x:c>
      <x:c r="S18" s="3" t="s">
        <x:v>262</x:v>
      </x:c>
      <x:c r="T18" s="33" t="str">
        <x:f>IF(A18="","",IF(COUNTIF($A$5:$A$504,A18)&gt;1,"错误:重复售价ID",IF(OR(B18="",C18="",D18="",E18="",F18="",G18&lt;=0,Q18="",R18=""),"错误:必填项","OK")))</x:f>
        <x:v>OK</x:v>
      </x:c>
    </x:row>
    <x:row r="19">
      <x:c r="A19" s="3" t="s">
        <x:v>299</x:v>
      </x:c>
      <x:c r="B19" s="3" t="s">
        <x:v>241</x:v>
      </x:c>
      <x:c r="C19" s="3" t="s">
        <x:v>244</x:v>
      </x:c>
      <x:c r="D19" s="3" t="s">
        <x:v>258</x:v>
      </x:c>
      <x:c r="E19" s="3" t="s">
        <x:v>259</x:v>
      </x:c>
      <x:c r="F19" s="3" t="s">
        <x:v>150</x:v>
      </x:c>
      <x:c r="G19" s="34" t="s">
        <x:v>294</x:v>
      </x:c>
      <x:c r="H19" s="3">
        <x:v>1280</x:v>
      </x:c>
      <x:c r="I19" s="3">
        <x:v>720</x:v>
      </x:c>
      <x:c r="J19" s="3">
        <x:v>24</x:v>
      </x:c>
      <x:c r="K19" s="35" t="n">
        <x:f>IFERROR(H19*I19*J19/'参数'!$B$7,"")</x:f>
        <x:v>21600</x:v>
      </x:c>
      <x:c r="L19" s="36" t="s">
        <x:v>300</x:v>
      </x:c>
      <x:c r="M19" s="36" t="n">
        <x:f>IFERROR(G19*'参数'!$B$6,"")</x:f>
        <x:v>3.150684931506849</x:v>
      </x:c>
      <x:c r="N19" s="36" t="n">
        <x:f>IFERROR(L19*'参数'!$B$6,"")</x:f>
        <x:v>0.06808219178082191</x:v>
      </x:c>
      <x:c r="O19" s="30">
        <x:v>46236.7835762037</x:v>
      </x:c>
      <x:c r="P19" s="30"/>
      <x:c r="Q19" s="3" t="s">
        <x:v>224</x:v>
      </x:c>
      <x:c r="R19" s="3" t="s">
        <x:v>243</x:v>
      </x:c>
      <x:c r="S19" s="3" t="s">
        <x:v>262</x:v>
      </x:c>
      <x:c r="T19" s="33" t="str">
        <x:f>IF(A19="","",IF(COUNTIF($A$5:$A$504,A19)&gt;1,"错误:重复售价ID",IF(OR(B19="",C19="",D19="",E19="",F19="",G19&lt;=0,Q19="",R19=""),"错误:必填项","OK")))</x:f>
        <x:v>OK</x:v>
      </x:c>
    </x:row>
    <x:row r="20">
      <x:c r="A20" s="3" t="s">
        <x:v>301</x:v>
      </x:c>
      <x:c r="B20" s="3" t="s">
        <x:v>241</x:v>
      </x:c>
      <x:c r="C20" s="3" t="s">
        <x:v>244</x:v>
      </x:c>
      <x:c r="D20" s="3" t="s">
        <x:v>264</x:v>
      </x:c>
      <x:c r="E20" s="3" t="s">
        <x:v>259</x:v>
      </x:c>
      <x:c r="F20" s="3" t="s">
        <x:v>150</x:v>
      </x:c>
      <x:c r="G20" s="34" t="s">
        <x:v>297</x:v>
      </x:c>
      <x:c r="H20" s="3">
        <x:v>1280</x:v>
      </x:c>
      <x:c r="I20" s="3">
        <x:v>720</x:v>
      </x:c>
      <x:c r="J20" s="3">
        <x:v>24</x:v>
      </x:c>
      <x:c r="K20" s="35" t="n">
        <x:f>IFERROR(H20*I20*J20/'参数'!$B$7,"")</x:f>
        <x:v>21600</x:v>
      </x:c>
      <x:c r="L20" s="36" t="s">
        <x:v>302</x:v>
      </x:c>
      <x:c r="M20" s="36" t="n">
        <x:f>IFERROR(G20*'参数'!$B$6,"")</x:f>
        <x:v>1.917808219178082</x:v>
      </x:c>
      <x:c r="N20" s="36" t="n">
        <x:f>IFERROR(L20*'参数'!$B$6,"")</x:f>
        <x:v>0.041369863013698625</x:v>
      </x:c>
      <x:c r="O20" s="30">
        <x:v>46236.7835762037</x:v>
      </x:c>
      <x:c r="P20" s="30"/>
      <x:c r="Q20" s="3" t="s">
        <x:v>224</x:v>
      </x:c>
      <x:c r="R20" s="3" t="s">
        <x:v>243</x:v>
      </x:c>
      <x:c r="S20" s="3" t="s">
        <x:v>262</x:v>
      </x:c>
      <x:c r="T20" s="33" t="str">
        <x:f>IF(A20="","",IF(COUNTIF($A$5:$A$504,A20)&gt;1,"错误:重复售价ID",IF(OR(B20="",C20="",D20="",E20="",F20="",G20&lt;=0,Q20="",R20=""),"错误:必填项","OK")))</x:f>
        <x:v>OK</x:v>
      </x:c>
    </x:row>
    <x:row r="21">
      <x:c r="A21" s="3"/>
      <x:c r="B21" s="3"/>
      <x:c r="C21" s="3"/>
      <x:c r="D21" s="3"/>
      <x:c r="E21" s="3"/>
      <x:c r="F21" s="3"/>
      <x:c r="G21" s="34"/>
      <x:c r="H21" s="3"/>
      <x:c r="I21" s="3"/>
      <x:c r="J21" s="3"/>
      <x:c r="K21" s="35"/>
      <x:c r="L21" s="36"/>
      <x:c r="M21" s="36"/>
      <x:c r="N21" s="36"/>
      <x:c r="O21" s="30"/>
      <x:c r="P21" s="30"/>
      <x:c r="Q21" s="3"/>
      <x:c r="R21" s="3"/>
      <x:c r="S21" s="3"/>
      <x:c r="T21" s="33"/>
    </x:row>
    <x:row r="22">
      <x:c r="A22" s="3"/>
      <x:c r="B22" s="3"/>
      <x:c r="C22" s="3"/>
      <x:c r="D22" s="3"/>
      <x:c r="E22" s="3"/>
      <x:c r="F22" s="3"/>
      <x:c r="G22" s="34"/>
      <x:c r="H22" s="3"/>
      <x:c r="I22" s="3"/>
      <x:c r="J22" s="3"/>
      <x:c r="K22" s="35"/>
      <x:c r="L22" s="36"/>
      <x:c r="M22" s="36"/>
      <x:c r="N22" s="36"/>
      <x:c r="O22" s="30"/>
      <x:c r="P22" s="30"/>
      <x:c r="Q22" s="3"/>
      <x:c r="R22" s="3"/>
      <x:c r="S22" s="3"/>
      <x:c r="T22" s="33"/>
    </x:row>
    <x:row r="23">
      <x:c r="A23" s="3"/>
      <x:c r="B23" s="3"/>
      <x:c r="C23" s="3"/>
      <x:c r="D23" s="3"/>
      <x:c r="E23" s="3"/>
      <x:c r="F23" s="3"/>
      <x:c r="G23" s="34"/>
      <x:c r="H23" s="3"/>
      <x:c r="I23" s="3"/>
      <x:c r="J23" s="3"/>
      <x:c r="K23" s="35"/>
      <x:c r="L23" s="36"/>
      <x:c r="M23" s="36"/>
      <x:c r="N23" s="36"/>
      <x:c r="O23" s="30"/>
      <x:c r="P23" s="30"/>
      <x:c r="Q23" s="3"/>
      <x:c r="R23" s="3"/>
      <x:c r="S23" s="3"/>
      <x:c r="T23" s="33"/>
    </x:row>
    <x:row r="24">
      <x:c r="A24" s="3"/>
      <x:c r="B24" s="3"/>
      <x:c r="C24" s="3"/>
      <x:c r="D24" s="3"/>
      <x:c r="E24" s="3"/>
      <x:c r="F24" s="3"/>
      <x:c r="G24" s="34"/>
      <x:c r="H24" s="3"/>
      <x:c r="I24" s="3"/>
      <x:c r="J24" s="3"/>
      <x:c r="K24" s="35"/>
      <x:c r="L24" s="36"/>
      <x:c r="M24" s="36"/>
      <x:c r="N24" s="36"/>
      <x:c r="O24" s="30"/>
      <x:c r="P24" s="30"/>
      <x:c r="Q24" s="3"/>
      <x:c r="R24" s="3"/>
      <x:c r="S24" s="3"/>
      <x:c r="T24" s="33"/>
    </x:row>
    <x:row r="25">
      <x:c r="A25" s="3"/>
      <x:c r="B25" s="3"/>
      <x:c r="C25" s="3"/>
      <x:c r="D25" s="3"/>
      <x:c r="E25" s="3"/>
      <x:c r="F25" s="3"/>
      <x:c r="G25" s="34"/>
      <x:c r="H25" s="3"/>
      <x:c r="I25" s="3"/>
      <x:c r="J25" s="3"/>
      <x:c r="K25" s="35"/>
      <x:c r="L25" s="36"/>
      <x:c r="M25" s="36"/>
      <x:c r="N25" s="36"/>
      <x:c r="O25" s="30"/>
      <x:c r="P25" s="30"/>
      <x:c r="Q25" s="3"/>
      <x:c r="R25" s="3"/>
      <x:c r="S25" s="3"/>
      <x:c r="T25" s="33"/>
    </x:row>
    <x:row r="26">
      <x:c r="A26" s="3"/>
      <x:c r="B26" s="3"/>
      <x:c r="C26" s="3"/>
      <x:c r="D26" s="3"/>
      <x:c r="E26" s="3"/>
      <x:c r="F26" s="3"/>
      <x:c r="G26" s="34"/>
      <x:c r="H26" s="3"/>
      <x:c r="I26" s="3"/>
      <x:c r="J26" s="3"/>
      <x:c r="K26" s="35"/>
      <x:c r="L26" s="36"/>
      <x:c r="M26" s="36"/>
      <x:c r="N26" s="36"/>
      <x:c r="O26" s="30"/>
      <x:c r="P26" s="30"/>
      <x:c r="Q26" s="3"/>
      <x:c r="R26" s="3"/>
      <x:c r="S26" s="3"/>
      <x:c r="T26" s="33"/>
    </x:row>
    <x:row r="27">
      <x:c r="A27" s="3"/>
      <x:c r="B27" s="3"/>
      <x:c r="C27" s="3"/>
      <x:c r="D27" s="3"/>
      <x:c r="E27" s="3"/>
      <x:c r="F27" s="3"/>
      <x:c r="G27" s="34"/>
      <x:c r="H27" s="3"/>
      <x:c r="I27" s="3"/>
      <x:c r="J27" s="3"/>
      <x:c r="K27" s="35"/>
      <x:c r="L27" s="36"/>
      <x:c r="M27" s="36"/>
      <x:c r="N27" s="36"/>
      <x:c r="O27" s="30"/>
      <x:c r="P27" s="30"/>
      <x:c r="Q27" s="3"/>
      <x:c r="R27" s="3"/>
      <x:c r="S27" s="3"/>
      <x:c r="T27" s="33"/>
    </x:row>
    <x:row r="28">
      <x:c r="A28" s="3"/>
      <x:c r="B28" s="3"/>
      <x:c r="C28" s="3"/>
      <x:c r="D28" s="3"/>
      <x:c r="E28" s="3"/>
      <x:c r="F28" s="3"/>
      <x:c r="G28" s="34"/>
      <x:c r="H28" s="3"/>
      <x:c r="I28" s="3"/>
      <x:c r="J28" s="3"/>
      <x:c r="K28" s="35"/>
      <x:c r="L28" s="36"/>
      <x:c r="M28" s="36"/>
      <x:c r="N28" s="36"/>
      <x:c r="O28" s="30"/>
      <x:c r="P28" s="30"/>
      <x:c r="Q28" s="3"/>
      <x:c r="R28" s="3"/>
      <x:c r="S28" s="3"/>
      <x:c r="T28" s="33"/>
    </x:row>
    <x:row r="29">
      <x:c r="A29" s="3"/>
      <x:c r="B29" s="3"/>
      <x:c r="C29" s="3"/>
      <x:c r="D29" s="3"/>
      <x:c r="E29" s="3"/>
      <x:c r="F29" s="3"/>
      <x:c r="G29" s="34"/>
      <x:c r="H29" s="3"/>
      <x:c r="I29" s="3"/>
      <x:c r="J29" s="3"/>
      <x:c r="K29" s="35"/>
      <x:c r="L29" s="36"/>
      <x:c r="M29" s="36"/>
      <x:c r="N29" s="36"/>
      <x:c r="O29" s="30"/>
      <x:c r="P29" s="30"/>
      <x:c r="Q29" s="3"/>
      <x:c r="R29" s="3"/>
      <x:c r="S29" s="3"/>
      <x:c r="T29" s="33"/>
    </x:row>
    <x:row r="30">
      <x:c r="A30" s="3"/>
      <x:c r="B30" s="3"/>
      <x:c r="C30" s="3"/>
      <x:c r="D30" s="3"/>
      <x:c r="E30" s="3"/>
      <x:c r="F30" s="3"/>
      <x:c r="G30" s="34"/>
      <x:c r="H30" s="3"/>
      <x:c r="I30" s="3"/>
      <x:c r="J30" s="3"/>
      <x:c r="K30" s="35"/>
      <x:c r="L30" s="36"/>
      <x:c r="M30" s="36"/>
      <x:c r="N30" s="36"/>
      <x:c r="O30" s="30"/>
      <x:c r="P30" s="30"/>
      <x:c r="Q30" s="3"/>
      <x:c r="R30" s="3"/>
      <x:c r="S30" s="3"/>
      <x:c r="T30" s="33"/>
    </x:row>
    <x:row r="31">
      <x:c r="A31" s="3"/>
      <x:c r="B31" s="3"/>
      <x:c r="C31" s="3"/>
      <x:c r="D31" s="3"/>
      <x:c r="E31" s="3"/>
      <x:c r="F31" s="3"/>
      <x:c r="G31" s="34"/>
      <x:c r="H31" s="3"/>
      <x:c r="I31" s="3"/>
      <x:c r="J31" s="3"/>
      <x:c r="K31" s="35"/>
      <x:c r="L31" s="36"/>
      <x:c r="M31" s="36"/>
      <x:c r="N31" s="36"/>
      <x:c r="O31" s="30"/>
      <x:c r="P31" s="30"/>
      <x:c r="Q31" s="3"/>
      <x:c r="R31" s="3"/>
      <x:c r="S31" s="3"/>
      <x:c r="T31" s="33"/>
    </x:row>
    <x:row r="32">
      <x:c r="A32" s="3"/>
      <x:c r="B32" s="3"/>
      <x:c r="C32" s="3"/>
      <x:c r="D32" s="3"/>
      <x:c r="E32" s="3"/>
      <x:c r="F32" s="3"/>
      <x:c r="G32" s="34"/>
      <x:c r="H32" s="3"/>
      <x:c r="I32" s="3"/>
      <x:c r="J32" s="3"/>
      <x:c r="K32" s="35"/>
      <x:c r="L32" s="36"/>
      <x:c r="M32" s="36"/>
      <x:c r="N32" s="36"/>
      <x:c r="O32" s="30"/>
      <x:c r="P32" s="30"/>
      <x:c r="Q32" s="3"/>
      <x:c r="R32" s="3"/>
      <x:c r="S32" s="3"/>
      <x:c r="T32" s="33"/>
    </x:row>
    <x:row r="33">
      <x:c r="A33" s="3"/>
      <x:c r="B33" s="3"/>
      <x:c r="C33" s="3"/>
      <x:c r="D33" s="3"/>
      <x:c r="E33" s="3"/>
      <x:c r="F33" s="3"/>
      <x:c r="G33" s="34"/>
      <x:c r="H33" s="3"/>
      <x:c r="I33" s="3"/>
      <x:c r="J33" s="3"/>
      <x:c r="K33" s="35"/>
      <x:c r="L33" s="36"/>
      <x:c r="M33" s="36"/>
      <x:c r="N33" s="36"/>
      <x:c r="O33" s="30"/>
      <x:c r="P33" s="30"/>
      <x:c r="Q33" s="3"/>
      <x:c r="R33" s="3"/>
      <x:c r="S33" s="3"/>
      <x:c r="T33" s="33"/>
    </x:row>
    <x:row r="34">
      <x:c r="A34" s="3"/>
      <x:c r="B34" s="3"/>
      <x:c r="C34" s="3"/>
      <x:c r="D34" s="3"/>
      <x:c r="E34" s="3"/>
      <x:c r="F34" s="3"/>
      <x:c r="G34" s="34"/>
      <x:c r="H34" s="3"/>
      <x:c r="I34" s="3"/>
      <x:c r="J34" s="3"/>
      <x:c r="K34" s="35"/>
      <x:c r="L34" s="36"/>
      <x:c r="M34" s="36"/>
      <x:c r="N34" s="36"/>
      <x:c r="O34" s="30"/>
      <x:c r="P34" s="30"/>
      <x:c r="Q34" s="3"/>
      <x:c r="R34" s="3"/>
      <x:c r="S34" s="3"/>
      <x:c r="T34" s="33"/>
    </x:row>
    <x:row r="35">
      <x:c r="A35" s="3"/>
      <x:c r="B35" s="3"/>
      <x:c r="C35" s="3"/>
      <x:c r="D35" s="3"/>
      <x:c r="E35" s="3"/>
      <x:c r="F35" s="3"/>
      <x:c r="G35" s="34"/>
      <x:c r="H35" s="3"/>
      <x:c r="I35" s="3"/>
      <x:c r="J35" s="3"/>
      <x:c r="K35" s="35"/>
      <x:c r="L35" s="36"/>
      <x:c r="M35" s="36"/>
      <x:c r="N35" s="36"/>
      <x:c r="O35" s="30"/>
      <x:c r="P35" s="30"/>
      <x:c r="Q35" s="3"/>
      <x:c r="R35" s="3"/>
      <x:c r="S35" s="3"/>
      <x:c r="T35" s="33"/>
    </x:row>
    <x:row r="36">
      <x:c r="A36" s="3"/>
      <x:c r="B36" s="3"/>
      <x:c r="C36" s="3"/>
      <x:c r="D36" s="3"/>
      <x:c r="E36" s="3"/>
      <x:c r="F36" s="3"/>
      <x:c r="G36" s="34"/>
      <x:c r="H36" s="3"/>
      <x:c r="I36" s="3"/>
      <x:c r="J36" s="3"/>
      <x:c r="K36" s="35"/>
      <x:c r="L36" s="36"/>
      <x:c r="M36" s="36"/>
      <x:c r="N36" s="36"/>
      <x:c r="O36" s="30"/>
      <x:c r="P36" s="30"/>
      <x:c r="Q36" s="3"/>
      <x:c r="R36" s="3"/>
      <x:c r="S36" s="3"/>
      <x:c r="T36" s="33"/>
    </x:row>
    <x:row r="37">
      <x:c r="A37" s="3"/>
      <x:c r="B37" s="3"/>
      <x:c r="C37" s="3"/>
      <x:c r="D37" s="3"/>
      <x:c r="E37" s="3"/>
      <x:c r="F37" s="3"/>
      <x:c r="G37" s="34"/>
      <x:c r="H37" s="3"/>
      <x:c r="I37" s="3"/>
      <x:c r="J37" s="3"/>
      <x:c r="K37" s="35"/>
      <x:c r="L37" s="36"/>
      <x:c r="M37" s="36"/>
      <x:c r="N37" s="36"/>
      <x:c r="O37" s="30"/>
      <x:c r="P37" s="30"/>
      <x:c r="Q37" s="3"/>
      <x:c r="R37" s="3"/>
      <x:c r="S37" s="3"/>
      <x:c r="T37" s="33"/>
    </x:row>
    <x:row r="38">
      <x:c r="A38" s="3"/>
      <x:c r="B38" s="3"/>
      <x:c r="C38" s="3"/>
      <x:c r="D38" s="3"/>
      <x:c r="E38" s="3"/>
      <x:c r="F38" s="3"/>
      <x:c r="G38" s="34"/>
      <x:c r="H38" s="3"/>
      <x:c r="I38" s="3"/>
      <x:c r="J38" s="3"/>
      <x:c r="K38" s="35"/>
      <x:c r="L38" s="36"/>
      <x:c r="M38" s="36"/>
      <x:c r="N38" s="36"/>
      <x:c r="O38" s="30"/>
      <x:c r="P38" s="30"/>
      <x:c r="Q38" s="3"/>
      <x:c r="R38" s="3"/>
      <x:c r="S38" s="3"/>
      <x:c r="T38" s="33"/>
    </x:row>
    <x:row r="39">
      <x:c r="A39" s="3"/>
      <x:c r="B39" s="3"/>
      <x:c r="C39" s="3"/>
      <x:c r="D39" s="3"/>
      <x:c r="E39" s="3"/>
      <x:c r="F39" s="3"/>
      <x:c r="G39" s="34"/>
      <x:c r="H39" s="3"/>
      <x:c r="I39" s="3"/>
      <x:c r="J39" s="3"/>
      <x:c r="K39" s="35"/>
      <x:c r="L39" s="36"/>
      <x:c r="M39" s="36"/>
      <x:c r="N39" s="36"/>
      <x:c r="O39" s="30"/>
      <x:c r="P39" s="30"/>
      <x:c r="Q39" s="3"/>
      <x:c r="R39" s="3"/>
      <x:c r="S39" s="3"/>
      <x:c r="T39" s="33"/>
    </x:row>
    <x:row r="40">
      <x:c r="A40" s="3"/>
      <x:c r="B40" s="3"/>
      <x:c r="C40" s="3"/>
      <x:c r="D40" s="3"/>
      <x:c r="E40" s="3"/>
      <x:c r="F40" s="3"/>
      <x:c r="G40" s="34"/>
      <x:c r="H40" s="3"/>
      <x:c r="I40" s="3"/>
      <x:c r="J40" s="3"/>
      <x:c r="K40" s="35"/>
      <x:c r="L40" s="36"/>
      <x:c r="M40" s="36"/>
      <x:c r="N40" s="36"/>
      <x:c r="O40" s="30"/>
      <x:c r="P40" s="30"/>
      <x:c r="Q40" s="3"/>
      <x:c r="R40" s="3"/>
      <x:c r="S40" s="3"/>
      <x:c r="T40" s="33"/>
    </x:row>
    <x:row r="41">
      <x:c r="A41" s="3"/>
      <x:c r="B41" s="3"/>
      <x:c r="C41" s="3"/>
      <x:c r="D41" s="3"/>
      <x:c r="E41" s="3"/>
      <x:c r="F41" s="3"/>
      <x:c r="G41" s="34"/>
      <x:c r="H41" s="3"/>
      <x:c r="I41" s="3"/>
      <x:c r="J41" s="3"/>
      <x:c r="K41" s="35"/>
      <x:c r="L41" s="36"/>
      <x:c r="M41" s="36"/>
      <x:c r="N41" s="36"/>
      <x:c r="O41" s="30"/>
      <x:c r="P41" s="30"/>
      <x:c r="Q41" s="3"/>
      <x:c r="R41" s="3"/>
      <x:c r="S41" s="3"/>
      <x:c r="T41" s="33"/>
    </x:row>
    <x:row r="42">
      <x:c r="A42" s="3"/>
      <x:c r="B42" s="3"/>
      <x:c r="C42" s="3"/>
      <x:c r="D42" s="3"/>
      <x:c r="E42" s="3"/>
      <x:c r="F42" s="3"/>
      <x:c r="G42" s="34"/>
      <x:c r="H42" s="3"/>
      <x:c r="I42" s="3"/>
      <x:c r="J42" s="3"/>
      <x:c r="K42" s="35"/>
      <x:c r="L42" s="36"/>
      <x:c r="M42" s="36"/>
      <x:c r="N42" s="36"/>
      <x:c r="O42" s="30"/>
      <x:c r="P42" s="30"/>
      <x:c r="Q42" s="3"/>
      <x:c r="R42" s="3"/>
      <x:c r="S42" s="3"/>
      <x:c r="T42" s="33"/>
    </x:row>
    <x:row r="43">
      <x:c r="A43" s="3"/>
      <x:c r="B43" s="3"/>
      <x:c r="C43" s="3"/>
      <x:c r="D43" s="3"/>
      <x:c r="E43" s="3"/>
      <x:c r="F43" s="3"/>
      <x:c r="G43" s="34"/>
      <x:c r="H43" s="3"/>
      <x:c r="I43" s="3"/>
      <x:c r="J43" s="3"/>
      <x:c r="K43" s="35"/>
      <x:c r="L43" s="36"/>
      <x:c r="M43" s="36"/>
      <x:c r="N43" s="36"/>
      <x:c r="O43" s="30"/>
      <x:c r="P43" s="30"/>
      <x:c r="Q43" s="3"/>
      <x:c r="R43" s="3"/>
      <x:c r="S43" s="3"/>
      <x:c r="T43" s="33"/>
    </x:row>
    <x:row r="44">
      <x:c r="A44" s="3"/>
      <x:c r="B44" s="3"/>
      <x:c r="C44" s="3"/>
      <x:c r="D44" s="3"/>
      <x:c r="E44" s="3"/>
      <x:c r="F44" s="3"/>
      <x:c r="G44" s="34"/>
      <x:c r="H44" s="3"/>
      <x:c r="I44" s="3"/>
      <x:c r="J44" s="3"/>
      <x:c r="K44" s="35"/>
      <x:c r="L44" s="36"/>
      <x:c r="M44" s="36"/>
      <x:c r="N44" s="36"/>
      <x:c r="O44" s="30"/>
      <x:c r="P44" s="30"/>
      <x:c r="Q44" s="3"/>
      <x:c r="R44" s="3"/>
      <x:c r="S44" s="3"/>
      <x:c r="T44" s="33"/>
    </x:row>
    <x:row r="45">
      <x:c r="A45" s="3"/>
      <x:c r="B45" s="3"/>
      <x:c r="C45" s="3"/>
      <x:c r="D45" s="3"/>
      <x:c r="E45" s="3"/>
      <x:c r="F45" s="3"/>
      <x:c r="G45" s="34"/>
      <x:c r="H45" s="3"/>
      <x:c r="I45" s="3"/>
      <x:c r="J45" s="3"/>
      <x:c r="K45" s="35"/>
      <x:c r="L45" s="36"/>
      <x:c r="M45" s="36"/>
      <x:c r="N45" s="36"/>
      <x:c r="O45" s="30"/>
      <x:c r="P45" s="30"/>
      <x:c r="Q45" s="3"/>
      <x:c r="R45" s="3"/>
      <x:c r="S45" s="3"/>
      <x:c r="T45" s="33"/>
    </x:row>
    <x:row r="46">
      <x:c r="A46" s="3"/>
      <x:c r="B46" s="3"/>
      <x:c r="C46" s="3"/>
      <x:c r="D46" s="3"/>
      <x:c r="E46" s="3"/>
      <x:c r="F46" s="3"/>
      <x:c r="G46" s="34"/>
      <x:c r="H46" s="3"/>
      <x:c r="I46" s="3"/>
      <x:c r="J46" s="3"/>
      <x:c r="K46" s="35"/>
      <x:c r="L46" s="36"/>
      <x:c r="M46" s="36"/>
      <x:c r="N46" s="36"/>
      <x:c r="O46" s="30"/>
      <x:c r="P46" s="30"/>
      <x:c r="Q46" s="3"/>
      <x:c r="R46" s="3"/>
      <x:c r="S46" s="3"/>
      <x:c r="T46" s="33"/>
    </x:row>
    <x:row r="47">
      <x:c r="A47" s="3"/>
      <x:c r="B47" s="3"/>
      <x:c r="C47" s="3"/>
      <x:c r="D47" s="3"/>
      <x:c r="E47" s="3"/>
      <x:c r="F47" s="3"/>
      <x:c r="G47" s="34"/>
      <x:c r="H47" s="3"/>
      <x:c r="I47" s="3"/>
      <x:c r="J47" s="3"/>
      <x:c r="K47" s="35"/>
      <x:c r="L47" s="36"/>
      <x:c r="M47" s="36"/>
      <x:c r="N47" s="36"/>
      <x:c r="O47" s="30"/>
      <x:c r="P47" s="30"/>
      <x:c r="Q47" s="3"/>
      <x:c r="R47" s="3"/>
      <x:c r="S47" s="3"/>
      <x:c r="T47" s="33"/>
    </x:row>
    <x:row r="48">
      <x:c r="A48" s="3"/>
      <x:c r="B48" s="3"/>
      <x:c r="C48" s="3"/>
      <x:c r="D48" s="3"/>
      <x:c r="E48" s="3"/>
      <x:c r="F48" s="3"/>
      <x:c r="G48" s="34"/>
      <x:c r="H48" s="3"/>
      <x:c r="I48" s="3"/>
      <x:c r="J48" s="3"/>
      <x:c r="K48" s="35"/>
      <x:c r="L48" s="36"/>
      <x:c r="M48" s="36"/>
      <x:c r="N48" s="36"/>
      <x:c r="O48" s="30"/>
      <x:c r="P48" s="30"/>
      <x:c r="Q48" s="3"/>
      <x:c r="R48" s="3"/>
      <x:c r="S48" s="3"/>
      <x:c r="T48" s="33"/>
    </x:row>
    <x:row r="49">
      <x:c r="A49" s="3"/>
      <x:c r="B49" s="3"/>
      <x:c r="C49" s="3"/>
      <x:c r="D49" s="3"/>
      <x:c r="E49" s="3"/>
      <x:c r="F49" s="3"/>
      <x:c r="G49" s="34"/>
      <x:c r="H49" s="3"/>
      <x:c r="I49" s="3"/>
      <x:c r="J49" s="3"/>
      <x:c r="K49" s="35"/>
      <x:c r="L49" s="36"/>
      <x:c r="M49" s="36"/>
      <x:c r="N49" s="36"/>
      <x:c r="O49" s="30"/>
      <x:c r="P49" s="30"/>
      <x:c r="Q49" s="3"/>
      <x:c r="R49" s="3"/>
      <x:c r="S49" s="3"/>
      <x:c r="T49" s="33"/>
    </x:row>
    <x:row r="50">
      <x:c r="A50" s="3"/>
      <x:c r="B50" s="3"/>
      <x:c r="C50" s="3"/>
      <x:c r="D50" s="3"/>
      <x:c r="E50" s="3"/>
      <x:c r="F50" s="3"/>
      <x:c r="G50" s="34"/>
      <x:c r="H50" s="3"/>
      <x:c r="I50" s="3"/>
      <x:c r="J50" s="3"/>
      <x:c r="K50" s="35"/>
      <x:c r="L50" s="36"/>
      <x:c r="M50" s="36"/>
      <x:c r="N50" s="36"/>
      <x:c r="O50" s="30"/>
      <x:c r="P50" s="30"/>
      <x:c r="Q50" s="3"/>
      <x:c r="R50" s="3"/>
      <x:c r="S50" s="3"/>
      <x:c r="T50" s="33"/>
    </x:row>
    <x:row r="51">
      <x:c r="A51" s="3"/>
      <x:c r="B51" s="3"/>
      <x:c r="C51" s="3"/>
      <x:c r="D51" s="3"/>
      <x:c r="E51" s="3"/>
      <x:c r="F51" s="3"/>
      <x:c r="G51" s="34"/>
      <x:c r="H51" s="3"/>
      <x:c r="I51" s="3"/>
      <x:c r="J51" s="3"/>
      <x:c r="K51" s="35"/>
      <x:c r="L51" s="36"/>
      <x:c r="M51" s="36"/>
      <x:c r="N51" s="36"/>
      <x:c r="O51" s="30"/>
      <x:c r="P51" s="30"/>
      <x:c r="Q51" s="3"/>
      <x:c r="R51" s="3"/>
      <x:c r="S51" s="3"/>
      <x:c r="T51" s="33"/>
    </x:row>
    <x:row r="52">
      <x:c r="A52" s="3"/>
      <x:c r="B52" s="3"/>
      <x:c r="C52" s="3"/>
      <x:c r="D52" s="3"/>
      <x:c r="E52" s="3"/>
      <x:c r="F52" s="3"/>
      <x:c r="G52" s="34"/>
      <x:c r="H52" s="3"/>
      <x:c r="I52" s="3"/>
      <x:c r="J52" s="3"/>
      <x:c r="K52" s="35"/>
      <x:c r="L52" s="36"/>
      <x:c r="M52" s="36"/>
      <x:c r="N52" s="36"/>
      <x:c r="O52" s="30"/>
      <x:c r="P52" s="30"/>
      <x:c r="Q52" s="3"/>
      <x:c r="R52" s="3"/>
      <x:c r="S52" s="3"/>
      <x:c r="T52" s="33"/>
    </x:row>
    <x:row r="53">
      <x:c r="A53" s="3"/>
      <x:c r="B53" s="3"/>
      <x:c r="C53" s="3"/>
      <x:c r="D53" s="3"/>
      <x:c r="E53" s="3"/>
      <x:c r="F53" s="3"/>
      <x:c r="G53" s="34"/>
      <x:c r="H53" s="3"/>
      <x:c r="I53" s="3"/>
      <x:c r="J53" s="3"/>
      <x:c r="K53" s="35"/>
      <x:c r="L53" s="36"/>
      <x:c r="M53" s="36"/>
      <x:c r="N53" s="36"/>
      <x:c r="O53" s="30"/>
      <x:c r="P53" s="30"/>
      <x:c r="Q53" s="3"/>
      <x:c r="R53" s="3"/>
      <x:c r="S53" s="3"/>
      <x:c r="T53" s="33"/>
    </x:row>
    <x:row r="54">
      <x:c r="A54" s="3"/>
      <x:c r="B54" s="3"/>
      <x:c r="C54" s="3"/>
      <x:c r="D54" s="3"/>
      <x:c r="E54" s="3"/>
      <x:c r="F54" s="3"/>
      <x:c r="G54" s="34"/>
      <x:c r="H54" s="3"/>
      <x:c r="I54" s="3"/>
      <x:c r="J54" s="3"/>
      <x:c r="K54" s="35"/>
      <x:c r="L54" s="36"/>
      <x:c r="M54" s="36"/>
      <x:c r="N54" s="36"/>
      <x:c r="O54" s="30"/>
      <x:c r="P54" s="30"/>
      <x:c r="Q54" s="3"/>
      <x:c r="R54" s="3"/>
      <x:c r="S54" s="3"/>
      <x:c r="T54" s="33"/>
    </x:row>
    <x:row r="55">
      <x:c r="A55" s="3"/>
      <x:c r="B55" s="3"/>
      <x:c r="C55" s="3"/>
      <x:c r="D55" s="3"/>
      <x:c r="E55" s="3"/>
      <x:c r="F55" s="3"/>
      <x:c r="G55" s="34"/>
      <x:c r="H55" s="3"/>
      <x:c r="I55" s="3"/>
      <x:c r="J55" s="3"/>
      <x:c r="K55" s="35"/>
      <x:c r="L55" s="36"/>
      <x:c r="M55" s="36"/>
      <x:c r="N55" s="36"/>
      <x:c r="O55" s="30"/>
      <x:c r="P55" s="30"/>
      <x:c r="Q55" s="3"/>
      <x:c r="R55" s="3"/>
      <x:c r="S55" s="3"/>
      <x:c r="T55" s="33"/>
    </x:row>
    <x:row r="56">
      <x:c r="A56" s="3"/>
      <x:c r="B56" s="3"/>
      <x:c r="C56" s="3"/>
      <x:c r="D56" s="3"/>
      <x:c r="E56" s="3"/>
      <x:c r="F56" s="3"/>
      <x:c r="G56" s="34"/>
      <x:c r="H56" s="3"/>
      <x:c r="I56" s="3"/>
      <x:c r="J56" s="3"/>
      <x:c r="K56" s="35"/>
      <x:c r="L56" s="36"/>
      <x:c r="M56" s="36"/>
      <x:c r="N56" s="36"/>
      <x:c r="O56" s="30"/>
      <x:c r="P56" s="30"/>
      <x:c r="Q56" s="3"/>
      <x:c r="R56" s="3"/>
      <x:c r="S56" s="3"/>
      <x:c r="T56" s="33"/>
    </x:row>
    <x:row r="57">
      <x:c r="A57" s="3"/>
      <x:c r="B57" s="3"/>
      <x:c r="C57" s="3"/>
      <x:c r="D57" s="3"/>
      <x:c r="E57" s="3"/>
      <x:c r="F57" s="3"/>
      <x:c r="G57" s="34"/>
      <x:c r="H57" s="3"/>
      <x:c r="I57" s="3"/>
      <x:c r="J57" s="3"/>
      <x:c r="K57" s="35"/>
      <x:c r="L57" s="36"/>
      <x:c r="M57" s="36"/>
      <x:c r="N57" s="36"/>
      <x:c r="O57" s="30"/>
      <x:c r="P57" s="30"/>
      <x:c r="Q57" s="3"/>
      <x:c r="R57" s="3"/>
      <x:c r="S57" s="3"/>
      <x:c r="T57" s="33"/>
    </x:row>
    <x:row r="58">
      <x:c r="A58" s="3"/>
      <x:c r="B58" s="3"/>
      <x:c r="C58" s="3"/>
      <x:c r="D58" s="3"/>
      <x:c r="E58" s="3"/>
      <x:c r="F58" s="3"/>
      <x:c r="G58" s="34"/>
      <x:c r="H58" s="3"/>
      <x:c r="I58" s="3"/>
      <x:c r="J58" s="3"/>
      <x:c r="K58" s="35"/>
      <x:c r="L58" s="36"/>
      <x:c r="M58" s="36"/>
      <x:c r="N58" s="36"/>
      <x:c r="O58" s="30"/>
      <x:c r="P58" s="30"/>
      <x:c r="Q58" s="3"/>
      <x:c r="R58" s="3"/>
      <x:c r="S58" s="3"/>
      <x:c r="T58" s="33"/>
    </x:row>
    <x:row r="59">
      <x:c r="A59" s="3"/>
      <x:c r="B59" s="3"/>
      <x:c r="C59" s="3"/>
      <x:c r="D59" s="3"/>
      <x:c r="E59" s="3"/>
      <x:c r="F59" s="3"/>
      <x:c r="G59" s="34"/>
      <x:c r="H59" s="3"/>
      <x:c r="I59" s="3"/>
      <x:c r="J59" s="3"/>
      <x:c r="K59" s="35"/>
      <x:c r="L59" s="36"/>
      <x:c r="M59" s="36"/>
      <x:c r="N59" s="36"/>
      <x:c r="O59" s="30"/>
      <x:c r="P59" s="30"/>
      <x:c r="Q59" s="3"/>
      <x:c r="R59" s="3"/>
      <x:c r="S59" s="3"/>
      <x:c r="T59" s="33"/>
    </x:row>
    <x:row r="60">
      <x:c r="A60" s="3"/>
      <x:c r="B60" s="3"/>
      <x:c r="C60" s="3"/>
      <x:c r="D60" s="3"/>
      <x:c r="E60" s="3"/>
      <x:c r="F60" s="3"/>
      <x:c r="G60" s="34"/>
      <x:c r="H60" s="3"/>
      <x:c r="I60" s="3"/>
      <x:c r="J60" s="3"/>
      <x:c r="K60" s="35"/>
      <x:c r="L60" s="36"/>
      <x:c r="M60" s="36"/>
      <x:c r="N60" s="36"/>
      <x:c r="O60" s="30"/>
      <x:c r="P60" s="30"/>
      <x:c r="Q60" s="3"/>
      <x:c r="R60" s="3"/>
      <x:c r="S60" s="3"/>
      <x:c r="T60" s="33"/>
    </x:row>
    <x:row r="61">
      <x:c r="A61" s="3"/>
      <x:c r="B61" s="3"/>
      <x:c r="C61" s="3"/>
      <x:c r="D61" s="3"/>
      <x:c r="E61" s="3"/>
      <x:c r="F61" s="3"/>
      <x:c r="G61" s="34"/>
      <x:c r="H61" s="3"/>
      <x:c r="I61" s="3"/>
      <x:c r="J61" s="3"/>
      <x:c r="K61" s="35"/>
      <x:c r="L61" s="36"/>
      <x:c r="M61" s="36"/>
      <x:c r="N61" s="36"/>
      <x:c r="O61" s="30"/>
      <x:c r="P61" s="30"/>
      <x:c r="Q61" s="3"/>
      <x:c r="R61" s="3"/>
      <x:c r="S61" s="3"/>
      <x:c r="T61" s="33"/>
    </x:row>
    <x:row r="62">
      <x:c r="A62" s="3"/>
      <x:c r="B62" s="3"/>
      <x:c r="C62" s="3"/>
      <x:c r="D62" s="3"/>
      <x:c r="E62" s="3"/>
      <x:c r="F62" s="3"/>
      <x:c r="G62" s="34"/>
      <x:c r="H62" s="3"/>
      <x:c r="I62" s="3"/>
      <x:c r="J62" s="3"/>
      <x:c r="K62" s="35"/>
      <x:c r="L62" s="36"/>
      <x:c r="M62" s="36"/>
      <x:c r="N62" s="36"/>
      <x:c r="O62" s="30"/>
      <x:c r="P62" s="30"/>
      <x:c r="Q62" s="3"/>
      <x:c r="R62" s="3"/>
      <x:c r="S62" s="3"/>
      <x:c r="T62" s="33"/>
    </x:row>
    <x:row r="63">
      <x:c r="A63" s="3"/>
      <x:c r="B63" s="3"/>
      <x:c r="C63" s="3"/>
      <x:c r="D63" s="3"/>
      <x:c r="E63" s="3"/>
      <x:c r="F63" s="3"/>
      <x:c r="G63" s="34"/>
      <x:c r="H63" s="3"/>
      <x:c r="I63" s="3"/>
      <x:c r="J63" s="3"/>
      <x:c r="K63" s="35"/>
      <x:c r="L63" s="36"/>
      <x:c r="M63" s="36"/>
      <x:c r="N63" s="36"/>
      <x:c r="O63" s="30"/>
      <x:c r="P63" s="30"/>
      <x:c r="Q63" s="3"/>
      <x:c r="R63" s="3"/>
      <x:c r="S63" s="3"/>
      <x:c r="T63" s="33"/>
    </x:row>
    <x:row r="64">
      <x:c r="A64" s="3"/>
      <x:c r="B64" s="3"/>
      <x:c r="C64" s="3"/>
      <x:c r="D64" s="3"/>
      <x:c r="E64" s="3"/>
      <x:c r="F64" s="3"/>
      <x:c r="G64" s="34"/>
      <x:c r="H64" s="3"/>
      <x:c r="I64" s="3"/>
      <x:c r="J64" s="3"/>
      <x:c r="K64" s="35"/>
      <x:c r="L64" s="36"/>
      <x:c r="M64" s="36"/>
      <x:c r="N64" s="36"/>
      <x:c r="O64" s="30"/>
      <x:c r="P64" s="30"/>
      <x:c r="Q64" s="3"/>
      <x:c r="R64" s="3"/>
      <x:c r="S64" s="3"/>
      <x:c r="T64" s="33"/>
    </x:row>
    <x:row r="65">
      <x:c r="A65" s="3"/>
      <x:c r="B65" s="3"/>
      <x:c r="C65" s="3"/>
      <x:c r="D65" s="3"/>
      <x:c r="E65" s="3"/>
      <x:c r="F65" s="3"/>
      <x:c r="G65" s="34"/>
      <x:c r="H65" s="3"/>
      <x:c r="I65" s="3"/>
      <x:c r="J65" s="3"/>
      <x:c r="K65" s="35"/>
      <x:c r="L65" s="36"/>
      <x:c r="M65" s="36"/>
      <x:c r="N65" s="36"/>
      <x:c r="O65" s="30"/>
      <x:c r="P65" s="30"/>
      <x:c r="Q65" s="3"/>
      <x:c r="R65" s="3"/>
      <x:c r="S65" s="3"/>
      <x:c r="T65" s="33"/>
    </x:row>
    <x:row r="66">
      <x:c r="A66" s="3"/>
      <x:c r="B66" s="3"/>
      <x:c r="C66" s="3"/>
      <x:c r="D66" s="3"/>
      <x:c r="E66" s="3"/>
      <x:c r="F66" s="3"/>
      <x:c r="G66" s="34"/>
      <x:c r="H66" s="3"/>
      <x:c r="I66" s="3"/>
      <x:c r="J66" s="3"/>
      <x:c r="K66" s="35"/>
      <x:c r="L66" s="36"/>
      <x:c r="M66" s="36"/>
      <x:c r="N66" s="36"/>
      <x:c r="O66" s="30"/>
      <x:c r="P66" s="30"/>
      <x:c r="Q66" s="3"/>
      <x:c r="R66" s="3"/>
      <x:c r="S66" s="3"/>
      <x:c r="T66" s="33"/>
    </x:row>
    <x:row r="67">
      <x:c r="A67" s="3"/>
      <x:c r="B67" s="3"/>
      <x:c r="C67" s="3"/>
      <x:c r="D67" s="3"/>
      <x:c r="E67" s="3"/>
      <x:c r="F67" s="3"/>
      <x:c r="G67" s="34"/>
      <x:c r="H67" s="3"/>
      <x:c r="I67" s="3"/>
      <x:c r="J67" s="3"/>
      <x:c r="K67" s="35"/>
      <x:c r="L67" s="36"/>
      <x:c r="M67" s="36"/>
      <x:c r="N67" s="36"/>
      <x:c r="O67" s="30"/>
      <x:c r="P67" s="30"/>
      <x:c r="Q67" s="3"/>
      <x:c r="R67" s="3"/>
      <x:c r="S67" s="3"/>
      <x:c r="T67" s="33"/>
    </x:row>
    <x:row r="68">
      <x:c r="A68" s="3"/>
      <x:c r="B68" s="3"/>
      <x:c r="C68" s="3"/>
      <x:c r="D68" s="3"/>
      <x:c r="E68" s="3"/>
      <x:c r="F68" s="3"/>
      <x:c r="G68" s="34"/>
      <x:c r="H68" s="3"/>
      <x:c r="I68" s="3"/>
      <x:c r="J68" s="3"/>
      <x:c r="K68" s="35"/>
      <x:c r="L68" s="36"/>
      <x:c r="M68" s="36"/>
      <x:c r="N68" s="36"/>
      <x:c r="O68" s="30"/>
      <x:c r="P68" s="30"/>
      <x:c r="Q68" s="3"/>
      <x:c r="R68" s="3"/>
      <x:c r="S68" s="3"/>
      <x:c r="T68" s="33"/>
    </x:row>
    <x:row r="69">
      <x:c r="A69" s="3"/>
      <x:c r="B69" s="3"/>
      <x:c r="C69" s="3"/>
      <x:c r="D69" s="3"/>
      <x:c r="E69" s="3"/>
      <x:c r="F69" s="3"/>
      <x:c r="G69" s="34"/>
      <x:c r="H69" s="3"/>
      <x:c r="I69" s="3"/>
      <x:c r="J69" s="3"/>
      <x:c r="K69" s="35"/>
      <x:c r="L69" s="36"/>
      <x:c r="M69" s="36"/>
      <x:c r="N69" s="36"/>
      <x:c r="O69" s="30"/>
      <x:c r="P69" s="30"/>
      <x:c r="Q69" s="3"/>
      <x:c r="R69" s="3"/>
      <x:c r="S69" s="3"/>
      <x:c r="T69" s="33"/>
    </x:row>
    <x:row r="70">
      <x:c r="A70" s="3"/>
      <x:c r="B70" s="3"/>
      <x:c r="C70" s="3"/>
      <x:c r="D70" s="3"/>
      <x:c r="E70" s="3"/>
      <x:c r="F70" s="3"/>
      <x:c r="G70" s="34"/>
      <x:c r="H70" s="3"/>
      <x:c r="I70" s="3"/>
      <x:c r="J70" s="3"/>
      <x:c r="K70" s="35"/>
      <x:c r="L70" s="36"/>
      <x:c r="M70" s="36"/>
      <x:c r="N70" s="36"/>
      <x:c r="O70" s="30"/>
      <x:c r="P70" s="30"/>
      <x:c r="Q70" s="3"/>
      <x:c r="R70" s="3"/>
      <x:c r="S70" s="3"/>
      <x:c r="T70" s="33"/>
    </x:row>
    <x:row r="71">
      <x:c r="A71" s="3"/>
      <x:c r="B71" s="3"/>
      <x:c r="C71" s="3"/>
      <x:c r="D71" s="3"/>
      <x:c r="E71" s="3"/>
      <x:c r="F71" s="3"/>
      <x:c r="G71" s="34"/>
      <x:c r="H71" s="3"/>
      <x:c r="I71" s="3"/>
      <x:c r="J71" s="3"/>
      <x:c r="K71" s="35"/>
      <x:c r="L71" s="36"/>
      <x:c r="M71" s="36"/>
      <x:c r="N71" s="36"/>
      <x:c r="O71" s="30"/>
      <x:c r="P71" s="30"/>
      <x:c r="Q71" s="3"/>
      <x:c r="R71" s="3"/>
      <x:c r="S71" s="3"/>
      <x:c r="T71" s="33"/>
    </x:row>
    <x:row r="72">
      <x:c r="A72" s="3"/>
      <x:c r="B72" s="3"/>
      <x:c r="C72" s="3"/>
      <x:c r="D72" s="3"/>
      <x:c r="E72" s="3"/>
      <x:c r="F72" s="3"/>
      <x:c r="G72" s="34"/>
      <x:c r="H72" s="3"/>
      <x:c r="I72" s="3"/>
      <x:c r="J72" s="3"/>
      <x:c r="K72" s="35"/>
      <x:c r="L72" s="36"/>
      <x:c r="M72" s="36"/>
      <x:c r="N72" s="36"/>
      <x:c r="O72" s="30"/>
      <x:c r="P72" s="30"/>
      <x:c r="Q72" s="3"/>
      <x:c r="R72" s="3"/>
      <x:c r="S72" s="3"/>
      <x:c r="T72" s="33"/>
    </x:row>
    <x:row r="73">
      <x:c r="A73" s="3"/>
      <x:c r="B73" s="3"/>
      <x:c r="C73" s="3"/>
      <x:c r="D73" s="3"/>
      <x:c r="E73" s="3"/>
      <x:c r="F73" s="3"/>
      <x:c r="G73" s="34"/>
      <x:c r="H73" s="3"/>
      <x:c r="I73" s="3"/>
      <x:c r="J73" s="3"/>
      <x:c r="K73" s="35"/>
      <x:c r="L73" s="36"/>
      <x:c r="M73" s="36"/>
      <x:c r="N73" s="36"/>
      <x:c r="O73" s="30"/>
      <x:c r="P73" s="30"/>
      <x:c r="Q73" s="3"/>
      <x:c r="R73" s="3"/>
      <x:c r="S73" s="3"/>
      <x:c r="T73" s="33"/>
    </x:row>
    <x:row r="74">
      <x:c r="A74" s="3"/>
      <x:c r="B74" s="3"/>
      <x:c r="C74" s="3"/>
      <x:c r="D74" s="3"/>
      <x:c r="E74" s="3"/>
      <x:c r="F74" s="3"/>
      <x:c r="G74" s="34"/>
      <x:c r="H74" s="3"/>
      <x:c r="I74" s="3"/>
      <x:c r="J74" s="3"/>
      <x:c r="K74" s="35"/>
      <x:c r="L74" s="36"/>
      <x:c r="M74" s="36"/>
      <x:c r="N74" s="36"/>
      <x:c r="O74" s="30"/>
      <x:c r="P74" s="30"/>
      <x:c r="Q74" s="3"/>
      <x:c r="R74" s="3"/>
      <x:c r="S74" s="3"/>
      <x:c r="T74" s="33"/>
    </x:row>
    <x:row r="75">
      <x:c r="A75" s="3"/>
      <x:c r="B75" s="3"/>
      <x:c r="C75" s="3"/>
      <x:c r="D75" s="3"/>
      <x:c r="E75" s="3"/>
      <x:c r="F75" s="3"/>
      <x:c r="G75" s="34"/>
      <x:c r="H75" s="3"/>
      <x:c r="I75" s="3"/>
      <x:c r="J75" s="3"/>
      <x:c r="K75" s="35"/>
      <x:c r="L75" s="36"/>
      <x:c r="M75" s="36"/>
      <x:c r="N75" s="36"/>
      <x:c r="O75" s="30"/>
      <x:c r="P75" s="30"/>
      <x:c r="Q75" s="3"/>
      <x:c r="R75" s="3"/>
      <x:c r="S75" s="3"/>
      <x:c r="T75" s="33"/>
    </x:row>
    <x:row r="76">
      <x:c r="A76" s="3"/>
      <x:c r="B76" s="3"/>
      <x:c r="C76" s="3"/>
      <x:c r="D76" s="3"/>
      <x:c r="E76" s="3"/>
      <x:c r="F76" s="3"/>
      <x:c r="G76" s="34"/>
      <x:c r="H76" s="3"/>
      <x:c r="I76" s="3"/>
      <x:c r="J76" s="3"/>
      <x:c r="K76" s="35"/>
      <x:c r="L76" s="36"/>
      <x:c r="M76" s="36"/>
      <x:c r="N76" s="36"/>
      <x:c r="O76" s="30"/>
      <x:c r="P76" s="30"/>
      <x:c r="Q76" s="3"/>
      <x:c r="R76" s="3"/>
      <x:c r="S76" s="3"/>
      <x:c r="T76" s="33"/>
    </x:row>
    <x:row r="77">
      <x:c r="A77" s="3"/>
      <x:c r="B77" s="3"/>
      <x:c r="C77" s="3"/>
      <x:c r="D77" s="3"/>
      <x:c r="E77" s="3"/>
      <x:c r="F77" s="3"/>
      <x:c r="G77" s="34"/>
      <x:c r="H77" s="3"/>
      <x:c r="I77" s="3"/>
      <x:c r="J77" s="3"/>
      <x:c r="K77" s="35"/>
      <x:c r="L77" s="36"/>
      <x:c r="M77" s="36"/>
      <x:c r="N77" s="36"/>
      <x:c r="O77" s="30"/>
      <x:c r="P77" s="30"/>
      <x:c r="Q77" s="3"/>
      <x:c r="R77" s="3"/>
      <x:c r="S77" s="3"/>
      <x:c r="T77" s="33"/>
    </x:row>
    <x:row r="78">
      <x:c r="A78" s="3"/>
      <x:c r="B78" s="3"/>
      <x:c r="C78" s="3"/>
      <x:c r="D78" s="3"/>
      <x:c r="E78" s="3"/>
      <x:c r="F78" s="3"/>
      <x:c r="G78" s="34"/>
      <x:c r="H78" s="3"/>
      <x:c r="I78" s="3"/>
      <x:c r="J78" s="3"/>
      <x:c r="K78" s="35"/>
      <x:c r="L78" s="36"/>
      <x:c r="M78" s="36"/>
      <x:c r="N78" s="36"/>
      <x:c r="O78" s="30"/>
      <x:c r="P78" s="30"/>
      <x:c r="Q78" s="3"/>
      <x:c r="R78" s="3"/>
      <x:c r="S78" s="3"/>
      <x:c r="T78" s="33"/>
    </x:row>
    <x:row r="79">
      <x:c r="A79" s="3"/>
      <x:c r="B79" s="3"/>
      <x:c r="C79" s="3"/>
      <x:c r="D79" s="3"/>
      <x:c r="E79" s="3"/>
      <x:c r="F79" s="3"/>
      <x:c r="G79" s="34"/>
      <x:c r="H79" s="3"/>
      <x:c r="I79" s="3"/>
      <x:c r="J79" s="3"/>
      <x:c r="K79" s="35"/>
      <x:c r="L79" s="36"/>
      <x:c r="M79" s="36"/>
      <x:c r="N79" s="36"/>
      <x:c r="O79" s="30"/>
      <x:c r="P79" s="30"/>
      <x:c r="Q79" s="3"/>
      <x:c r="R79" s="3"/>
      <x:c r="S79" s="3"/>
      <x:c r="T79" s="33"/>
    </x:row>
    <x:row r="80">
      <x:c r="A80" s="3"/>
      <x:c r="B80" s="3"/>
      <x:c r="C80" s="3"/>
      <x:c r="D80" s="3"/>
      <x:c r="E80" s="3"/>
      <x:c r="F80" s="3"/>
      <x:c r="G80" s="34"/>
      <x:c r="H80" s="3"/>
      <x:c r="I80" s="3"/>
      <x:c r="J80" s="3"/>
      <x:c r="K80" s="35"/>
      <x:c r="L80" s="36"/>
      <x:c r="M80" s="36"/>
      <x:c r="N80" s="36"/>
      <x:c r="O80" s="30"/>
      <x:c r="P80" s="30"/>
      <x:c r="Q80" s="3"/>
      <x:c r="R80" s="3"/>
      <x:c r="S80" s="3"/>
      <x:c r="T80" s="33"/>
    </x:row>
    <x:row r="81">
      <x:c r="A81" s="3"/>
      <x:c r="B81" s="3"/>
      <x:c r="C81" s="3"/>
      <x:c r="D81" s="3"/>
      <x:c r="E81" s="3"/>
      <x:c r="F81" s="3"/>
      <x:c r="G81" s="34"/>
      <x:c r="H81" s="3"/>
      <x:c r="I81" s="3"/>
      <x:c r="J81" s="3"/>
      <x:c r="K81" s="35"/>
      <x:c r="L81" s="36"/>
      <x:c r="M81" s="36"/>
      <x:c r="N81" s="36"/>
      <x:c r="O81" s="30"/>
      <x:c r="P81" s="30"/>
      <x:c r="Q81" s="3"/>
      <x:c r="R81" s="3"/>
      <x:c r="S81" s="3"/>
      <x:c r="T81" s="33"/>
    </x:row>
    <x:row r="82">
      <x:c r="A82" s="3"/>
      <x:c r="B82" s="3"/>
      <x:c r="C82" s="3"/>
      <x:c r="D82" s="3"/>
      <x:c r="E82" s="3"/>
      <x:c r="F82" s="3"/>
      <x:c r="G82" s="34"/>
      <x:c r="H82" s="3"/>
      <x:c r="I82" s="3"/>
      <x:c r="J82" s="3"/>
      <x:c r="K82" s="35"/>
      <x:c r="L82" s="36"/>
      <x:c r="M82" s="36"/>
      <x:c r="N82" s="36"/>
      <x:c r="O82" s="30"/>
      <x:c r="P82" s="30"/>
      <x:c r="Q82" s="3"/>
      <x:c r="R82" s="3"/>
      <x:c r="S82" s="3"/>
      <x:c r="T82" s="33"/>
    </x:row>
    <x:row r="83">
      <x:c r="A83" s="3"/>
      <x:c r="B83" s="3"/>
      <x:c r="C83" s="3"/>
      <x:c r="D83" s="3"/>
      <x:c r="E83" s="3"/>
      <x:c r="F83" s="3"/>
      <x:c r="G83" s="34"/>
      <x:c r="H83" s="3"/>
      <x:c r="I83" s="3"/>
      <x:c r="J83" s="3"/>
      <x:c r="K83" s="35"/>
      <x:c r="L83" s="36"/>
      <x:c r="M83" s="36"/>
      <x:c r="N83" s="36"/>
      <x:c r="O83" s="30"/>
      <x:c r="P83" s="30"/>
      <x:c r="Q83" s="3"/>
      <x:c r="R83" s="3"/>
      <x:c r="S83" s="3"/>
      <x:c r="T83" s="33"/>
    </x:row>
    <x:row r="84">
      <x:c r="A84" s="3"/>
      <x:c r="B84" s="3"/>
      <x:c r="C84" s="3"/>
      <x:c r="D84" s="3"/>
      <x:c r="E84" s="3"/>
      <x:c r="F84" s="3"/>
      <x:c r="G84" s="34"/>
      <x:c r="H84" s="3"/>
      <x:c r="I84" s="3"/>
      <x:c r="J84" s="3"/>
      <x:c r="K84" s="35"/>
      <x:c r="L84" s="36"/>
      <x:c r="M84" s="36"/>
      <x:c r="N84" s="36"/>
      <x:c r="O84" s="30"/>
      <x:c r="P84" s="30"/>
      <x:c r="Q84" s="3"/>
      <x:c r="R84" s="3"/>
      <x:c r="S84" s="3"/>
      <x:c r="T84" s="33"/>
    </x:row>
    <x:row r="85">
      <x:c r="A85" s="3"/>
      <x:c r="B85" s="3"/>
      <x:c r="C85" s="3"/>
      <x:c r="D85" s="3"/>
      <x:c r="E85" s="3"/>
      <x:c r="F85" s="3"/>
      <x:c r="G85" s="34"/>
      <x:c r="H85" s="3"/>
      <x:c r="I85" s="3"/>
      <x:c r="J85" s="3"/>
      <x:c r="K85" s="35"/>
      <x:c r="L85" s="36"/>
      <x:c r="M85" s="36"/>
      <x:c r="N85" s="36"/>
      <x:c r="O85" s="30"/>
      <x:c r="P85" s="30"/>
      <x:c r="Q85" s="3"/>
      <x:c r="R85" s="3"/>
      <x:c r="S85" s="3"/>
      <x:c r="T85" s="33"/>
    </x:row>
    <x:row r="86">
      <x:c r="A86" s="3"/>
      <x:c r="B86" s="3"/>
      <x:c r="C86" s="3"/>
      <x:c r="D86" s="3"/>
      <x:c r="E86" s="3"/>
      <x:c r="F86" s="3"/>
      <x:c r="G86" s="34"/>
      <x:c r="H86" s="3"/>
      <x:c r="I86" s="3"/>
      <x:c r="J86" s="3"/>
      <x:c r="K86" s="35"/>
      <x:c r="L86" s="36"/>
      <x:c r="M86" s="36"/>
      <x:c r="N86" s="36"/>
      <x:c r="O86" s="30"/>
      <x:c r="P86" s="30"/>
      <x:c r="Q86" s="3"/>
      <x:c r="R86" s="3"/>
      <x:c r="S86" s="3"/>
      <x:c r="T86" s="33"/>
    </x:row>
    <x:row r="87">
      <x:c r="A87" s="3"/>
      <x:c r="B87" s="3"/>
      <x:c r="C87" s="3"/>
      <x:c r="D87" s="3"/>
      <x:c r="E87" s="3"/>
      <x:c r="F87" s="3"/>
      <x:c r="G87" s="34"/>
      <x:c r="H87" s="3"/>
      <x:c r="I87" s="3"/>
      <x:c r="J87" s="3"/>
      <x:c r="K87" s="35"/>
      <x:c r="L87" s="36"/>
      <x:c r="M87" s="36"/>
      <x:c r="N87" s="36"/>
      <x:c r="O87" s="30"/>
      <x:c r="P87" s="30"/>
      <x:c r="Q87" s="3"/>
      <x:c r="R87" s="3"/>
      <x:c r="S87" s="3"/>
      <x:c r="T87" s="33"/>
    </x:row>
    <x:row r="88">
      <x:c r="A88" s="3"/>
      <x:c r="B88" s="3"/>
      <x:c r="C88" s="3"/>
      <x:c r="D88" s="3"/>
      <x:c r="E88" s="3"/>
      <x:c r="F88" s="3"/>
      <x:c r="G88" s="34"/>
      <x:c r="H88" s="3"/>
      <x:c r="I88" s="3"/>
      <x:c r="J88" s="3"/>
      <x:c r="K88" s="35"/>
      <x:c r="L88" s="36"/>
      <x:c r="M88" s="36"/>
      <x:c r="N88" s="36"/>
      <x:c r="O88" s="30"/>
      <x:c r="P88" s="30"/>
      <x:c r="Q88" s="3"/>
      <x:c r="R88" s="3"/>
      <x:c r="S88" s="3"/>
      <x:c r="T88" s="33"/>
    </x:row>
    <x:row r="89">
      <x:c r="A89" s="3"/>
      <x:c r="B89" s="3"/>
      <x:c r="C89" s="3"/>
      <x:c r="D89" s="3"/>
      <x:c r="E89" s="3"/>
      <x:c r="F89" s="3"/>
      <x:c r="G89" s="34"/>
      <x:c r="H89" s="3"/>
      <x:c r="I89" s="3"/>
      <x:c r="J89" s="3"/>
      <x:c r="K89" s="35"/>
      <x:c r="L89" s="36"/>
      <x:c r="M89" s="36"/>
      <x:c r="N89" s="36"/>
      <x:c r="O89" s="30"/>
      <x:c r="P89" s="30"/>
      <x:c r="Q89" s="3"/>
      <x:c r="R89" s="3"/>
      <x:c r="S89" s="3"/>
      <x:c r="T89" s="33"/>
    </x:row>
    <x:row r="90">
      <x:c r="A90" s="3"/>
      <x:c r="B90" s="3"/>
      <x:c r="C90" s="3"/>
      <x:c r="D90" s="3"/>
      <x:c r="E90" s="3"/>
      <x:c r="F90" s="3"/>
      <x:c r="G90" s="34"/>
      <x:c r="H90" s="3"/>
      <x:c r="I90" s="3"/>
      <x:c r="J90" s="3"/>
      <x:c r="K90" s="35"/>
      <x:c r="L90" s="36"/>
      <x:c r="M90" s="36"/>
      <x:c r="N90" s="36"/>
      <x:c r="O90" s="30"/>
      <x:c r="P90" s="30"/>
      <x:c r="Q90" s="3"/>
      <x:c r="R90" s="3"/>
      <x:c r="S90" s="3"/>
      <x:c r="T90" s="33"/>
    </x:row>
    <x:row r="91">
      <x:c r="A91" s="3"/>
      <x:c r="B91" s="3"/>
      <x:c r="C91" s="3"/>
      <x:c r="D91" s="3"/>
      <x:c r="E91" s="3"/>
      <x:c r="F91" s="3"/>
      <x:c r="G91" s="34"/>
      <x:c r="H91" s="3"/>
      <x:c r="I91" s="3"/>
      <x:c r="J91" s="3"/>
      <x:c r="K91" s="35"/>
      <x:c r="L91" s="36"/>
      <x:c r="M91" s="36"/>
      <x:c r="N91" s="36"/>
      <x:c r="O91" s="30"/>
      <x:c r="P91" s="30"/>
      <x:c r="Q91" s="3"/>
      <x:c r="R91" s="3"/>
      <x:c r="S91" s="3"/>
      <x:c r="T91" s="33"/>
    </x:row>
    <x:row r="92">
      <x:c r="A92" s="3"/>
      <x:c r="B92" s="3"/>
      <x:c r="C92" s="3"/>
      <x:c r="D92" s="3"/>
      <x:c r="E92" s="3"/>
      <x:c r="F92" s="3"/>
      <x:c r="G92" s="34"/>
      <x:c r="H92" s="3"/>
      <x:c r="I92" s="3"/>
      <x:c r="J92" s="3"/>
      <x:c r="K92" s="35"/>
      <x:c r="L92" s="36"/>
      <x:c r="M92" s="36"/>
      <x:c r="N92" s="36"/>
      <x:c r="O92" s="30"/>
      <x:c r="P92" s="30"/>
      <x:c r="Q92" s="3"/>
      <x:c r="R92" s="3"/>
      <x:c r="S92" s="3"/>
      <x:c r="T92" s="33"/>
    </x:row>
    <x:row r="93">
      <x:c r="A93" s="3"/>
      <x:c r="B93" s="3"/>
      <x:c r="C93" s="3"/>
      <x:c r="D93" s="3"/>
      <x:c r="E93" s="3"/>
      <x:c r="F93" s="3"/>
      <x:c r="G93" s="34"/>
      <x:c r="H93" s="3"/>
      <x:c r="I93" s="3"/>
      <x:c r="J93" s="3"/>
      <x:c r="K93" s="35"/>
      <x:c r="L93" s="36"/>
      <x:c r="M93" s="36"/>
      <x:c r="N93" s="36"/>
      <x:c r="O93" s="30"/>
      <x:c r="P93" s="30"/>
      <x:c r="Q93" s="3"/>
      <x:c r="R93" s="3"/>
      <x:c r="S93" s="3"/>
      <x:c r="T93" s="33"/>
    </x:row>
    <x:row r="94">
      <x:c r="A94" s="3"/>
      <x:c r="B94" s="3"/>
      <x:c r="C94" s="3"/>
      <x:c r="D94" s="3"/>
      <x:c r="E94" s="3"/>
      <x:c r="F94" s="3"/>
      <x:c r="G94" s="34"/>
      <x:c r="H94" s="3"/>
      <x:c r="I94" s="3"/>
      <x:c r="J94" s="3"/>
      <x:c r="K94" s="35"/>
      <x:c r="L94" s="36"/>
      <x:c r="M94" s="36"/>
      <x:c r="N94" s="36"/>
      <x:c r="O94" s="30"/>
      <x:c r="P94" s="30"/>
      <x:c r="Q94" s="3"/>
      <x:c r="R94" s="3"/>
      <x:c r="S94" s="3"/>
      <x:c r="T94" s="33"/>
    </x:row>
    <x:row r="95">
      <x:c r="A95" s="3"/>
      <x:c r="B95" s="3"/>
      <x:c r="C95" s="3"/>
      <x:c r="D95" s="3"/>
      <x:c r="E95" s="3"/>
      <x:c r="F95" s="3"/>
      <x:c r="G95" s="34"/>
      <x:c r="H95" s="3"/>
      <x:c r="I95" s="3"/>
      <x:c r="J95" s="3"/>
      <x:c r="K95" s="35"/>
      <x:c r="L95" s="36"/>
      <x:c r="M95" s="36"/>
      <x:c r="N95" s="36"/>
      <x:c r="O95" s="30"/>
      <x:c r="P95" s="30"/>
      <x:c r="Q95" s="3"/>
      <x:c r="R95" s="3"/>
      <x:c r="S95" s="3"/>
      <x:c r="T95" s="33"/>
    </x:row>
    <x:row r="96">
      <x:c r="A96" s="3"/>
      <x:c r="B96" s="3"/>
      <x:c r="C96" s="3"/>
      <x:c r="D96" s="3"/>
      <x:c r="E96" s="3"/>
      <x:c r="F96" s="3"/>
      <x:c r="G96" s="34"/>
      <x:c r="H96" s="3"/>
      <x:c r="I96" s="3"/>
      <x:c r="J96" s="3"/>
      <x:c r="K96" s="35"/>
      <x:c r="L96" s="36"/>
      <x:c r="M96" s="36"/>
      <x:c r="N96" s="36"/>
      <x:c r="O96" s="30"/>
      <x:c r="P96" s="30"/>
      <x:c r="Q96" s="3"/>
      <x:c r="R96" s="3"/>
      <x:c r="S96" s="3"/>
      <x:c r="T96" s="33"/>
    </x:row>
    <x:row r="97">
      <x:c r="A97" s="3"/>
      <x:c r="B97" s="3"/>
      <x:c r="C97" s="3"/>
      <x:c r="D97" s="3"/>
      <x:c r="E97" s="3"/>
      <x:c r="F97" s="3"/>
      <x:c r="G97" s="34"/>
      <x:c r="H97" s="3"/>
      <x:c r="I97" s="3"/>
      <x:c r="J97" s="3"/>
      <x:c r="K97" s="35"/>
      <x:c r="L97" s="36"/>
      <x:c r="M97" s="36"/>
      <x:c r="N97" s="36"/>
      <x:c r="O97" s="30"/>
      <x:c r="P97" s="30"/>
      <x:c r="Q97" s="3"/>
      <x:c r="R97" s="3"/>
      <x:c r="S97" s="3"/>
      <x:c r="T97" s="33"/>
    </x:row>
    <x:row r="98">
      <x:c r="A98" s="3"/>
      <x:c r="B98" s="3"/>
      <x:c r="C98" s="3"/>
      <x:c r="D98" s="3"/>
      <x:c r="E98" s="3"/>
      <x:c r="F98" s="3"/>
      <x:c r="G98" s="34"/>
      <x:c r="H98" s="3"/>
      <x:c r="I98" s="3"/>
      <x:c r="J98" s="3"/>
      <x:c r="K98" s="35"/>
      <x:c r="L98" s="36"/>
      <x:c r="M98" s="36"/>
      <x:c r="N98" s="36"/>
      <x:c r="O98" s="30"/>
      <x:c r="P98" s="30"/>
      <x:c r="Q98" s="3"/>
      <x:c r="R98" s="3"/>
      <x:c r="S98" s="3"/>
      <x:c r="T98" s="33"/>
    </x:row>
    <x:row r="99">
      <x:c r="A99" s="3"/>
      <x:c r="B99" s="3"/>
      <x:c r="C99" s="3"/>
      <x:c r="D99" s="3"/>
      <x:c r="E99" s="3"/>
      <x:c r="F99" s="3"/>
      <x:c r="G99" s="34"/>
      <x:c r="H99" s="3"/>
      <x:c r="I99" s="3"/>
      <x:c r="J99" s="3"/>
      <x:c r="K99" s="35"/>
      <x:c r="L99" s="36"/>
      <x:c r="M99" s="36"/>
      <x:c r="N99" s="36"/>
      <x:c r="O99" s="30"/>
      <x:c r="P99" s="30"/>
      <x:c r="Q99" s="3"/>
      <x:c r="R99" s="3"/>
      <x:c r="S99" s="3"/>
      <x:c r="T99" s="33"/>
    </x:row>
    <x:row r="100">
      <x:c r="A100" s="3"/>
      <x:c r="B100" s="3"/>
      <x:c r="C100" s="3"/>
      <x:c r="D100" s="3"/>
      <x:c r="E100" s="3"/>
      <x:c r="F100" s="3"/>
      <x:c r="G100" s="34"/>
      <x:c r="H100" s="3"/>
      <x:c r="I100" s="3"/>
      <x:c r="J100" s="3"/>
      <x:c r="K100" s="35"/>
      <x:c r="L100" s="36"/>
      <x:c r="M100" s="36"/>
      <x:c r="N100" s="36"/>
      <x:c r="O100" s="30"/>
      <x:c r="P100" s="30"/>
      <x:c r="Q100" s="3"/>
      <x:c r="R100" s="3"/>
      <x:c r="S100" s="3"/>
      <x:c r="T100" s="33"/>
    </x:row>
    <x:row r="101">
      <x:c r="A101" s="3"/>
      <x:c r="B101" s="3"/>
      <x:c r="C101" s="3"/>
      <x:c r="D101" s="3"/>
      <x:c r="E101" s="3"/>
      <x:c r="F101" s="3"/>
      <x:c r="G101" s="34"/>
      <x:c r="H101" s="3"/>
      <x:c r="I101" s="3"/>
      <x:c r="J101" s="3"/>
      <x:c r="K101" s="35"/>
      <x:c r="L101" s="36"/>
      <x:c r="M101" s="36"/>
      <x:c r="N101" s="36"/>
      <x:c r="O101" s="30"/>
      <x:c r="P101" s="30"/>
      <x:c r="Q101" s="3"/>
      <x:c r="R101" s="3"/>
      <x:c r="S101" s="3"/>
      <x:c r="T101" s="33"/>
    </x:row>
    <x:row r="102">
      <x:c r="A102" s="3"/>
      <x:c r="B102" s="3"/>
      <x:c r="C102" s="3"/>
      <x:c r="D102" s="3"/>
      <x:c r="E102" s="3"/>
      <x:c r="F102" s="3"/>
      <x:c r="G102" s="34"/>
      <x:c r="H102" s="3"/>
      <x:c r="I102" s="3"/>
      <x:c r="J102" s="3"/>
      <x:c r="K102" s="35"/>
      <x:c r="L102" s="36"/>
      <x:c r="M102" s="36"/>
      <x:c r="N102" s="36"/>
      <x:c r="O102" s="30"/>
      <x:c r="P102" s="30"/>
      <x:c r="Q102" s="3"/>
      <x:c r="R102" s="3"/>
      <x:c r="S102" s="3"/>
      <x:c r="T102" s="33"/>
    </x:row>
    <x:row r="103">
      <x:c r="A103" s="3"/>
      <x:c r="B103" s="3"/>
      <x:c r="C103" s="3"/>
      <x:c r="D103" s="3"/>
      <x:c r="E103" s="3"/>
      <x:c r="F103" s="3"/>
      <x:c r="G103" s="34"/>
      <x:c r="H103" s="3"/>
      <x:c r="I103" s="3"/>
      <x:c r="J103" s="3"/>
      <x:c r="K103" s="35"/>
      <x:c r="L103" s="36"/>
      <x:c r="M103" s="36"/>
      <x:c r="N103" s="36"/>
      <x:c r="O103" s="30"/>
      <x:c r="P103" s="30"/>
      <x:c r="Q103" s="3"/>
      <x:c r="R103" s="3"/>
      <x:c r="S103" s="3"/>
      <x:c r="T103" s="33"/>
    </x:row>
    <x:row r="104">
      <x:c r="A104" s="3"/>
      <x:c r="B104" s="3"/>
      <x:c r="C104" s="3"/>
      <x:c r="D104" s="3"/>
      <x:c r="E104" s="3"/>
      <x:c r="F104" s="3"/>
      <x:c r="G104" s="34"/>
      <x:c r="H104" s="3"/>
      <x:c r="I104" s="3"/>
      <x:c r="J104" s="3"/>
      <x:c r="K104" s="35"/>
      <x:c r="L104" s="36"/>
      <x:c r="M104" s="36"/>
      <x:c r="N104" s="36"/>
      <x:c r="O104" s="30"/>
      <x:c r="P104" s="30"/>
      <x:c r="Q104" s="3"/>
      <x:c r="R104" s="3"/>
      <x:c r="S104" s="3"/>
      <x:c r="T104" s="33"/>
    </x:row>
    <x:row r="105">
      <x:c r="A105" s="3"/>
      <x:c r="B105" s="3"/>
      <x:c r="C105" s="3"/>
      <x:c r="D105" s="3"/>
      <x:c r="E105" s="3"/>
      <x:c r="F105" s="3"/>
      <x:c r="G105" s="34"/>
      <x:c r="H105" s="3"/>
      <x:c r="I105" s="3"/>
      <x:c r="J105" s="3"/>
      <x:c r="K105" s="35"/>
      <x:c r="L105" s="36"/>
      <x:c r="M105" s="36"/>
      <x:c r="N105" s="36"/>
      <x:c r="O105" s="30"/>
      <x:c r="P105" s="30"/>
      <x:c r="Q105" s="3"/>
      <x:c r="R105" s="3"/>
      <x:c r="S105" s="3"/>
      <x:c r="T105" s="33"/>
    </x:row>
    <x:row r="106">
      <x:c r="A106" s="3"/>
      <x:c r="B106" s="3"/>
      <x:c r="C106" s="3"/>
      <x:c r="D106" s="3"/>
      <x:c r="E106" s="3"/>
      <x:c r="F106" s="3"/>
      <x:c r="G106" s="34"/>
      <x:c r="H106" s="3"/>
      <x:c r="I106" s="3"/>
      <x:c r="J106" s="3"/>
      <x:c r="K106" s="35"/>
      <x:c r="L106" s="36"/>
      <x:c r="M106" s="36"/>
      <x:c r="N106" s="36"/>
      <x:c r="O106" s="30"/>
      <x:c r="P106" s="30"/>
      <x:c r="Q106" s="3"/>
      <x:c r="R106" s="3"/>
      <x:c r="S106" s="3"/>
      <x:c r="T106" s="33"/>
    </x:row>
    <x:row r="107">
      <x:c r="A107" s="3"/>
      <x:c r="B107" s="3"/>
      <x:c r="C107" s="3"/>
      <x:c r="D107" s="3"/>
      <x:c r="E107" s="3"/>
      <x:c r="F107" s="3"/>
      <x:c r="G107" s="34"/>
      <x:c r="H107" s="3"/>
      <x:c r="I107" s="3"/>
      <x:c r="J107" s="3"/>
      <x:c r="K107" s="35"/>
      <x:c r="L107" s="36"/>
      <x:c r="M107" s="36"/>
      <x:c r="N107" s="36"/>
      <x:c r="O107" s="30"/>
      <x:c r="P107" s="30"/>
      <x:c r="Q107" s="3"/>
      <x:c r="R107" s="3"/>
      <x:c r="S107" s="3"/>
      <x:c r="T107" s="33"/>
    </x:row>
    <x:row r="108">
      <x:c r="A108" s="3"/>
      <x:c r="B108" s="3"/>
      <x:c r="C108" s="3"/>
      <x:c r="D108" s="3"/>
      <x:c r="E108" s="3"/>
      <x:c r="F108" s="3"/>
      <x:c r="G108" s="34"/>
      <x:c r="H108" s="3"/>
      <x:c r="I108" s="3"/>
      <x:c r="J108" s="3"/>
      <x:c r="K108" s="35"/>
      <x:c r="L108" s="36"/>
      <x:c r="M108" s="36"/>
      <x:c r="N108" s="36"/>
      <x:c r="O108" s="30"/>
      <x:c r="P108" s="30"/>
      <x:c r="Q108" s="3"/>
      <x:c r="R108" s="3"/>
      <x:c r="S108" s="3"/>
      <x:c r="T108" s="33"/>
    </x:row>
    <x:row r="109">
      <x:c r="A109" s="3"/>
      <x:c r="B109" s="3"/>
      <x:c r="C109" s="3"/>
      <x:c r="D109" s="3"/>
      <x:c r="E109" s="3"/>
      <x:c r="F109" s="3"/>
      <x:c r="G109" s="34"/>
      <x:c r="H109" s="3"/>
      <x:c r="I109" s="3"/>
      <x:c r="J109" s="3"/>
      <x:c r="K109" s="35"/>
      <x:c r="L109" s="36"/>
      <x:c r="M109" s="36"/>
      <x:c r="N109" s="36"/>
      <x:c r="O109" s="30"/>
      <x:c r="P109" s="30"/>
      <x:c r="Q109" s="3"/>
      <x:c r="R109" s="3"/>
      <x:c r="S109" s="3"/>
      <x:c r="T109" s="33"/>
    </x:row>
    <x:row r="110">
      <x:c r="A110" s="3"/>
      <x:c r="B110" s="3"/>
      <x:c r="C110" s="3"/>
      <x:c r="D110" s="3"/>
      <x:c r="E110" s="3"/>
      <x:c r="F110" s="3"/>
      <x:c r="G110" s="34"/>
      <x:c r="H110" s="3"/>
      <x:c r="I110" s="3"/>
      <x:c r="J110" s="3"/>
      <x:c r="K110" s="35"/>
      <x:c r="L110" s="36"/>
      <x:c r="M110" s="36"/>
      <x:c r="N110" s="36"/>
      <x:c r="O110" s="30"/>
      <x:c r="P110" s="30"/>
      <x:c r="Q110" s="3"/>
      <x:c r="R110" s="3"/>
      <x:c r="S110" s="3"/>
      <x:c r="T110" s="33"/>
    </x:row>
    <x:row r="111">
      <x:c r="A111" s="3"/>
      <x:c r="B111" s="3"/>
      <x:c r="C111" s="3"/>
      <x:c r="D111" s="3"/>
      <x:c r="E111" s="3"/>
      <x:c r="F111" s="3"/>
      <x:c r="G111" s="34"/>
      <x:c r="H111" s="3"/>
      <x:c r="I111" s="3"/>
      <x:c r="J111" s="3"/>
      <x:c r="K111" s="35"/>
      <x:c r="L111" s="36"/>
      <x:c r="M111" s="36"/>
      <x:c r="N111" s="36"/>
      <x:c r="O111" s="30"/>
      <x:c r="P111" s="30"/>
      <x:c r="Q111" s="3"/>
      <x:c r="R111" s="3"/>
      <x:c r="S111" s="3"/>
      <x:c r="T111" s="33"/>
    </x:row>
    <x:row r="112">
      <x:c r="A112" s="3"/>
      <x:c r="B112" s="3"/>
      <x:c r="C112" s="3"/>
      <x:c r="D112" s="3"/>
      <x:c r="E112" s="3"/>
      <x:c r="F112" s="3"/>
      <x:c r="G112" s="34"/>
      <x:c r="H112" s="3"/>
      <x:c r="I112" s="3"/>
      <x:c r="J112" s="3"/>
      <x:c r="K112" s="35"/>
      <x:c r="L112" s="36"/>
      <x:c r="M112" s="36"/>
      <x:c r="N112" s="36"/>
      <x:c r="O112" s="30"/>
      <x:c r="P112" s="30"/>
      <x:c r="Q112" s="3"/>
      <x:c r="R112" s="3"/>
      <x:c r="S112" s="3"/>
      <x:c r="T112" s="33"/>
    </x:row>
    <x:row r="113">
      <x:c r="A113" s="3"/>
      <x:c r="B113" s="3"/>
      <x:c r="C113" s="3"/>
      <x:c r="D113" s="3"/>
      <x:c r="E113" s="3"/>
      <x:c r="F113" s="3"/>
      <x:c r="G113" s="34"/>
      <x:c r="H113" s="3"/>
      <x:c r="I113" s="3"/>
      <x:c r="J113" s="3"/>
      <x:c r="K113" s="35"/>
      <x:c r="L113" s="36"/>
      <x:c r="M113" s="36"/>
      <x:c r="N113" s="36"/>
      <x:c r="O113" s="30"/>
      <x:c r="P113" s="30"/>
      <x:c r="Q113" s="3"/>
      <x:c r="R113" s="3"/>
      <x:c r="S113" s="3"/>
      <x:c r="T113" s="33"/>
    </x:row>
    <x:row r="114">
      <x:c r="A114" s="3"/>
      <x:c r="B114" s="3"/>
      <x:c r="C114" s="3"/>
      <x:c r="D114" s="3"/>
      <x:c r="E114" s="3"/>
      <x:c r="F114" s="3"/>
      <x:c r="G114" s="34"/>
      <x:c r="H114" s="3"/>
      <x:c r="I114" s="3"/>
      <x:c r="J114" s="3"/>
      <x:c r="K114" s="35"/>
      <x:c r="L114" s="36"/>
      <x:c r="M114" s="36"/>
      <x:c r="N114" s="36"/>
      <x:c r="O114" s="30"/>
      <x:c r="P114" s="30"/>
      <x:c r="Q114" s="3"/>
      <x:c r="R114" s="3"/>
      <x:c r="S114" s="3"/>
      <x:c r="T114" s="33"/>
    </x:row>
    <x:row r="115">
      <x:c r="A115" s="3"/>
      <x:c r="B115" s="3"/>
      <x:c r="C115" s="3"/>
      <x:c r="D115" s="3"/>
      <x:c r="E115" s="3"/>
      <x:c r="F115" s="3"/>
      <x:c r="G115" s="34"/>
      <x:c r="H115" s="3"/>
      <x:c r="I115" s="3"/>
      <x:c r="J115" s="3"/>
      <x:c r="K115" s="35"/>
      <x:c r="L115" s="36"/>
      <x:c r="M115" s="36"/>
      <x:c r="N115" s="36"/>
      <x:c r="O115" s="30"/>
      <x:c r="P115" s="30"/>
      <x:c r="Q115" s="3"/>
      <x:c r="R115" s="3"/>
      <x:c r="S115" s="3"/>
      <x:c r="T115" s="33"/>
    </x:row>
    <x:row r="116">
      <x:c r="A116" s="3"/>
      <x:c r="B116" s="3"/>
      <x:c r="C116" s="3"/>
      <x:c r="D116" s="3"/>
      <x:c r="E116" s="3"/>
      <x:c r="F116" s="3"/>
      <x:c r="G116" s="34"/>
      <x:c r="H116" s="3"/>
      <x:c r="I116" s="3"/>
      <x:c r="J116" s="3"/>
      <x:c r="K116" s="35"/>
      <x:c r="L116" s="36"/>
      <x:c r="M116" s="36"/>
      <x:c r="N116" s="36"/>
      <x:c r="O116" s="30"/>
      <x:c r="P116" s="30"/>
      <x:c r="Q116" s="3"/>
      <x:c r="R116" s="3"/>
      <x:c r="S116" s="3"/>
      <x:c r="T116" s="33"/>
    </x:row>
    <x:row r="117">
      <x:c r="A117" s="3"/>
      <x:c r="B117" s="3"/>
      <x:c r="C117" s="3"/>
      <x:c r="D117" s="3"/>
      <x:c r="E117" s="3"/>
      <x:c r="F117" s="3"/>
      <x:c r="G117" s="34"/>
      <x:c r="H117" s="3"/>
      <x:c r="I117" s="3"/>
      <x:c r="J117" s="3"/>
      <x:c r="K117" s="35"/>
      <x:c r="L117" s="36"/>
      <x:c r="M117" s="36"/>
      <x:c r="N117" s="36"/>
      <x:c r="O117" s="30"/>
      <x:c r="P117" s="30"/>
      <x:c r="Q117" s="3"/>
      <x:c r="R117" s="3"/>
      <x:c r="S117" s="3"/>
      <x:c r="T117" s="33"/>
    </x:row>
    <x:row r="118">
      <x:c r="A118" s="3"/>
      <x:c r="B118" s="3"/>
      <x:c r="C118" s="3"/>
      <x:c r="D118" s="3"/>
      <x:c r="E118" s="3"/>
      <x:c r="F118" s="3"/>
      <x:c r="G118" s="34"/>
      <x:c r="H118" s="3"/>
      <x:c r="I118" s="3"/>
      <x:c r="J118" s="3"/>
      <x:c r="K118" s="35"/>
      <x:c r="L118" s="36"/>
      <x:c r="M118" s="36"/>
      <x:c r="N118" s="36"/>
      <x:c r="O118" s="30"/>
      <x:c r="P118" s="30"/>
      <x:c r="Q118" s="3"/>
      <x:c r="R118" s="3"/>
      <x:c r="S118" s="3"/>
      <x:c r="T118" s="33"/>
    </x:row>
    <x:row r="119">
      <x:c r="A119" s="3"/>
      <x:c r="B119" s="3"/>
      <x:c r="C119" s="3"/>
      <x:c r="D119" s="3"/>
      <x:c r="E119" s="3"/>
      <x:c r="F119" s="3"/>
      <x:c r="G119" s="34"/>
      <x:c r="H119" s="3"/>
      <x:c r="I119" s="3"/>
      <x:c r="J119" s="3"/>
      <x:c r="K119" s="35"/>
      <x:c r="L119" s="36"/>
      <x:c r="M119" s="36"/>
      <x:c r="N119" s="36"/>
      <x:c r="O119" s="30"/>
      <x:c r="P119" s="30"/>
      <x:c r="Q119" s="3"/>
      <x:c r="R119" s="3"/>
      <x:c r="S119" s="3"/>
      <x:c r="T119" s="33"/>
    </x:row>
    <x:row r="120">
      <x:c r="A120" s="3"/>
      <x:c r="B120" s="3"/>
      <x:c r="C120" s="3"/>
      <x:c r="D120" s="3"/>
      <x:c r="E120" s="3"/>
      <x:c r="F120" s="3"/>
      <x:c r="G120" s="34"/>
      <x:c r="H120" s="3"/>
      <x:c r="I120" s="3"/>
      <x:c r="J120" s="3"/>
      <x:c r="K120" s="35"/>
      <x:c r="L120" s="36"/>
      <x:c r="M120" s="36"/>
      <x:c r="N120" s="36"/>
      <x:c r="O120" s="30"/>
      <x:c r="P120" s="30"/>
      <x:c r="Q120" s="3"/>
      <x:c r="R120" s="3"/>
      <x:c r="S120" s="3"/>
      <x:c r="T120" s="33"/>
    </x:row>
    <x:row r="121">
      <x:c r="A121" s="3"/>
      <x:c r="B121" s="3"/>
      <x:c r="C121" s="3"/>
      <x:c r="D121" s="3"/>
      <x:c r="E121" s="3"/>
      <x:c r="F121" s="3"/>
      <x:c r="G121" s="34"/>
      <x:c r="H121" s="3"/>
      <x:c r="I121" s="3"/>
      <x:c r="J121" s="3"/>
      <x:c r="K121" s="35"/>
      <x:c r="L121" s="36"/>
      <x:c r="M121" s="36"/>
      <x:c r="N121" s="36"/>
      <x:c r="O121" s="30"/>
      <x:c r="P121" s="30"/>
      <x:c r="Q121" s="3"/>
      <x:c r="R121" s="3"/>
      <x:c r="S121" s="3"/>
      <x:c r="T121" s="33"/>
    </x:row>
    <x:row r="122">
      <x:c r="A122" s="3"/>
      <x:c r="B122" s="3"/>
      <x:c r="C122" s="3"/>
      <x:c r="D122" s="3"/>
      <x:c r="E122" s="3"/>
      <x:c r="F122" s="3"/>
      <x:c r="G122" s="34"/>
      <x:c r="H122" s="3"/>
      <x:c r="I122" s="3"/>
      <x:c r="J122" s="3"/>
      <x:c r="K122" s="35"/>
      <x:c r="L122" s="36"/>
      <x:c r="M122" s="36"/>
      <x:c r="N122" s="36"/>
      <x:c r="O122" s="30"/>
      <x:c r="P122" s="30"/>
      <x:c r="Q122" s="3"/>
      <x:c r="R122" s="3"/>
      <x:c r="S122" s="3"/>
      <x:c r="T122" s="33"/>
    </x:row>
    <x:row r="123">
      <x:c r="A123" s="3"/>
      <x:c r="B123" s="3"/>
      <x:c r="C123" s="3"/>
      <x:c r="D123" s="3"/>
      <x:c r="E123" s="3"/>
      <x:c r="F123" s="3"/>
      <x:c r="G123" s="34"/>
      <x:c r="H123" s="3"/>
      <x:c r="I123" s="3"/>
      <x:c r="J123" s="3"/>
      <x:c r="K123" s="35"/>
      <x:c r="L123" s="36"/>
      <x:c r="M123" s="36"/>
      <x:c r="N123" s="36"/>
      <x:c r="O123" s="30"/>
      <x:c r="P123" s="30"/>
      <x:c r="Q123" s="3"/>
      <x:c r="R123" s="3"/>
      <x:c r="S123" s="3"/>
      <x:c r="T123" s="33"/>
    </x:row>
    <x:row r="124">
      <x:c r="A124" s="3"/>
      <x:c r="B124" s="3"/>
      <x:c r="C124" s="3"/>
      <x:c r="D124" s="3"/>
      <x:c r="E124" s="3"/>
      <x:c r="F124" s="3"/>
      <x:c r="G124" s="34"/>
      <x:c r="H124" s="3"/>
      <x:c r="I124" s="3"/>
      <x:c r="J124" s="3"/>
      <x:c r="K124" s="35"/>
      <x:c r="L124" s="36"/>
      <x:c r="M124" s="36"/>
      <x:c r="N124" s="36"/>
      <x:c r="O124" s="30"/>
      <x:c r="P124" s="30"/>
      <x:c r="Q124" s="3"/>
      <x:c r="R124" s="3"/>
      <x:c r="S124" s="3"/>
      <x:c r="T124" s="33"/>
    </x:row>
    <x:row r="125">
      <x:c r="A125" s="3"/>
      <x:c r="B125" s="3"/>
      <x:c r="C125" s="3"/>
      <x:c r="D125" s="3"/>
      <x:c r="E125" s="3"/>
      <x:c r="F125" s="3"/>
      <x:c r="G125" s="34"/>
      <x:c r="H125" s="3"/>
      <x:c r="I125" s="3"/>
      <x:c r="J125" s="3"/>
      <x:c r="K125" s="35"/>
      <x:c r="L125" s="36"/>
      <x:c r="M125" s="36"/>
      <x:c r="N125" s="36"/>
      <x:c r="O125" s="30"/>
      <x:c r="P125" s="30"/>
      <x:c r="Q125" s="3"/>
      <x:c r="R125" s="3"/>
      <x:c r="S125" s="3"/>
      <x:c r="T125" s="33"/>
    </x:row>
    <x:row r="126">
      <x:c r="A126" s="3"/>
      <x:c r="B126" s="3"/>
      <x:c r="C126" s="3"/>
      <x:c r="D126" s="3"/>
      <x:c r="E126" s="3"/>
      <x:c r="F126" s="3"/>
      <x:c r="G126" s="34"/>
      <x:c r="H126" s="3"/>
      <x:c r="I126" s="3"/>
      <x:c r="J126" s="3"/>
      <x:c r="K126" s="35"/>
      <x:c r="L126" s="36"/>
      <x:c r="M126" s="36"/>
      <x:c r="N126" s="36"/>
      <x:c r="O126" s="30"/>
      <x:c r="P126" s="30"/>
      <x:c r="Q126" s="3"/>
      <x:c r="R126" s="3"/>
      <x:c r="S126" s="3"/>
      <x:c r="T126" s="33"/>
    </x:row>
    <x:row r="127">
      <x:c r="A127" s="3"/>
      <x:c r="B127" s="3"/>
      <x:c r="C127" s="3"/>
      <x:c r="D127" s="3"/>
      <x:c r="E127" s="3"/>
      <x:c r="F127" s="3"/>
      <x:c r="G127" s="34"/>
      <x:c r="H127" s="3"/>
      <x:c r="I127" s="3"/>
      <x:c r="J127" s="3"/>
      <x:c r="K127" s="35"/>
      <x:c r="L127" s="36"/>
      <x:c r="M127" s="36"/>
      <x:c r="N127" s="36"/>
      <x:c r="O127" s="30"/>
      <x:c r="P127" s="30"/>
      <x:c r="Q127" s="3"/>
      <x:c r="R127" s="3"/>
      <x:c r="S127" s="3"/>
      <x:c r="T127" s="33"/>
    </x:row>
    <x:row r="128">
      <x:c r="A128" s="3"/>
      <x:c r="B128" s="3"/>
      <x:c r="C128" s="3"/>
      <x:c r="D128" s="3"/>
      <x:c r="E128" s="3"/>
      <x:c r="F128" s="3"/>
      <x:c r="G128" s="34"/>
      <x:c r="H128" s="3"/>
      <x:c r="I128" s="3"/>
      <x:c r="J128" s="3"/>
      <x:c r="K128" s="35"/>
      <x:c r="L128" s="36"/>
      <x:c r="M128" s="36"/>
      <x:c r="N128" s="36"/>
      <x:c r="O128" s="30"/>
      <x:c r="P128" s="30"/>
      <x:c r="Q128" s="3"/>
      <x:c r="R128" s="3"/>
      <x:c r="S128" s="3"/>
      <x:c r="T128" s="33"/>
    </x:row>
    <x:row r="129">
      <x:c r="A129" s="3"/>
      <x:c r="B129" s="3"/>
      <x:c r="C129" s="3"/>
      <x:c r="D129" s="3"/>
      <x:c r="E129" s="3"/>
      <x:c r="F129" s="3"/>
      <x:c r="G129" s="34"/>
      <x:c r="H129" s="3"/>
      <x:c r="I129" s="3"/>
      <x:c r="J129" s="3"/>
      <x:c r="K129" s="35"/>
      <x:c r="L129" s="36"/>
      <x:c r="M129" s="36"/>
      <x:c r="N129" s="36"/>
      <x:c r="O129" s="30"/>
      <x:c r="P129" s="30"/>
      <x:c r="Q129" s="3"/>
      <x:c r="R129" s="3"/>
      <x:c r="S129" s="3"/>
      <x:c r="T129" s="33"/>
    </x:row>
    <x:row r="130">
      <x:c r="A130" s="3"/>
      <x:c r="B130" s="3"/>
      <x:c r="C130" s="3"/>
      <x:c r="D130" s="3"/>
      <x:c r="E130" s="3"/>
      <x:c r="F130" s="3"/>
      <x:c r="G130" s="34"/>
      <x:c r="H130" s="3"/>
      <x:c r="I130" s="3"/>
      <x:c r="J130" s="3"/>
      <x:c r="K130" s="35"/>
      <x:c r="L130" s="36"/>
      <x:c r="M130" s="36"/>
      <x:c r="N130" s="36"/>
      <x:c r="O130" s="30"/>
      <x:c r="P130" s="30"/>
      <x:c r="Q130" s="3"/>
      <x:c r="R130" s="3"/>
      <x:c r="S130" s="3"/>
      <x:c r="T130" s="33"/>
    </x:row>
    <x:row r="131">
      <x:c r="A131" s="3"/>
      <x:c r="B131" s="3"/>
      <x:c r="C131" s="3"/>
      <x:c r="D131" s="3"/>
      <x:c r="E131" s="3"/>
      <x:c r="F131" s="3"/>
      <x:c r="G131" s="34"/>
      <x:c r="H131" s="3"/>
      <x:c r="I131" s="3"/>
      <x:c r="J131" s="3"/>
      <x:c r="K131" s="35"/>
      <x:c r="L131" s="36"/>
      <x:c r="M131" s="36"/>
      <x:c r="N131" s="36"/>
      <x:c r="O131" s="30"/>
      <x:c r="P131" s="30"/>
      <x:c r="Q131" s="3"/>
      <x:c r="R131" s="3"/>
      <x:c r="S131" s="3"/>
      <x:c r="T131" s="33"/>
    </x:row>
    <x:row r="132">
      <x:c r="A132" s="3"/>
      <x:c r="B132" s="3"/>
      <x:c r="C132" s="3"/>
      <x:c r="D132" s="3"/>
      <x:c r="E132" s="3"/>
      <x:c r="F132" s="3"/>
      <x:c r="G132" s="34"/>
      <x:c r="H132" s="3"/>
      <x:c r="I132" s="3"/>
      <x:c r="J132" s="3"/>
      <x:c r="K132" s="35"/>
      <x:c r="L132" s="36"/>
      <x:c r="M132" s="36"/>
      <x:c r="N132" s="36"/>
      <x:c r="O132" s="30"/>
      <x:c r="P132" s="30"/>
      <x:c r="Q132" s="3"/>
      <x:c r="R132" s="3"/>
      <x:c r="S132" s="3"/>
      <x:c r="T132" s="33"/>
    </x:row>
    <x:row r="133">
      <x:c r="A133" s="3"/>
      <x:c r="B133" s="3"/>
      <x:c r="C133" s="3"/>
      <x:c r="D133" s="3"/>
      <x:c r="E133" s="3"/>
      <x:c r="F133" s="3"/>
      <x:c r="G133" s="34"/>
      <x:c r="H133" s="3"/>
      <x:c r="I133" s="3"/>
      <x:c r="J133" s="3"/>
      <x:c r="K133" s="35"/>
      <x:c r="L133" s="36"/>
      <x:c r="M133" s="36"/>
      <x:c r="N133" s="36"/>
      <x:c r="O133" s="30"/>
      <x:c r="P133" s="30"/>
      <x:c r="Q133" s="3"/>
      <x:c r="R133" s="3"/>
      <x:c r="S133" s="3"/>
      <x:c r="T133" s="33"/>
    </x:row>
    <x:row r="134">
      <x:c r="A134" s="3"/>
      <x:c r="B134" s="3"/>
      <x:c r="C134" s="3"/>
      <x:c r="D134" s="3"/>
      <x:c r="E134" s="3"/>
      <x:c r="F134" s="3"/>
      <x:c r="G134" s="34"/>
      <x:c r="H134" s="3"/>
      <x:c r="I134" s="3"/>
      <x:c r="J134" s="3"/>
      <x:c r="K134" s="35"/>
      <x:c r="L134" s="36"/>
      <x:c r="M134" s="36"/>
      <x:c r="N134" s="36"/>
      <x:c r="O134" s="30"/>
      <x:c r="P134" s="30"/>
      <x:c r="Q134" s="3"/>
      <x:c r="R134" s="3"/>
      <x:c r="S134" s="3"/>
      <x:c r="T134" s="33"/>
    </x:row>
    <x:row r="135">
      <x:c r="A135" s="3"/>
      <x:c r="B135" s="3"/>
      <x:c r="C135" s="3"/>
      <x:c r="D135" s="3"/>
      <x:c r="E135" s="3"/>
      <x:c r="F135" s="3"/>
      <x:c r="G135" s="34"/>
      <x:c r="H135" s="3"/>
      <x:c r="I135" s="3"/>
      <x:c r="J135" s="3"/>
      <x:c r="K135" s="35"/>
      <x:c r="L135" s="36"/>
      <x:c r="M135" s="36"/>
      <x:c r="N135" s="36"/>
      <x:c r="O135" s="30"/>
      <x:c r="P135" s="30"/>
      <x:c r="Q135" s="3"/>
      <x:c r="R135" s="3"/>
      <x:c r="S135" s="3"/>
      <x:c r="T135" s="33"/>
    </x:row>
    <x:row r="136">
      <x:c r="A136" s="3"/>
      <x:c r="B136" s="3"/>
      <x:c r="C136" s="3"/>
      <x:c r="D136" s="3"/>
      <x:c r="E136" s="3"/>
      <x:c r="F136" s="3"/>
      <x:c r="G136" s="34"/>
      <x:c r="H136" s="3"/>
      <x:c r="I136" s="3"/>
      <x:c r="J136" s="3"/>
      <x:c r="K136" s="35"/>
      <x:c r="L136" s="36"/>
      <x:c r="M136" s="36"/>
      <x:c r="N136" s="36"/>
      <x:c r="O136" s="30"/>
      <x:c r="P136" s="30"/>
      <x:c r="Q136" s="3"/>
      <x:c r="R136" s="3"/>
      <x:c r="S136" s="3"/>
      <x:c r="T136" s="33"/>
    </x:row>
    <x:row r="137">
      <x:c r="A137" s="3"/>
      <x:c r="B137" s="3"/>
      <x:c r="C137" s="3"/>
      <x:c r="D137" s="3"/>
      <x:c r="E137" s="3"/>
      <x:c r="F137" s="3"/>
      <x:c r="G137" s="34"/>
      <x:c r="H137" s="3"/>
      <x:c r="I137" s="3"/>
      <x:c r="J137" s="3"/>
      <x:c r="K137" s="35"/>
      <x:c r="L137" s="36"/>
      <x:c r="M137" s="36"/>
      <x:c r="N137" s="36"/>
      <x:c r="O137" s="30"/>
      <x:c r="P137" s="30"/>
      <x:c r="Q137" s="3"/>
      <x:c r="R137" s="3"/>
      <x:c r="S137" s="3"/>
      <x:c r="T137" s="33"/>
    </x:row>
    <x:row r="138">
      <x:c r="A138" s="3"/>
      <x:c r="B138" s="3"/>
      <x:c r="C138" s="3"/>
      <x:c r="D138" s="3"/>
      <x:c r="E138" s="3"/>
      <x:c r="F138" s="3"/>
      <x:c r="G138" s="34"/>
      <x:c r="H138" s="3"/>
      <x:c r="I138" s="3"/>
      <x:c r="J138" s="3"/>
      <x:c r="K138" s="35"/>
      <x:c r="L138" s="36"/>
      <x:c r="M138" s="36"/>
      <x:c r="N138" s="36"/>
      <x:c r="O138" s="30"/>
      <x:c r="P138" s="30"/>
      <x:c r="Q138" s="3"/>
      <x:c r="R138" s="3"/>
      <x:c r="S138" s="3"/>
      <x:c r="T138" s="33"/>
    </x:row>
    <x:row r="139">
      <x:c r="A139" s="3"/>
      <x:c r="B139" s="3"/>
      <x:c r="C139" s="3"/>
      <x:c r="D139" s="3"/>
      <x:c r="E139" s="3"/>
      <x:c r="F139" s="3"/>
      <x:c r="G139" s="34"/>
      <x:c r="H139" s="3"/>
      <x:c r="I139" s="3"/>
      <x:c r="J139" s="3"/>
      <x:c r="K139" s="35"/>
      <x:c r="L139" s="36"/>
      <x:c r="M139" s="36"/>
      <x:c r="N139" s="36"/>
      <x:c r="O139" s="30"/>
      <x:c r="P139" s="30"/>
      <x:c r="Q139" s="3"/>
      <x:c r="R139" s="3"/>
      <x:c r="S139" s="3"/>
      <x:c r="T139" s="33"/>
    </x:row>
    <x:row r="140">
      <x:c r="A140" s="3"/>
      <x:c r="B140" s="3"/>
      <x:c r="C140" s="3"/>
      <x:c r="D140" s="3"/>
      <x:c r="E140" s="3"/>
      <x:c r="F140" s="3"/>
      <x:c r="G140" s="34"/>
      <x:c r="H140" s="3"/>
      <x:c r="I140" s="3"/>
      <x:c r="J140" s="3"/>
      <x:c r="K140" s="35"/>
      <x:c r="L140" s="36"/>
      <x:c r="M140" s="36"/>
      <x:c r="N140" s="36"/>
      <x:c r="O140" s="30"/>
      <x:c r="P140" s="30"/>
      <x:c r="Q140" s="3"/>
      <x:c r="R140" s="3"/>
      <x:c r="S140" s="3"/>
      <x:c r="T140" s="33"/>
    </x:row>
    <x:row r="141">
      <x:c r="A141" s="3"/>
      <x:c r="B141" s="3"/>
      <x:c r="C141" s="3"/>
      <x:c r="D141" s="3"/>
      <x:c r="E141" s="3"/>
      <x:c r="F141" s="3"/>
      <x:c r="G141" s="34"/>
      <x:c r="H141" s="3"/>
      <x:c r="I141" s="3"/>
      <x:c r="J141" s="3"/>
      <x:c r="K141" s="35"/>
      <x:c r="L141" s="36"/>
      <x:c r="M141" s="36"/>
      <x:c r="N141" s="36"/>
      <x:c r="O141" s="30"/>
      <x:c r="P141" s="30"/>
      <x:c r="Q141" s="3"/>
      <x:c r="R141" s="3"/>
      <x:c r="S141" s="3"/>
      <x:c r="T141" s="33"/>
    </x:row>
    <x:row r="142">
      <x:c r="A142" s="3"/>
      <x:c r="B142" s="3"/>
      <x:c r="C142" s="3"/>
      <x:c r="D142" s="3"/>
      <x:c r="E142" s="3"/>
      <x:c r="F142" s="3"/>
      <x:c r="G142" s="34"/>
      <x:c r="H142" s="3"/>
      <x:c r="I142" s="3"/>
      <x:c r="J142" s="3"/>
      <x:c r="K142" s="35"/>
      <x:c r="L142" s="36"/>
      <x:c r="M142" s="36"/>
      <x:c r="N142" s="36"/>
      <x:c r="O142" s="30"/>
      <x:c r="P142" s="30"/>
      <x:c r="Q142" s="3"/>
      <x:c r="R142" s="3"/>
      <x:c r="S142" s="3"/>
      <x:c r="T142" s="33"/>
    </x:row>
    <x:row r="143">
      <x:c r="A143" s="3"/>
      <x:c r="B143" s="3"/>
      <x:c r="C143" s="3"/>
      <x:c r="D143" s="3"/>
      <x:c r="E143" s="3"/>
      <x:c r="F143" s="3"/>
      <x:c r="G143" s="34"/>
      <x:c r="H143" s="3"/>
      <x:c r="I143" s="3"/>
      <x:c r="J143" s="3"/>
      <x:c r="K143" s="35"/>
      <x:c r="L143" s="36"/>
      <x:c r="M143" s="36"/>
      <x:c r="N143" s="36"/>
      <x:c r="O143" s="30"/>
      <x:c r="P143" s="30"/>
      <x:c r="Q143" s="3"/>
      <x:c r="R143" s="3"/>
      <x:c r="S143" s="3"/>
      <x:c r="T143" s="33"/>
    </x:row>
    <x:row r="144">
      <x:c r="A144" s="3"/>
      <x:c r="B144" s="3"/>
      <x:c r="C144" s="3"/>
      <x:c r="D144" s="3"/>
      <x:c r="E144" s="3"/>
      <x:c r="F144" s="3"/>
      <x:c r="G144" s="34"/>
      <x:c r="H144" s="3"/>
      <x:c r="I144" s="3"/>
      <x:c r="J144" s="3"/>
      <x:c r="K144" s="35"/>
      <x:c r="L144" s="36"/>
      <x:c r="M144" s="36"/>
      <x:c r="N144" s="36"/>
      <x:c r="O144" s="30"/>
      <x:c r="P144" s="30"/>
      <x:c r="Q144" s="3"/>
      <x:c r="R144" s="3"/>
      <x:c r="S144" s="3"/>
      <x:c r="T144" s="33"/>
    </x:row>
    <x:row r="145">
      <x:c r="A145" s="3"/>
      <x:c r="B145" s="3"/>
      <x:c r="C145" s="3"/>
      <x:c r="D145" s="3"/>
      <x:c r="E145" s="3"/>
      <x:c r="F145" s="3"/>
      <x:c r="G145" s="34"/>
      <x:c r="H145" s="3"/>
      <x:c r="I145" s="3"/>
      <x:c r="J145" s="3"/>
      <x:c r="K145" s="35"/>
      <x:c r="L145" s="36"/>
      <x:c r="M145" s="36"/>
      <x:c r="N145" s="36"/>
      <x:c r="O145" s="30"/>
      <x:c r="P145" s="30"/>
      <x:c r="Q145" s="3"/>
      <x:c r="R145" s="3"/>
      <x:c r="S145" s="3"/>
      <x:c r="T145" s="33"/>
    </x:row>
    <x:row r="146">
      <x:c r="A146" s="3"/>
      <x:c r="B146" s="3"/>
      <x:c r="C146" s="3"/>
      <x:c r="D146" s="3"/>
      <x:c r="E146" s="3"/>
      <x:c r="F146" s="3"/>
      <x:c r="G146" s="34"/>
      <x:c r="H146" s="3"/>
      <x:c r="I146" s="3"/>
      <x:c r="J146" s="3"/>
      <x:c r="K146" s="35"/>
      <x:c r="L146" s="36"/>
      <x:c r="M146" s="36"/>
      <x:c r="N146" s="36"/>
      <x:c r="O146" s="30"/>
      <x:c r="P146" s="30"/>
      <x:c r="Q146" s="3"/>
      <x:c r="R146" s="3"/>
      <x:c r="S146" s="3"/>
      <x:c r="T146" s="33"/>
    </x:row>
    <x:row r="147">
      <x:c r="A147" s="3"/>
      <x:c r="B147" s="3"/>
      <x:c r="C147" s="3"/>
      <x:c r="D147" s="3"/>
      <x:c r="E147" s="3"/>
      <x:c r="F147" s="3"/>
      <x:c r="G147" s="34"/>
      <x:c r="H147" s="3"/>
      <x:c r="I147" s="3"/>
      <x:c r="J147" s="3"/>
      <x:c r="K147" s="35"/>
      <x:c r="L147" s="36"/>
      <x:c r="M147" s="36"/>
      <x:c r="N147" s="36"/>
      <x:c r="O147" s="30"/>
      <x:c r="P147" s="30"/>
      <x:c r="Q147" s="3"/>
      <x:c r="R147" s="3"/>
      <x:c r="S147" s="3"/>
      <x:c r="T147" s="33"/>
    </x:row>
    <x:row r="148">
      <x:c r="A148" s="3"/>
      <x:c r="B148" s="3"/>
      <x:c r="C148" s="3"/>
      <x:c r="D148" s="3"/>
      <x:c r="E148" s="3"/>
      <x:c r="F148" s="3"/>
      <x:c r="G148" s="34"/>
      <x:c r="H148" s="3"/>
      <x:c r="I148" s="3"/>
      <x:c r="J148" s="3"/>
      <x:c r="K148" s="35"/>
      <x:c r="L148" s="36"/>
      <x:c r="M148" s="36"/>
      <x:c r="N148" s="36"/>
      <x:c r="O148" s="30"/>
      <x:c r="P148" s="30"/>
      <x:c r="Q148" s="3"/>
      <x:c r="R148" s="3"/>
      <x:c r="S148" s="3"/>
      <x:c r="T148" s="33"/>
    </x:row>
    <x:row r="149">
      <x:c r="A149" s="3"/>
      <x:c r="B149" s="3"/>
      <x:c r="C149" s="3"/>
      <x:c r="D149" s="3"/>
      <x:c r="E149" s="3"/>
      <x:c r="F149" s="3"/>
      <x:c r="G149" s="34"/>
      <x:c r="H149" s="3"/>
      <x:c r="I149" s="3"/>
      <x:c r="J149" s="3"/>
      <x:c r="K149" s="35"/>
      <x:c r="L149" s="36"/>
      <x:c r="M149" s="36"/>
      <x:c r="N149" s="36"/>
      <x:c r="O149" s="30"/>
      <x:c r="P149" s="30"/>
      <x:c r="Q149" s="3"/>
      <x:c r="R149" s="3"/>
      <x:c r="S149" s="3"/>
      <x:c r="T149" s="33"/>
    </x:row>
    <x:row r="150">
      <x:c r="A150" s="3"/>
      <x:c r="B150" s="3"/>
      <x:c r="C150" s="3"/>
      <x:c r="D150" s="3"/>
      <x:c r="E150" s="3"/>
      <x:c r="F150" s="3"/>
      <x:c r="G150" s="34"/>
      <x:c r="H150" s="3"/>
      <x:c r="I150" s="3"/>
      <x:c r="J150" s="3"/>
      <x:c r="K150" s="35"/>
      <x:c r="L150" s="36"/>
      <x:c r="M150" s="36"/>
      <x:c r="N150" s="36"/>
      <x:c r="O150" s="30"/>
      <x:c r="P150" s="30"/>
      <x:c r="Q150" s="3"/>
      <x:c r="R150" s="3"/>
      <x:c r="S150" s="3"/>
      <x:c r="T150" s="33"/>
    </x:row>
    <x:row r="151">
      <x:c r="A151" s="3"/>
      <x:c r="B151" s="3"/>
      <x:c r="C151" s="3"/>
      <x:c r="D151" s="3"/>
      <x:c r="E151" s="3"/>
      <x:c r="F151" s="3"/>
      <x:c r="G151" s="34"/>
      <x:c r="H151" s="3"/>
      <x:c r="I151" s="3"/>
      <x:c r="J151" s="3"/>
      <x:c r="K151" s="35"/>
      <x:c r="L151" s="36"/>
      <x:c r="M151" s="36"/>
      <x:c r="N151" s="36"/>
      <x:c r="O151" s="30"/>
      <x:c r="P151" s="30"/>
      <x:c r="Q151" s="3"/>
      <x:c r="R151" s="3"/>
      <x:c r="S151" s="3"/>
      <x:c r="T151" s="33"/>
    </x:row>
    <x:row r="152">
      <x:c r="A152" s="3"/>
      <x:c r="B152" s="3"/>
      <x:c r="C152" s="3"/>
      <x:c r="D152" s="3"/>
      <x:c r="E152" s="3"/>
      <x:c r="F152" s="3"/>
      <x:c r="G152" s="34"/>
      <x:c r="H152" s="3"/>
      <x:c r="I152" s="3"/>
      <x:c r="J152" s="3"/>
      <x:c r="K152" s="35"/>
      <x:c r="L152" s="36"/>
      <x:c r="M152" s="36"/>
      <x:c r="N152" s="36"/>
      <x:c r="O152" s="30"/>
      <x:c r="P152" s="30"/>
      <x:c r="Q152" s="3"/>
      <x:c r="R152" s="3"/>
      <x:c r="S152" s="3"/>
      <x:c r="T152" s="33"/>
    </x:row>
    <x:row r="153">
      <x:c r="A153" s="3"/>
      <x:c r="B153" s="3"/>
      <x:c r="C153" s="3"/>
      <x:c r="D153" s="3"/>
      <x:c r="E153" s="3"/>
      <x:c r="F153" s="3"/>
      <x:c r="G153" s="34"/>
      <x:c r="H153" s="3"/>
      <x:c r="I153" s="3"/>
      <x:c r="J153" s="3"/>
      <x:c r="K153" s="35"/>
      <x:c r="L153" s="36"/>
      <x:c r="M153" s="36"/>
      <x:c r="N153" s="36"/>
      <x:c r="O153" s="30"/>
      <x:c r="P153" s="30"/>
      <x:c r="Q153" s="3"/>
      <x:c r="R153" s="3"/>
      <x:c r="S153" s="3"/>
      <x:c r="T153" s="33"/>
    </x:row>
    <x:row r="154">
      <x:c r="A154" s="3"/>
      <x:c r="B154" s="3"/>
      <x:c r="C154" s="3"/>
      <x:c r="D154" s="3"/>
      <x:c r="E154" s="3"/>
      <x:c r="F154" s="3"/>
      <x:c r="G154" s="34"/>
      <x:c r="H154" s="3"/>
      <x:c r="I154" s="3"/>
      <x:c r="J154" s="3"/>
      <x:c r="K154" s="35"/>
      <x:c r="L154" s="36"/>
      <x:c r="M154" s="36"/>
      <x:c r="N154" s="36"/>
      <x:c r="O154" s="30"/>
      <x:c r="P154" s="30"/>
      <x:c r="Q154" s="3"/>
      <x:c r="R154" s="3"/>
      <x:c r="S154" s="3"/>
      <x:c r="T154" s="33"/>
    </x:row>
    <x:row r="155">
      <x:c r="A155" s="3"/>
      <x:c r="B155" s="3"/>
      <x:c r="C155" s="3"/>
      <x:c r="D155" s="3"/>
      <x:c r="E155" s="3"/>
      <x:c r="F155" s="3"/>
      <x:c r="G155" s="34"/>
      <x:c r="H155" s="3"/>
      <x:c r="I155" s="3"/>
      <x:c r="J155" s="3"/>
      <x:c r="K155" s="35"/>
      <x:c r="L155" s="36"/>
      <x:c r="M155" s="36"/>
      <x:c r="N155" s="36"/>
      <x:c r="O155" s="30"/>
      <x:c r="P155" s="30"/>
      <x:c r="Q155" s="3"/>
      <x:c r="R155" s="3"/>
      <x:c r="S155" s="3"/>
      <x:c r="T155" s="33"/>
    </x:row>
    <x:row r="156">
      <x:c r="A156" s="3"/>
      <x:c r="B156" s="3"/>
      <x:c r="C156" s="3"/>
      <x:c r="D156" s="3"/>
      <x:c r="E156" s="3"/>
      <x:c r="F156" s="3"/>
      <x:c r="G156" s="34"/>
      <x:c r="H156" s="3"/>
      <x:c r="I156" s="3"/>
      <x:c r="J156" s="3"/>
      <x:c r="K156" s="35"/>
      <x:c r="L156" s="36"/>
      <x:c r="M156" s="36"/>
      <x:c r="N156" s="36"/>
      <x:c r="O156" s="30"/>
      <x:c r="P156" s="30"/>
      <x:c r="Q156" s="3"/>
      <x:c r="R156" s="3"/>
      <x:c r="S156" s="3"/>
      <x:c r="T156" s="33"/>
    </x:row>
    <x:row r="157">
      <x:c r="A157" s="3"/>
      <x:c r="B157" s="3"/>
      <x:c r="C157" s="3"/>
      <x:c r="D157" s="3"/>
      <x:c r="E157" s="3"/>
      <x:c r="F157" s="3"/>
      <x:c r="G157" s="34"/>
      <x:c r="H157" s="3"/>
      <x:c r="I157" s="3"/>
      <x:c r="J157" s="3"/>
      <x:c r="K157" s="35"/>
      <x:c r="L157" s="36"/>
      <x:c r="M157" s="36"/>
      <x:c r="N157" s="36"/>
      <x:c r="O157" s="30"/>
      <x:c r="P157" s="30"/>
      <x:c r="Q157" s="3"/>
      <x:c r="R157" s="3"/>
      <x:c r="S157" s="3"/>
      <x:c r="T157" s="33"/>
    </x:row>
    <x:row r="158">
      <x:c r="A158" s="3"/>
      <x:c r="B158" s="3"/>
      <x:c r="C158" s="3"/>
      <x:c r="D158" s="3"/>
      <x:c r="E158" s="3"/>
      <x:c r="F158" s="3"/>
      <x:c r="G158" s="34"/>
      <x:c r="H158" s="3"/>
      <x:c r="I158" s="3"/>
      <x:c r="J158" s="3"/>
      <x:c r="K158" s="35"/>
      <x:c r="L158" s="36"/>
      <x:c r="M158" s="36"/>
      <x:c r="N158" s="36"/>
      <x:c r="O158" s="30"/>
      <x:c r="P158" s="30"/>
      <x:c r="Q158" s="3"/>
      <x:c r="R158" s="3"/>
      <x:c r="S158" s="3"/>
      <x:c r="T158" s="33"/>
    </x:row>
    <x:row r="159">
      <x:c r="A159" s="3"/>
      <x:c r="B159" s="3"/>
      <x:c r="C159" s="3"/>
      <x:c r="D159" s="3"/>
      <x:c r="E159" s="3"/>
      <x:c r="F159" s="3"/>
      <x:c r="G159" s="34"/>
      <x:c r="H159" s="3"/>
      <x:c r="I159" s="3"/>
      <x:c r="J159" s="3"/>
      <x:c r="K159" s="35"/>
      <x:c r="L159" s="36"/>
      <x:c r="M159" s="36"/>
      <x:c r="N159" s="36"/>
      <x:c r="O159" s="30"/>
      <x:c r="P159" s="30"/>
      <x:c r="Q159" s="3"/>
      <x:c r="R159" s="3"/>
      <x:c r="S159" s="3"/>
      <x:c r="T159" s="33"/>
    </x:row>
    <x:row r="160">
      <x:c r="A160" s="3"/>
      <x:c r="B160" s="3"/>
      <x:c r="C160" s="3"/>
      <x:c r="D160" s="3"/>
      <x:c r="E160" s="3"/>
      <x:c r="F160" s="3"/>
      <x:c r="G160" s="34"/>
      <x:c r="H160" s="3"/>
      <x:c r="I160" s="3"/>
      <x:c r="J160" s="3"/>
      <x:c r="K160" s="35"/>
      <x:c r="L160" s="36"/>
      <x:c r="M160" s="36"/>
      <x:c r="N160" s="36"/>
      <x:c r="O160" s="30"/>
      <x:c r="P160" s="30"/>
      <x:c r="Q160" s="3"/>
      <x:c r="R160" s="3"/>
      <x:c r="S160" s="3"/>
      <x:c r="T160" s="33"/>
    </x:row>
    <x:row r="161">
      <x:c r="A161" s="3"/>
      <x:c r="B161" s="3"/>
      <x:c r="C161" s="3"/>
      <x:c r="D161" s="3"/>
      <x:c r="E161" s="3"/>
      <x:c r="F161" s="3"/>
      <x:c r="G161" s="34"/>
      <x:c r="H161" s="3"/>
      <x:c r="I161" s="3"/>
      <x:c r="J161" s="3"/>
      <x:c r="K161" s="35"/>
      <x:c r="L161" s="36"/>
      <x:c r="M161" s="36"/>
      <x:c r="N161" s="36"/>
      <x:c r="O161" s="30"/>
      <x:c r="P161" s="30"/>
      <x:c r="Q161" s="3"/>
      <x:c r="R161" s="3"/>
      <x:c r="S161" s="3"/>
      <x:c r="T161" s="33"/>
    </x:row>
    <x:row r="162">
      <x:c r="A162" s="3"/>
      <x:c r="B162" s="3"/>
      <x:c r="C162" s="3"/>
      <x:c r="D162" s="3"/>
      <x:c r="E162" s="3"/>
      <x:c r="F162" s="3"/>
      <x:c r="G162" s="34"/>
      <x:c r="H162" s="3"/>
      <x:c r="I162" s="3"/>
      <x:c r="J162" s="3"/>
      <x:c r="K162" s="35"/>
      <x:c r="L162" s="36"/>
      <x:c r="M162" s="36"/>
      <x:c r="N162" s="36"/>
      <x:c r="O162" s="30"/>
      <x:c r="P162" s="30"/>
      <x:c r="Q162" s="3"/>
      <x:c r="R162" s="3"/>
      <x:c r="S162" s="3"/>
      <x:c r="T162" s="33"/>
    </x:row>
    <x:row r="163">
      <x:c r="A163" s="3"/>
      <x:c r="B163" s="3"/>
      <x:c r="C163" s="3"/>
      <x:c r="D163" s="3"/>
      <x:c r="E163" s="3"/>
      <x:c r="F163" s="3"/>
      <x:c r="G163" s="34"/>
      <x:c r="H163" s="3"/>
      <x:c r="I163" s="3"/>
      <x:c r="J163" s="3"/>
      <x:c r="K163" s="35"/>
      <x:c r="L163" s="36"/>
      <x:c r="M163" s="36"/>
      <x:c r="N163" s="36"/>
      <x:c r="O163" s="30"/>
      <x:c r="P163" s="30"/>
      <x:c r="Q163" s="3"/>
      <x:c r="R163" s="3"/>
      <x:c r="S163" s="3"/>
      <x:c r="T163" s="33"/>
    </x:row>
    <x:row r="164">
      <x:c r="A164" s="3"/>
      <x:c r="B164" s="3"/>
      <x:c r="C164" s="3"/>
      <x:c r="D164" s="3"/>
      <x:c r="E164" s="3"/>
      <x:c r="F164" s="3"/>
      <x:c r="G164" s="34"/>
      <x:c r="H164" s="3"/>
      <x:c r="I164" s="3"/>
      <x:c r="J164" s="3"/>
      <x:c r="K164" s="35"/>
      <x:c r="L164" s="36"/>
      <x:c r="M164" s="36"/>
      <x:c r="N164" s="36"/>
      <x:c r="O164" s="30"/>
      <x:c r="P164" s="30"/>
      <x:c r="Q164" s="3"/>
      <x:c r="R164" s="3"/>
      <x:c r="S164" s="3"/>
      <x:c r="T164" s="33"/>
    </x:row>
    <x:row r="165">
      <x:c r="A165" s="3"/>
      <x:c r="B165" s="3"/>
      <x:c r="C165" s="3"/>
      <x:c r="D165" s="3"/>
      <x:c r="E165" s="3"/>
      <x:c r="F165" s="3"/>
      <x:c r="G165" s="34"/>
      <x:c r="H165" s="3"/>
      <x:c r="I165" s="3"/>
      <x:c r="J165" s="3"/>
      <x:c r="K165" s="35"/>
      <x:c r="L165" s="36"/>
      <x:c r="M165" s="36"/>
      <x:c r="N165" s="36"/>
      <x:c r="O165" s="30"/>
      <x:c r="P165" s="30"/>
      <x:c r="Q165" s="3"/>
      <x:c r="R165" s="3"/>
      <x:c r="S165" s="3"/>
      <x:c r="T165" s="33"/>
    </x:row>
    <x:row r="166">
      <x:c r="A166" s="3"/>
      <x:c r="B166" s="3"/>
      <x:c r="C166" s="3"/>
      <x:c r="D166" s="3"/>
      <x:c r="E166" s="3"/>
      <x:c r="F166" s="3"/>
      <x:c r="G166" s="34"/>
      <x:c r="H166" s="3"/>
      <x:c r="I166" s="3"/>
      <x:c r="J166" s="3"/>
      <x:c r="K166" s="35"/>
      <x:c r="L166" s="36"/>
      <x:c r="M166" s="36"/>
      <x:c r="N166" s="36"/>
      <x:c r="O166" s="30"/>
      <x:c r="P166" s="30"/>
      <x:c r="Q166" s="3"/>
      <x:c r="R166" s="3"/>
      <x:c r="S166" s="3"/>
      <x:c r="T166" s="33"/>
    </x:row>
    <x:row r="167">
      <x:c r="A167" s="3"/>
      <x:c r="B167" s="3"/>
      <x:c r="C167" s="3"/>
      <x:c r="D167" s="3"/>
      <x:c r="E167" s="3"/>
      <x:c r="F167" s="3"/>
      <x:c r="G167" s="34"/>
      <x:c r="H167" s="3"/>
      <x:c r="I167" s="3"/>
      <x:c r="J167" s="3"/>
      <x:c r="K167" s="35"/>
      <x:c r="L167" s="36"/>
      <x:c r="M167" s="36"/>
      <x:c r="N167" s="36"/>
      <x:c r="O167" s="30"/>
      <x:c r="P167" s="30"/>
      <x:c r="Q167" s="3"/>
      <x:c r="R167" s="3"/>
      <x:c r="S167" s="3"/>
      <x:c r="T167" s="33"/>
    </x:row>
    <x:row r="168">
      <x:c r="A168" s="3"/>
      <x:c r="B168" s="3"/>
      <x:c r="C168" s="3"/>
      <x:c r="D168" s="3"/>
      <x:c r="E168" s="3"/>
      <x:c r="F168" s="3"/>
      <x:c r="G168" s="34"/>
      <x:c r="H168" s="3"/>
      <x:c r="I168" s="3"/>
      <x:c r="J168" s="3"/>
      <x:c r="K168" s="35"/>
      <x:c r="L168" s="36"/>
      <x:c r="M168" s="36"/>
      <x:c r="N168" s="36"/>
      <x:c r="O168" s="30"/>
      <x:c r="P168" s="30"/>
      <x:c r="Q168" s="3"/>
      <x:c r="R168" s="3"/>
      <x:c r="S168" s="3"/>
      <x:c r="T168" s="33"/>
    </x:row>
    <x:row r="169">
      <x:c r="A169" s="3"/>
      <x:c r="B169" s="3"/>
      <x:c r="C169" s="3"/>
      <x:c r="D169" s="3"/>
      <x:c r="E169" s="3"/>
      <x:c r="F169" s="3"/>
      <x:c r="G169" s="34"/>
      <x:c r="H169" s="3"/>
      <x:c r="I169" s="3"/>
      <x:c r="J169" s="3"/>
      <x:c r="K169" s="35"/>
      <x:c r="L169" s="36"/>
      <x:c r="M169" s="36"/>
      <x:c r="N169" s="36"/>
      <x:c r="O169" s="30"/>
      <x:c r="P169" s="30"/>
      <x:c r="Q169" s="3"/>
      <x:c r="R169" s="3"/>
      <x:c r="S169" s="3"/>
      <x:c r="T169" s="33"/>
    </x:row>
    <x:row r="170">
      <x:c r="A170" s="3"/>
      <x:c r="B170" s="3"/>
      <x:c r="C170" s="3"/>
      <x:c r="D170" s="3"/>
      <x:c r="E170" s="3"/>
      <x:c r="F170" s="3"/>
      <x:c r="G170" s="34"/>
      <x:c r="H170" s="3"/>
      <x:c r="I170" s="3"/>
      <x:c r="J170" s="3"/>
      <x:c r="K170" s="35"/>
      <x:c r="L170" s="36"/>
      <x:c r="M170" s="36"/>
      <x:c r="N170" s="36"/>
      <x:c r="O170" s="30"/>
      <x:c r="P170" s="30"/>
      <x:c r="Q170" s="3"/>
      <x:c r="R170" s="3"/>
      <x:c r="S170" s="3"/>
      <x:c r="T170" s="33"/>
    </x:row>
    <x:row r="171">
      <x:c r="A171" s="3"/>
      <x:c r="B171" s="3"/>
      <x:c r="C171" s="3"/>
      <x:c r="D171" s="3"/>
      <x:c r="E171" s="3"/>
      <x:c r="F171" s="3"/>
      <x:c r="G171" s="34"/>
      <x:c r="H171" s="3"/>
      <x:c r="I171" s="3"/>
      <x:c r="J171" s="3"/>
      <x:c r="K171" s="35"/>
      <x:c r="L171" s="36"/>
      <x:c r="M171" s="36"/>
      <x:c r="N171" s="36"/>
      <x:c r="O171" s="30"/>
      <x:c r="P171" s="30"/>
      <x:c r="Q171" s="3"/>
      <x:c r="R171" s="3"/>
      <x:c r="S171" s="3"/>
      <x:c r="T171" s="33"/>
    </x:row>
    <x:row r="172">
      <x:c r="A172" s="3"/>
      <x:c r="B172" s="3"/>
      <x:c r="C172" s="3"/>
      <x:c r="D172" s="3"/>
      <x:c r="E172" s="3"/>
      <x:c r="F172" s="3"/>
      <x:c r="G172" s="34"/>
      <x:c r="H172" s="3"/>
      <x:c r="I172" s="3"/>
      <x:c r="J172" s="3"/>
      <x:c r="K172" s="35"/>
      <x:c r="L172" s="36"/>
      <x:c r="M172" s="36"/>
      <x:c r="N172" s="36"/>
      <x:c r="O172" s="30"/>
      <x:c r="P172" s="30"/>
      <x:c r="Q172" s="3"/>
      <x:c r="R172" s="3"/>
      <x:c r="S172" s="3"/>
      <x:c r="T172" s="33"/>
    </x:row>
    <x:row r="173">
      <x:c r="A173" s="3"/>
      <x:c r="B173" s="3"/>
      <x:c r="C173" s="3"/>
      <x:c r="D173" s="3"/>
      <x:c r="E173" s="3"/>
      <x:c r="F173" s="3"/>
      <x:c r="G173" s="34"/>
      <x:c r="H173" s="3"/>
      <x:c r="I173" s="3"/>
      <x:c r="J173" s="3"/>
      <x:c r="K173" s="35"/>
      <x:c r="L173" s="36"/>
      <x:c r="M173" s="36"/>
      <x:c r="N173" s="36"/>
      <x:c r="O173" s="30"/>
      <x:c r="P173" s="30"/>
      <x:c r="Q173" s="3"/>
      <x:c r="R173" s="3"/>
      <x:c r="S173" s="3"/>
      <x:c r="T173" s="33"/>
    </x:row>
    <x:row r="174">
      <x:c r="A174" s="3"/>
      <x:c r="B174" s="3"/>
      <x:c r="C174" s="3"/>
      <x:c r="D174" s="3"/>
      <x:c r="E174" s="3"/>
      <x:c r="F174" s="3"/>
      <x:c r="G174" s="34"/>
      <x:c r="H174" s="3"/>
      <x:c r="I174" s="3"/>
      <x:c r="J174" s="3"/>
      <x:c r="K174" s="35"/>
      <x:c r="L174" s="36"/>
      <x:c r="M174" s="36"/>
      <x:c r="N174" s="36"/>
      <x:c r="O174" s="30"/>
      <x:c r="P174" s="30"/>
      <x:c r="Q174" s="3"/>
      <x:c r="R174" s="3"/>
      <x:c r="S174" s="3"/>
      <x:c r="T174" s="33"/>
    </x:row>
    <x:row r="175">
      <x:c r="A175" s="3"/>
      <x:c r="B175" s="3"/>
      <x:c r="C175" s="3"/>
      <x:c r="D175" s="3"/>
      <x:c r="E175" s="3"/>
      <x:c r="F175" s="3"/>
      <x:c r="G175" s="34"/>
      <x:c r="H175" s="3"/>
      <x:c r="I175" s="3"/>
      <x:c r="J175" s="3"/>
      <x:c r="K175" s="35"/>
      <x:c r="L175" s="36"/>
      <x:c r="M175" s="36"/>
      <x:c r="N175" s="36"/>
      <x:c r="O175" s="30"/>
      <x:c r="P175" s="30"/>
      <x:c r="Q175" s="3"/>
      <x:c r="R175" s="3"/>
      <x:c r="S175" s="3"/>
      <x:c r="T175" s="33"/>
    </x:row>
    <x:row r="176">
      <x:c r="A176" s="3"/>
      <x:c r="B176" s="3"/>
      <x:c r="C176" s="3"/>
      <x:c r="D176" s="3"/>
      <x:c r="E176" s="3"/>
      <x:c r="F176" s="3"/>
      <x:c r="G176" s="34"/>
      <x:c r="H176" s="3"/>
      <x:c r="I176" s="3"/>
      <x:c r="J176" s="3"/>
      <x:c r="K176" s="35"/>
      <x:c r="L176" s="36"/>
      <x:c r="M176" s="36"/>
      <x:c r="N176" s="36"/>
      <x:c r="O176" s="30"/>
      <x:c r="P176" s="30"/>
      <x:c r="Q176" s="3"/>
      <x:c r="R176" s="3"/>
      <x:c r="S176" s="3"/>
      <x:c r="T176" s="33"/>
    </x:row>
    <x:row r="177">
      <x:c r="A177" s="3"/>
      <x:c r="B177" s="3"/>
      <x:c r="C177" s="3"/>
      <x:c r="D177" s="3"/>
      <x:c r="E177" s="3"/>
      <x:c r="F177" s="3"/>
      <x:c r="G177" s="34"/>
      <x:c r="H177" s="3"/>
      <x:c r="I177" s="3"/>
      <x:c r="J177" s="3"/>
      <x:c r="K177" s="35"/>
      <x:c r="L177" s="36"/>
      <x:c r="M177" s="36"/>
      <x:c r="N177" s="36"/>
      <x:c r="O177" s="30"/>
      <x:c r="P177" s="30"/>
      <x:c r="Q177" s="3"/>
      <x:c r="R177" s="3"/>
      <x:c r="S177" s="3"/>
      <x:c r="T177" s="33"/>
    </x:row>
    <x:row r="178">
      <x:c r="A178" s="3"/>
      <x:c r="B178" s="3"/>
      <x:c r="C178" s="3"/>
      <x:c r="D178" s="3"/>
      <x:c r="E178" s="3"/>
      <x:c r="F178" s="3"/>
      <x:c r="G178" s="34"/>
      <x:c r="H178" s="3"/>
      <x:c r="I178" s="3"/>
      <x:c r="J178" s="3"/>
      <x:c r="K178" s="35"/>
      <x:c r="L178" s="36"/>
      <x:c r="M178" s="36"/>
      <x:c r="N178" s="36"/>
      <x:c r="O178" s="30"/>
      <x:c r="P178" s="30"/>
      <x:c r="Q178" s="3"/>
      <x:c r="R178" s="3"/>
      <x:c r="S178" s="3"/>
      <x:c r="T178" s="33"/>
    </x:row>
    <x:row r="179">
      <x:c r="A179" s="3"/>
      <x:c r="B179" s="3"/>
      <x:c r="C179" s="3"/>
      <x:c r="D179" s="3"/>
      <x:c r="E179" s="3"/>
      <x:c r="F179" s="3"/>
      <x:c r="G179" s="34"/>
      <x:c r="H179" s="3"/>
      <x:c r="I179" s="3"/>
      <x:c r="J179" s="3"/>
      <x:c r="K179" s="35"/>
      <x:c r="L179" s="36"/>
      <x:c r="M179" s="36"/>
      <x:c r="N179" s="36"/>
      <x:c r="O179" s="30"/>
      <x:c r="P179" s="30"/>
      <x:c r="Q179" s="3"/>
      <x:c r="R179" s="3"/>
      <x:c r="S179" s="3"/>
      <x:c r="T179" s="33"/>
    </x:row>
    <x:row r="180">
      <x:c r="A180" s="3"/>
      <x:c r="B180" s="3"/>
      <x:c r="C180" s="3"/>
      <x:c r="D180" s="3"/>
      <x:c r="E180" s="3"/>
      <x:c r="F180" s="3"/>
      <x:c r="G180" s="34"/>
      <x:c r="H180" s="3"/>
      <x:c r="I180" s="3"/>
      <x:c r="J180" s="3"/>
      <x:c r="K180" s="35"/>
      <x:c r="L180" s="36"/>
      <x:c r="M180" s="36"/>
      <x:c r="N180" s="36"/>
      <x:c r="O180" s="30"/>
      <x:c r="P180" s="30"/>
      <x:c r="Q180" s="3"/>
      <x:c r="R180" s="3"/>
      <x:c r="S180" s="3"/>
      <x:c r="T180" s="33"/>
    </x:row>
    <x:row r="181">
      <x:c r="A181" s="3"/>
      <x:c r="B181" s="3"/>
      <x:c r="C181" s="3"/>
      <x:c r="D181" s="3"/>
      <x:c r="E181" s="3"/>
      <x:c r="F181" s="3"/>
      <x:c r="G181" s="34"/>
      <x:c r="H181" s="3"/>
      <x:c r="I181" s="3"/>
      <x:c r="J181" s="3"/>
      <x:c r="K181" s="35"/>
      <x:c r="L181" s="36"/>
      <x:c r="M181" s="36"/>
      <x:c r="N181" s="36"/>
      <x:c r="O181" s="30"/>
      <x:c r="P181" s="30"/>
      <x:c r="Q181" s="3"/>
      <x:c r="R181" s="3"/>
      <x:c r="S181" s="3"/>
      <x:c r="T181" s="33"/>
    </x:row>
    <x:row r="182">
      <x:c r="A182" s="3"/>
      <x:c r="B182" s="3"/>
      <x:c r="C182" s="3"/>
      <x:c r="D182" s="3"/>
      <x:c r="E182" s="3"/>
      <x:c r="F182" s="3"/>
      <x:c r="G182" s="34"/>
      <x:c r="H182" s="3"/>
      <x:c r="I182" s="3"/>
      <x:c r="J182" s="3"/>
      <x:c r="K182" s="35"/>
      <x:c r="L182" s="36"/>
      <x:c r="M182" s="36"/>
      <x:c r="N182" s="36"/>
      <x:c r="O182" s="30"/>
      <x:c r="P182" s="30"/>
      <x:c r="Q182" s="3"/>
      <x:c r="R182" s="3"/>
      <x:c r="S182" s="3"/>
      <x:c r="T182" s="33"/>
    </x:row>
    <x:row r="183">
      <x:c r="A183" s="3"/>
      <x:c r="B183" s="3"/>
      <x:c r="C183" s="3"/>
      <x:c r="D183" s="3"/>
      <x:c r="E183" s="3"/>
      <x:c r="F183" s="3"/>
      <x:c r="G183" s="34"/>
      <x:c r="H183" s="3"/>
      <x:c r="I183" s="3"/>
      <x:c r="J183" s="3"/>
      <x:c r="K183" s="35"/>
      <x:c r="L183" s="36"/>
      <x:c r="M183" s="36"/>
      <x:c r="N183" s="36"/>
      <x:c r="O183" s="30"/>
      <x:c r="P183" s="30"/>
      <x:c r="Q183" s="3"/>
      <x:c r="R183" s="3"/>
      <x:c r="S183" s="3"/>
      <x:c r="T183" s="33"/>
    </x:row>
    <x:row r="184">
      <x:c r="A184" s="3"/>
      <x:c r="B184" s="3"/>
      <x:c r="C184" s="3"/>
      <x:c r="D184" s="3"/>
      <x:c r="E184" s="3"/>
      <x:c r="F184" s="3"/>
      <x:c r="G184" s="34"/>
      <x:c r="H184" s="3"/>
      <x:c r="I184" s="3"/>
      <x:c r="J184" s="3"/>
      <x:c r="K184" s="35"/>
      <x:c r="L184" s="36"/>
      <x:c r="M184" s="36"/>
      <x:c r="N184" s="36"/>
      <x:c r="O184" s="30"/>
      <x:c r="P184" s="30"/>
      <x:c r="Q184" s="3"/>
      <x:c r="R184" s="3"/>
      <x:c r="S184" s="3"/>
      <x:c r="T184" s="33"/>
    </x:row>
    <x:row r="185">
      <x:c r="A185" s="3"/>
      <x:c r="B185" s="3"/>
      <x:c r="C185" s="3"/>
      <x:c r="D185" s="3"/>
      <x:c r="E185" s="3"/>
      <x:c r="F185" s="3"/>
      <x:c r="G185" s="34"/>
      <x:c r="H185" s="3"/>
      <x:c r="I185" s="3"/>
      <x:c r="J185" s="3"/>
      <x:c r="K185" s="35"/>
      <x:c r="L185" s="36"/>
      <x:c r="M185" s="36"/>
      <x:c r="N185" s="36"/>
      <x:c r="O185" s="30"/>
      <x:c r="P185" s="30"/>
      <x:c r="Q185" s="3"/>
      <x:c r="R185" s="3"/>
      <x:c r="S185" s="3"/>
      <x:c r="T185" s="33"/>
    </x:row>
    <x:row r="186">
      <x:c r="A186" s="3"/>
      <x:c r="B186" s="3"/>
      <x:c r="C186" s="3"/>
      <x:c r="D186" s="3"/>
      <x:c r="E186" s="3"/>
      <x:c r="F186" s="3"/>
      <x:c r="G186" s="34"/>
      <x:c r="H186" s="3"/>
      <x:c r="I186" s="3"/>
      <x:c r="J186" s="3"/>
      <x:c r="K186" s="35"/>
      <x:c r="L186" s="36"/>
      <x:c r="M186" s="36"/>
      <x:c r="N186" s="36"/>
      <x:c r="O186" s="30"/>
      <x:c r="P186" s="30"/>
      <x:c r="Q186" s="3"/>
      <x:c r="R186" s="3"/>
      <x:c r="S186" s="3"/>
      <x:c r="T186" s="33"/>
    </x:row>
    <x:row r="187">
      <x:c r="A187" s="3"/>
      <x:c r="B187" s="3"/>
      <x:c r="C187" s="3"/>
      <x:c r="D187" s="3"/>
      <x:c r="E187" s="3"/>
      <x:c r="F187" s="3"/>
      <x:c r="G187" s="34"/>
      <x:c r="H187" s="3"/>
      <x:c r="I187" s="3"/>
      <x:c r="J187" s="3"/>
      <x:c r="K187" s="35"/>
      <x:c r="L187" s="36"/>
      <x:c r="M187" s="36"/>
      <x:c r="N187" s="36"/>
      <x:c r="O187" s="30"/>
      <x:c r="P187" s="30"/>
      <x:c r="Q187" s="3"/>
      <x:c r="R187" s="3"/>
      <x:c r="S187" s="3"/>
      <x:c r="T187" s="33"/>
    </x:row>
    <x:row r="188">
      <x:c r="A188" s="3"/>
      <x:c r="B188" s="3"/>
      <x:c r="C188" s="3"/>
      <x:c r="D188" s="3"/>
      <x:c r="E188" s="3"/>
      <x:c r="F188" s="3"/>
      <x:c r="G188" s="34"/>
      <x:c r="H188" s="3"/>
      <x:c r="I188" s="3"/>
      <x:c r="J188" s="3"/>
      <x:c r="K188" s="35"/>
      <x:c r="L188" s="36"/>
      <x:c r="M188" s="36"/>
      <x:c r="N188" s="36"/>
      <x:c r="O188" s="30"/>
      <x:c r="P188" s="30"/>
      <x:c r="Q188" s="3"/>
      <x:c r="R188" s="3"/>
      <x:c r="S188" s="3"/>
      <x:c r="T188" s="33"/>
    </x:row>
    <x:row r="189">
      <x:c r="A189" s="3"/>
      <x:c r="B189" s="3"/>
      <x:c r="C189" s="3"/>
      <x:c r="D189" s="3"/>
      <x:c r="E189" s="3"/>
      <x:c r="F189" s="3"/>
      <x:c r="G189" s="34"/>
      <x:c r="H189" s="3"/>
      <x:c r="I189" s="3"/>
      <x:c r="J189" s="3"/>
      <x:c r="K189" s="35"/>
      <x:c r="L189" s="36"/>
      <x:c r="M189" s="36"/>
      <x:c r="N189" s="36"/>
      <x:c r="O189" s="30"/>
      <x:c r="P189" s="30"/>
      <x:c r="Q189" s="3"/>
      <x:c r="R189" s="3"/>
      <x:c r="S189" s="3"/>
      <x:c r="T189" s="33"/>
    </x:row>
    <x:row r="190">
      <x:c r="A190" s="3"/>
      <x:c r="B190" s="3"/>
      <x:c r="C190" s="3"/>
      <x:c r="D190" s="3"/>
      <x:c r="E190" s="3"/>
      <x:c r="F190" s="3"/>
      <x:c r="G190" s="34"/>
      <x:c r="H190" s="3"/>
      <x:c r="I190" s="3"/>
      <x:c r="J190" s="3"/>
      <x:c r="K190" s="35"/>
      <x:c r="L190" s="36"/>
      <x:c r="M190" s="36"/>
      <x:c r="N190" s="36"/>
      <x:c r="O190" s="30"/>
      <x:c r="P190" s="30"/>
      <x:c r="Q190" s="3"/>
      <x:c r="R190" s="3"/>
      <x:c r="S190" s="3"/>
      <x:c r="T190" s="33"/>
    </x:row>
    <x:row r="191">
      <x:c r="A191" s="3"/>
      <x:c r="B191" s="3"/>
      <x:c r="C191" s="3"/>
      <x:c r="D191" s="3"/>
      <x:c r="E191" s="3"/>
      <x:c r="F191" s="3"/>
      <x:c r="G191" s="34"/>
      <x:c r="H191" s="3"/>
      <x:c r="I191" s="3"/>
      <x:c r="J191" s="3"/>
      <x:c r="K191" s="35"/>
      <x:c r="L191" s="36"/>
      <x:c r="M191" s="36"/>
      <x:c r="N191" s="36"/>
      <x:c r="O191" s="30"/>
      <x:c r="P191" s="30"/>
      <x:c r="Q191" s="3"/>
      <x:c r="R191" s="3"/>
      <x:c r="S191" s="3"/>
      <x:c r="T191" s="33"/>
    </x:row>
    <x:row r="192">
      <x:c r="A192" s="3"/>
      <x:c r="B192" s="3"/>
      <x:c r="C192" s="3"/>
      <x:c r="D192" s="3"/>
      <x:c r="E192" s="3"/>
      <x:c r="F192" s="3"/>
      <x:c r="G192" s="34"/>
      <x:c r="H192" s="3"/>
      <x:c r="I192" s="3"/>
      <x:c r="J192" s="3"/>
      <x:c r="K192" s="35"/>
      <x:c r="L192" s="36"/>
      <x:c r="M192" s="36"/>
      <x:c r="N192" s="36"/>
      <x:c r="O192" s="30"/>
      <x:c r="P192" s="30"/>
      <x:c r="Q192" s="3"/>
      <x:c r="R192" s="3"/>
      <x:c r="S192" s="3"/>
      <x:c r="T192" s="33"/>
    </x:row>
    <x:row r="193">
      <x:c r="A193" s="3"/>
      <x:c r="B193" s="3"/>
      <x:c r="C193" s="3"/>
      <x:c r="D193" s="3"/>
      <x:c r="E193" s="3"/>
      <x:c r="F193" s="3"/>
      <x:c r="G193" s="34"/>
      <x:c r="H193" s="3"/>
      <x:c r="I193" s="3"/>
      <x:c r="J193" s="3"/>
      <x:c r="K193" s="35"/>
      <x:c r="L193" s="36"/>
      <x:c r="M193" s="36"/>
      <x:c r="N193" s="36"/>
      <x:c r="O193" s="30"/>
      <x:c r="P193" s="30"/>
      <x:c r="Q193" s="3"/>
      <x:c r="R193" s="3"/>
      <x:c r="S193" s="3"/>
      <x:c r="T193" s="33"/>
    </x:row>
    <x:row r="194">
      <x:c r="A194" s="3"/>
      <x:c r="B194" s="3"/>
      <x:c r="C194" s="3"/>
      <x:c r="D194" s="3"/>
      <x:c r="E194" s="3"/>
      <x:c r="F194" s="3"/>
      <x:c r="G194" s="34"/>
      <x:c r="H194" s="3"/>
      <x:c r="I194" s="3"/>
      <x:c r="J194" s="3"/>
      <x:c r="K194" s="35"/>
      <x:c r="L194" s="36"/>
      <x:c r="M194" s="36"/>
      <x:c r="N194" s="36"/>
      <x:c r="O194" s="30"/>
      <x:c r="P194" s="30"/>
      <x:c r="Q194" s="3"/>
      <x:c r="R194" s="3"/>
      <x:c r="S194" s="3"/>
      <x:c r="T194" s="33"/>
    </x:row>
    <x:row r="195">
      <x:c r="A195" s="3"/>
      <x:c r="B195" s="3"/>
      <x:c r="C195" s="3"/>
      <x:c r="D195" s="3"/>
      <x:c r="E195" s="3"/>
      <x:c r="F195" s="3"/>
      <x:c r="G195" s="34"/>
      <x:c r="H195" s="3"/>
      <x:c r="I195" s="3"/>
      <x:c r="J195" s="3"/>
      <x:c r="K195" s="35"/>
      <x:c r="L195" s="36"/>
      <x:c r="M195" s="36"/>
      <x:c r="N195" s="36"/>
      <x:c r="O195" s="30"/>
      <x:c r="P195" s="30"/>
      <x:c r="Q195" s="3"/>
      <x:c r="R195" s="3"/>
      <x:c r="S195" s="3"/>
      <x:c r="T195" s="33"/>
    </x:row>
    <x:row r="196">
      <x:c r="A196" s="3"/>
      <x:c r="B196" s="3"/>
      <x:c r="C196" s="3"/>
      <x:c r="D196" s="3"/>
      <x:c r="E196" s="3"/>
      <x:c r="F196" s="3"/>
      <x:c r="G196" s="34"/>
      <x:c r="H196" s="3"/>
      <x:c r="I196" s="3"/>
      <x:c r="J196" s="3"/>
      <x:c r="K196" s="35"/>
      <x:c r="L196" s="36"/>
      <x:c r="M196" s="36"/>
      <x:c r="N196" s="36"/>
      <x:c r="O196" s="30"/>
      <x:c r="P196" s="30"/>
      <x:c r="Q196" s="3"/>
      <x:c r="R196" s="3"/>
      <x:c r="S196" s="3"/>
      <x:c r="T196" s="33"/>
    </x:row>
    <x:row r="197">
      <x:c r="A197" s="3"/>
      <x:c r="B197" s="3"/>
      <x:c r="C197" s="3"/>
      <x:c r="D197" s="3"/>
      <x:c r="E197" s="3"/>
      <x:c r="F197" s="3"/>
      <x:c r="G197" s="34"/>
      <x:c r="H197" s="3"/>
      <x:c r="I197" s="3"/>
      <x:c r="J197" s="3"/>
      <x:c r="K197" s="35"/>
      <x:c r="L197" s="36"/>
      <x:c r="M197" s="36"/>
      <x:c r="N197" s="36"/>
      <x:c r="O197" s="30"/>
      <x:c r="P197" s="30"/>
      <x:c r="Q197" s="3"/>
      <x:c r="R197" s="3"/>
      <x:c r="S197" s="3"/>
      <x:c r="T197" s="33"/>
    </x:row>
    <x:row r="198">
      <x:c r="A198" s="3"/>
      <x:c r="B198" s="3"/>
      <x:c r="C198" s="3"/>
      <x:c r="D198" s="3"/>
      <x:c r="E198" s="3"/>
      <x:c r="F198" s="3"/>
      <x:c r="G198" s="34"/>
      <x:c r="H198" s="3"/>
      <x:c r="I198" s="3"/>
      <x:c r="J198" s="3"/>
      <x:c r="K198" s="35"/>
      <x:c r="L198" s="36"/>
      <x:c r="M198" s="36"/>
      <x:c r="N198" s="36"/>
      <x:c r="O198" s="30"/>
      <x:c r="P198" s="30"/>
      <x:c r="Q198" s="3"/>
      <x:c r="R198" s="3"/>
      <x:c r="S198" s="3"/>
      <x:c r="T198" s="33"/>
    </x:row>
    <x:row r="199">
      <x:c r="A199" s="3"/>
      <x:c r="B199" s="3"/>
      <x:c r="C199" s="3"/>
      <x:c r="D199" s="3"/>
      <x:c r="E199" s="3"/>
      <x:c r="F199" s="3"/>
      <x:c r="G199" s="34"/>
      <x:c r="H199" s="3"/>
      <x:c r="I199" s="3"/>
      <x:c r="J199" s="3"/>
      <x:c r="K199" s="35"/>
      <x:c r="L199" s="36"/>
      <x:c r="M199" s="36"/>
      <x:c r="N199" s="36"/>
      <x:c r="O199" s="30"/>
      <x:c r="P199" s="30"/>
      <x:c r="Q199" s="3"/>
      <x:c r="R199" s="3"/>
      <x:c r="S199" s="3"/>
      <x:c r="T199" s="33"/>
    </x:row>
    <x:row r="200">
      <x:c r="A200" s="3"/>
      <x:c r="B200" s="3"/>
      <x:c r="C200" s="3"/>
      <x:c r="D200" s="3"/>
      <x:c r="E200" s="3"/>
      <x:c r="F200" s="3"/>
      <x:c r="G200" s="34"/>
      <x:c r="H200" s="3"/>
      <x:c r="I200" s="3"/>
      <x:c r="J200" s="3"/>
      <x:c r="K200" s="35"/>
      <x:c r="L200" s="36"/>
      <x:c r="M200" s="36"/>
      <x:c r="N200" s="36"/>
      <x:c r="O200" s="30"/>
      <x:c r="P200" s="30"/>
      <x:c r="Q200" s="3"/>
      <x:c r="R200" s="3"/>
      <x:c r="S200" s="3"/>
      <x:c r="T200" s="33"/>
    </x:row>
    <x:row r="201">
      <x:c r="A201" s="3"/>
      <x:c r="B201" s="3"/>
      <x:c r="C201" s="3"/>
      <x:c r="D201" s="3"/>
      <x:c r="E201" s="3"/>
      <x:c r="F201" s="3"/>
      <x:c r="G201" s="34"/>
      <x:c r="H201" s="3"/>
      <x:c r="I201" s="3"/>
      <x:c r="J201" s="3"/>
      <x:c r="K201" s="35"/>
      <x:c r="L201" s="36"/>
      <x:c r="M201" s="36"/>
      <x:c r="N201" s="36"/>
      <x:c r="O201" s="30"/>
      <x:c r="P201" s="30"/>
      <x:c r="Q201" s="3"/>
      <x:c r="R201" s="3"/>
      <x:c r="S201" s="3"/>
      <x:c r="T201" s="33"/>
    </x:row>
    <x:row r="202">
      <x:c r="A202" s="3"/>
      <x:c r="B202" s="3"/>
      <x:c r="C202" s="3"/>
      <x:c r="D202" s="3"/>
      <x:c r="E202" s="3"/>
      <x:c r="F202" s="3"/>
      <x:c r="G202" s="34"/>
      <x:c r="H202" s="3"/>
      <x:c r="I202" s="3"/>
      <x:c r="J202" s="3"/>
      <x:c r="K202" s="35"/>
      <x:c r="L202" s="36"/>
      <x:c r="M202" s="36"/>
      <x:c r="N202" s="36"/>
      <x:c r="O202" s="30"/>
      <x:c r="P202" s="30"/>
      <x:c r="Q202" s="3"/>
      <x:c r="R202" s="3"/>
      <x:c r="S202" s="3"/>
      <x:c r="T202" s="33"/>
    </x:row>
    <x:row r="203">
      <x:c r="A203" s="3"/>
      <x:c r="B203" s="3"/>
      <x:c r="C203" s="3"/>
      <x:c r="D203" s="3"/>
      <x:c r="E203" s="3"/>
      <x:c r="F203" s="3"/>
      <x:c r="G203" s="34"/>
      <x:c r="H203" s="3"/>
      <x:c r="I203" s="3"/>
      <x:c r="J203" s="3"/>
      <x:c r="K203" s="35"/>
      <x:c r="L203" s="36"/>
      <x:c r="M203" s="36"/>
      <x:c r="N203" s="36"/>
      <x:c r="O203" s="30"/>
      <x:c r="P203" s="30"/>
      <x:c r="Q203" s="3"/>
      <x:c r="R203" s="3"/>
      <x:c r="S203" s="3"/>
      <x:c r="T203" s="33"/>
    </x:row>
    <x:row r="204">
      <x:c r="A204" s="3"/>
      <x:c r="B204" s="3"/>
      <x:c r="C204" s="3"/>
      <x:c r="D204" s="3"/>
      <x:c r="E204" s="3"/>
      <x:c r="F204" s="3"/>
      <x:c r="G204" s="34"/>
      <x:c r="H204" s="3"/>
      <x:c r="I204" s="3"/>
      <x:c r="J204" s="3"/>
      <x:c r="K204" s="35"/>
      <x:c r="L204" s="36"/>
      <x:c r="M204" s="36"/>
      <x:c r="N204" s="36"/>
      <x:c r="O204" s="30"/>
      <x:c r="P204" s="30"/>
      <x:c r="Q204" s="3"/>
      <x:c r="R204" s="3"/>
      <x:c r="S204" s="3"/>
      <x:c r="T204" s="33"/>
    </x:row>
  </x:sheetData>
  <x:mergeCells>
    <x:mergeCell ref="A1:T1"/>
    <x:mergeCell ref="A2:T2"/>
  </x:mergeCells>
  <x:dataValidations count="8">
    <x:dataValidation type="list" sqref="D10:D204">
      <x:formula1>"no_video,with_video"</x:formula1>
    </x:dataValidation>
    <x:dataValidation type="list" sqref="D5:D204">
      <x:formula1>"no_video,with_video"</x:formula1>
    </x:dataValidation>
    <x:dataValidation type="list" sqref="E10:E204">
      <x:formula1>"per_token"</x:formula1>
    </x:dataValidation>
    <x:dataValidation type="list" sqref="E5:E204">
      <x:formula1>"per_token"</x:formula1>
    </x:dataValidation>
    <x:dataValidation type="list" sqref="F10:F204">
      <x:formula1>"CNY,USD"</x:formula1>
    </x:dataValidation>
    <x:dataValidation type="list" sqref="F5:F204">
      <x:formula1>"CNY,USD"</x:formula1>
    </x:dataValidation>
    <x:dataValidation type="list" sqref="Q10:Q204">
      <x:formula1>"draft,active,inactive"</x:formula1>
    </x:dataValidation>
    <x:dataValidation type="list" sqref="Q5:Q204">
      <x:formula1>"draft,active,inactive"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42" customWidth="1"/>
    <x:col min="2" max="2" width="16" customWidth="1"/>
    <x:col min="3" max="3" width="28.75" customWidth="1"/>
    <x:col min="4" max="4" width="24" customWidth="1"/>
    <x:col min="5" max="7" width="16" customWidth="1"/>
    <x:col min="8" max="8" width="23" customWidth="1"/>
    <x:col min="9" max="9" width="24" customWidth="1"/>
    <x:col min="10" max="10" width="18" customWidth="1"/>
    <x:col min="11" max="11" width="10" customWidth="1"/>
    <x:col min="12" max="14" width="13" customWidth="1"/>
    <x:col min="15" max="15" width="16" customWidth="1"/>
    <x:col min="16" max="17" width="13" customWidth="1"/>
    <x:col min="18" max="18" width="16" customWidth="1"/>
    <x:col min="19" max="19" width="13" customWidth="1"/>
    <x:col min="20" max="20" width="15" customWidth="1"/>
    <x:col min="21" max="21" width="17" customWidth="1"/>
    <x:col min="22" max="22" width="18" customWidth="1"/>
    <x:col min="23" max="24" width="14" customWidth="1"/>
    <x:col min="25" max="25" width="12" customWidth="1"/>
    <x:col min="26" max="26" width="14" customWidth="1"/>
    <x:col min="27" max="27" width="60" customWidth="1"/>
    <x:col min="28" max="28" width="22" customWidth="1"/>
  </x:cols>
  <x:sheetData>
    <x:row r="1" ht="34.04999923706055" customHeight="1">
      <x:c r="A1" s="1" t="s">
        <x:v>40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</x:row>
    <x:row r="2" ht="32" customHeight="1">
      <x:c r="A2" s="2" t="s">
        <x:v>303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  <x:c r="AB3" s="3"/>
    </x:row>
    <x:row r="4" ht="34.04999923706055" customHeight="1">
      <x:c r="A4" s="4" t="s">
        <x:v>42</x:v>
      </x:c>
      <x:c r="B4" s="4" t="s">
        <x:v>20</x:v>
      </x:c>
      <x:c r="C4" s="4" t="s">
        <x:v>304</x:v>
      </x:c>
      <x:c r="D4" s="4" t="s">
        <x:v>28</x:v>
      </x:c>
      <x:c r="E4" s="4" t="s">
        <x:v>247</x:v>
      </x:c>
      <x:c r="F4" s="4" t="s">
        <x:v>305</x:v>
      </x:c>
      <x:c r="G4" s="4" t="s">
        <x:v>306</x:v>
      </x:c>
      <x:c r="H4" s="4" t="s">
        <x:v>307</x:v>
      </x:c>
      <x:c r="I4" s="4" t="s">
        <x:v>308</x:v>
      </x:c>
      <x:c r="J4" s="4" t="s">
        <x:v>309</x:v>
      </x:c>
      <x:c r="K4" s="4" t="s">
        <x:v>249</x:v>
      </x:c>
      <x:c r="L4" s="4" t="s">
        <x:v>310</x:v>
      </x:c>
      <x:c r="M4" s="4" t="s">
        <x:v>311</x:v>
      </x:c>
      <x:c r="N4" s="4" t="s">
        <x:v>250</x:v>
      </x:c>
      <x:c r="O4" s="4" t="s">
        <x:v>312</x:v>
      </x:c>
      <x:c r="P4" s="4" t="s">
        <x:v>141</x:v>
      </x:c>
      <x:c r="Q4" s="4" t="s">
        <x:v>313</x:v>
      </x:c>
      <x:c r="R4" s="4" t="s">
        <x:v>139</x:v>
      </x:c>
      <x:c r="S4" s="4" t="s">
        <x:v>140</x:v>
      </x:c>
      <x:c r="T4" s="4" t="s">
        <x:v>314</x:v>
      </x:c>
      <x:c r="U4" s="4" t="s">
        <x:v>75</x:v>
      </x:c>
      <x:c r="V4" s="4" t="s">
        <x:v>315</x:v>
      </x:c>
      <x:c r="W4" s="4" t="s">
        <x:v>255</x:v>
      </x:c>
      <x:c r="X4" s="4" t="s">
        <x:v>256</x:v>
      </x:c>
      <x:c r="Y4" s="4" t="s">
        <x:v>143</x:v>
      </x:c>
      <x:c r="Z4" s="4" t="s">
        <x:v>62</x:v>
      </x:c>
      <x:c r="AA4" s="4" t="s">
        <x:v>9</x:v>
      </x:c>
      <x:c r="AB4" s="4" t="s">
        <x:v>67</x:v>
      </x:c>
    </x:row>
    <x:row r="5" ht="66" hidden="1" customHeight="1">
      <x:c r="A5" s="3" t="s">
        <x:v>316</x:v>
      </x:c>
      <x:c r="B5" s="3" t="s">
        <x:v>194</x:v>
      </x:c>
      <x:c r="C5" s="3" t="s">
        <x:v>317</x:v>
      </x:c>
      <x:c r="D5" s="3" t="s">
        <x:v>240</x:v>
      </x:c>
      <x:c r="E5" s="3" t="s">
        <x:v>258</x:v>
      </x:c>
      <x:c r="F5" s="3" t="s">
        <x:v>318</x:v>
      </x:c>
      <x:c r="G5" s="3" t="s">
        <x:v>319</x:v>
      </x:c>
      <x:c r="H5" s="3" t="s">
        <x:v>319</x:v>
      </x:c>
      <x:c r="I5" s="3" t="s">
        <x:v>319</x:v>
      </x:c>
      <x:c r="J5" s="3" t="s">
        <x:v>320</x:v>
      </x:c>
      <x:c r="K5" s="3" t="s">
        <x:v>150</x:v>
      </x:c>
      <x:c r="L5" s="37" t="s">
        <x:v>319</x:v>
      </x:c>
      <x:c r="M5" s="37" t="s">
        <x:v>321</x:v>
      </x:c>
      <x:c r="N5" s="37" t="s">
        <x:v>319</x:v>
      </x:c>
      <x:c r="O5" s="36" t="s">
        <x:v>321</x:v>
      </x:c>
      <x:c r="P5" s="37" t="s">
        <x:v>151</x:v>
      </x:c>
      <x:c r="Q5" s="37" t="s">
        <x:v>151</x:v>
      </x:c>
      <x:c r="R5" s="37" t="s">
        <x:v>151</x:v>
      </x:c>
      <x:c r="S5" s="37" t="s">
        <x:v>152</x:v>
      </x:c>
      <x:c r="T5" s="36" t="s">
        <x:v>322</x:v>
      </x:c>
      <x:c r="U5" s="36" t="n">
        <x:f>IFERROR(O5*P5*Q5/R5*(1+S5)*T5,"")</x:f>
        <x:v>0.02054794520547945</x:v>
      </x:c>
      <x:c r="V5" s="33" t="s">
        <x:v>323</x:v>
      </x:c>
      <x:c r="W5" s="30">
        <x:v>46236.78357621528</x:v>
      </x:c>
      <x:c r="X5" s="30"/>
      <x:c r="Y5" s="3" t="s">
        <x:v>224</x:v>
      </x:c>
      <x:c r="Z5" s="3" t="s">
        <x:v>197</x:v>
      </x:c>
      <x:c r="AA5" s="17" t="s">
        <x:v>324</x:v>
      </x:c>
      <x:c r="AB5" s="33" t="str">
        <x:f>IF(A5="","",IF(COUNTIF($A$5:$A$1004,A5)&gt;1,"错误:重复成本规则ID",IF(OR(B5="",C5="",D5="",E5="",F5="",K5="",O5&lt;=0,P5&lt;=0,Q5&lt;=0,R5&lt;=0,S5&lt;0,T5&lt;=0,Y5="",Z5=""),"错误:必填项","OK")))</x:f>
        <x:v>OK</x:v>
      </x:c>
    </x:row>
    <x:row r="6" ht="66" hidden="1" customHeight="1">
      <x:c r="A6" s="3" t="s">
        <x:v>325</x:v>
      </x:c>
      <x:c r="B6" s="3" t="s">
        <x:v>194</x:v>
      </x:c>
      <x:c r="C6" s="3" t="s">
        <x:v>317</x:v>
      </x:c>
      <x:c r="D6" s="3" t="s">
        <x:v>240</x:v>
      </x:c>
      <x:c r="E6" s="3" t="s">
        <x:v>264</x:v>
      </x:c>
      <x:c r="F6" s="3" t="s">
        <x:v>318</x:v>
      </x:c>
      <x:c r="G6" s="3" t="s">
        <x:v>319</x:v>
      </x:c>
      <x:c r="H6" s="3" t="s">
        <x:v>319</x:v>
      </x:c>
      <x:c r="I6" s="3" t="s">
        <x:v>319</x:v>
      </x:c>
      <x:c r="J6" s="3" t="s">
        <x:v>320</x:v>
      </x:c>
      <x:c r="K6" s="3" t="s">
        <x:v>150</x:v>
      </x:c>
      <x:c r="L6" s="37" t="s">
        <x:v>319</x:v>
      </x:c>
      <x:c r="M6" s="37" t="s">
        <x:v>321</x:v>
      </x:c>
      <x:c r="N6" s="37" t="s">
        <x:v>319</x:v>
      </x:c>
      <x:c r="O6" s="36" t="s">
        <x:v>321</x:v>
      </x:c>
      <x:c r="P6" s="37" t="s">
        <x:v>151</x:v>
      </x:c>
      <x:c r="Q6" s="37" t="s">
        <x:v>151</x:v>
      </x:c>
      <x:c r="R6" s="37" t="s">
        <x:v>151</x:v>
      </x:c>
      <x:c r="S6" s="37" t="s">
        <x:v>152</x:v>
      </x:c>
      <x:c r="T6" s="36" t="s">
        <x:v>322</x:v>
      </x:c>
      <x:c r="U6" s="36" t="n">
        <x:f>IFERROR(O6*P6*Q6/R6*(1+S6)*T6,"")</x:f>
        <x:v>0.02054794520547945</x:v>
      </x:c>
      <x:c r="V6" s="33" t="s">
        <x:v>323</x:v>
      </x:c>
      <x:c r="W6" s="30">
        <x:v>46236.78357621528</x:v>
      </x:c>
      <x:c r="X6" s="30"/>
      <x:c r="Y6" s="3" t="s">
        <x:v>224</x:v>
      </x:c>
      <x:c r="Z6" s="3" t="s">
        <x:v>197</x:v>
      </x:c>
      <x:c r="AA6" s="17" t="s">
        <x:v>324</x:v>
      </x:c>
      <x:c r="AB6" s="33" t="str">
        <x:f>IF(A6="","",IF(COUNTIF($A$5:$A$1004,A6)&gt;1,"错误:重复成本规则ID",IF(OR(B6="",C6="",D6="",E6="",F6="",K6="",O6&lt;=0,P6&lt;=0,Q6&lt;=0,R6&lt;=0,S6&lt;0,T6&lt;=0,Y6="",Z6=""),"错误:必填项","OK")))</x:f>
        <x:v>OK</x:v>
      </x:c>
    </x:row>
    <x:row r="7" ht="39.599998474121094" hidden="1" customHeight="1">
      <x:c r="A7" s="3" t="s">
        <x:v>326</x:v>
      </x:c>
      <x:c r="B7" s="3" t="s">
        <x:v>194</x:v>
      </x:c>
      <x:c r="C7" s="3" t="s">
        <x:v>317</x:v>
      </x:c>
      <x:c r="D7" s="3" t="s">
        <x:v>244</x:v>
      </x:c>
      <x:c r="E7" s="3" t="s">
        <x:v>258</x:v>
      </x:c>
      <x:c r="F7" s="3" t="s">
        <x:v>318</x:v>
      </x:c>
      <x:c r="G7" s="3" t="s">
        <x:v>319</x:v>
      </x:c>
      <x:c r="H7" s="3" t="s">
        <x:v>319</x:v>
      </x:c>
      <x:c r="I7" s="3" t="s">
        <x:v>319</x:v>
      </x:c>
      <x:c r="J7" s="3" t="s">
        <x:v>320</x:v>
      </x:c>
      <x:c r="K7" s="3" t="s">
        <x:v>150</x:v>
      </x:c>
      <x:c r="L7" s="37" t="s">
        <x:v>319</x:v>
      </x:c>
      <x:c r="M7" s="37" t="s">
        <x:v>327</x:v>
      </x:c>
      <x:c r="N7" s="37" t="s">
        <x:v>319</x:v>
      </x:c>
      <x:c r="O7" s="36" t="s">
        <x:v>327</x:v>
      </x:c>
      <x:c r="P7" s="37" t="s">
        <x:v>151</x:v>
      </x:c>
      <x:c r="Q7" s="37" t="s">
        <x:v>151</x:v>
      </x:c>
      <x:c r="R7" s="37" t="s">
        <x:v>151</x:v>
      </x:c>
      <x:c r="S7" s="37" t="s">
        <x:v>152</x:v>
      </x:c>
      <x:c r="T7" s="36" t="s">
        <x:v>322</x:v>
      </x:c>
      <x:c r="U7" s="36" t="n">
        <x:f>IFERROR(O7*P7*Q7/R7*(1+S7)*T7,"")</x:f>
        <x:v>0.031506849315068496</x:v>
      </x:c>
      <x:c r="V7" s="33" t="s">
        <x:v>323</x:v>
      </x:c>
      <x:c r="W7" s="30">
        <x:v>46236.78357621528</x:v>
      </x:c>
      <x:c r="X7" s="30"/>
      <x:c r="Y7" s="3" t="s">
        <x:v>224</x:v>
      </x:c>
      <x:c r="Z7" s="3" t="s">
        <x:v>197</x:v>
      </x:c>
      <x:c r="AA7" s="17" t="s">
        <x:v>324</x:v>
      </x:c>
      <x:c r="AB7" s="33" t="str">
        <x:f>IF(A7="","",IF(COUNTIF($A$5:$A$1004,A7)&gt;1,"错误:重复成本规则ID",IF(OR(B7="",C7="",D7="",E7="",F7="",K7="",O7&lt;=0,P7&lt;=0,Q7&lt;=0,R7&lt;=0,S7&lt;0,T7&lt;=0,Y7="",Z7=""),"错误:必填项","OK")))</x:f>
        <x:v>OK</x:v>
      </x:c>
    </x:row>
    <x:row r="8" ht="39.599998474121094" hidden="1" customHeight="1">
      <x:c r="A8" s="3" t="s">
        <x:v>328</x:v>
      </x:c>
      <x:c r="B8" s="3" t="s">
        <x:v>194</x:v>
      </x:c>
      <x:c r="C8" s="3" t="s">
        <x:v>317</x:v>
      </x:c>
      <x:c r="D8" s="3" t="s">
        <x:v>244</x:v>
      </x:c>
      <x:c r="E8" s="3" t="s">
        <x:v>264</x:v>
      </x:c>
      <x:c r="F8" s="3" t="s">
        <x:v>318</x:v>
      </x:c>
      <x:c r="G8" s="3" t="s">
        <x:v>319</x:v>
      </x:c>
      <x:c r="H8" s="3" t="s">
        <x:v>319</x:v>
      </x:c>
      <x:c r="I8" s="3" t="s">
        <x:v>319</x:v>
      </x:c>
      <x:c r="J8" s="3" t="s">
        <x:v>320</x:v>
      </x:c>
      <x:c r="K8" s="3" t="s">
        <x:v>150</x:v>
      </x:c>
      <x:c r="L8" s="37" t="s">
        <x:v>319</x:v>
      </x:c>
      <x:c r="M8" s="37" t="s">
        <x:v>327</x:v>
      </x:c>
      <x:c r="N8" s="37" t="s">
        <x:v>319</x:v>
      </x:c>
      <x:c r="O8" s="36" t="s">
        <x:v>327</x:v>
      </x:c>
      <x:c r="P8" s="37" t="s">
        <x:v>151</x:v>
      </x:c>
      <x:c r="Q8" s="37" t="s">
        <x:v>151</x:v>
      </x:c>
      <x:c r="R8" s="37" t="s">
        <x:v>151</x:v>
      </x:c>
      <x:c r="S8" s="37" t="s">
        <x:v>152</x:v>
      </x:c>
      <x:c r="T8" s="36" t="s">
        <x:v>322</x:v>
      </x:c>
      <x:c r="U8" s="36" t="n">
        <x:f>IFERROR(O8*P8*Q8/R8*(1+S8)*T8,"")</x:f>
        <x:v>0.031506849315068496</x:v>
      </x:c>
      <x:c r="V8" s="33" t="s">
        <x:v>323</x:v>
      </x:c>
      <x:c r="W8" s="30">
        <x:v>46236.78357621528</x:v>
      </x:c>
      <x:c r="X8" s="30"/>
      <x:c r="Y8" s="3" t="s">
        <x:v>224</x:v>
      </x:c>
      <x:c r="Z8" s="3" t="s">
        <x:v>197</x:v>
      </x:c>
      <x:c r="AA8" s="17" t="s">
        <x:v>324</x:v>
      </x:c>
      <x:c r="AB8" s="33" t="str">
        <x:f>IF(A8="","",IF(COUNTIF($A$5:$A$1004,A8)&gt;1,"错误:重复成本规则ID",IF(OR(B8="",C8="",D8="",E8="",F8="",K8="",O8&lt;=0,P8&lt;=0,Q8&lt;=0,R8&lt;=0,S8&lt;0,T8&lt;=0,Y8="",Z8=""),"错误:必填项","OK")))</x:f>
        <x:v>OK</x:v>
      </x:c>
    </x:row>
    <x:row r="9" ht="39.599998474121094" hidden="1" customHeight="1">
      <x:c r="A9" s="3" t="s">
        <x:v>329</x:v>
      </x:c>
      <x:c r="B9" s="3" t="s">
        <x:v>194</x:v>
      </x:c>
      <x:c r="C9" s="3" t="s">
        <x:v>330</x:v>
      </x:c>
      <x:c r="D9" s="3" t="s">
        <x:v>240</x:v>
      </x:c>
      <x:c r="E9" s="3" t="s">
        <x:v>258</x:v>
      </x:c>
      <x:c r="F9" s="3" t="s">
        <x:v>331</x:v>
      </x:c>
      <x:c r="G9" s="3" t="s">
        <x:v>319</x:v>
      </x:c>
      <x:c r="H9" s="3" t="s">
        <x:v>319</x:v>
      </x:c>
      <x:c r="I9" s="3" t="s">
        <x:v>319</x:v>
      </x:c>
      <x:c r="J9" s="3" t="s">
        <x:v>320</x:v>
      </x:c>
      <x:c r="K9" s="3" t="s">
        <x:v>150</x:v>
      </x:c>
      <x:c r="L9" s="37" t="s">
        <x:v>332</x:v>
      </x:c>
      <x:c r="M9" s="37" t="s">
        <x:v>319</x:v>
      </x:c>
      <x:c r="N9" s="37" t="s">
        <x:v>319</x:v>
      </x:c>
      <x:c r="O9" s="36" t="s">
        <x:v>332</x:v>
      </x:c>
      <x:c r="P9" s="37" t="s">
        <x:v>151</x:v>
      </x:c>
      <x:c r="Q9" s="37" t="s">
        <x:v>151</x:v>
      </x:c>
      <x:c r="R9" s="37" t="s">
        <x:v>151</x:v>
      </x:c>
      <x:c r="S9" s="37" t="s">
        <x:v>152</x:v>
      </x:c>
      <x:c r="T9" s="36" t="s">
        <x:v>322</x:v>
      </x:c>
      <x:c r="U9" s="36" t="n">
        <x:f>IFERROR(O9*P9*Q9/R9*(1+S9)*T9,"")</x:f>
        <x:v>0.4794520547945205</x:v>
      </x:c>
      <x:c r="V9" s="33" t="s">
        <x:v>333</x:v>
      </x:c>
      <x:c r="W9" s="30">
        <x:v>46236.78357621528</x:v>
      </x:c>
      <x:c r="X9" s="30"/>
      <x:c r="Y9" s="3" t="s">
        <x:v>224</x:v>
      </x:c>
      <x:c r="Z9" s="3" t="s">
        <x:v>197</x:v>
      </x:c>
      <x:c r="AA9" s="17" t="s">
        <x:v>334</x:v>
      </x:c>
      <x:c r="AB9" s="33" t="str">
        <x:f>IF(A9="","",IF(COUNTIF($A$5:$A$1004,A9)&gt;1,"错误:重复成本规则ID",IF(OR(B9="",C9="",D9="",E9="",F9="",K9="",O9&lt;=0,P9&lt;=0,Q9&lt;=0,R9&lt;=0,S9&lt;0,T9&lt;=0,Y9="",Z9=""),"错误:必填项","OK")))</x:f>
        <x:v>OK</x:v>
      </x:c>
    </x:row>
    <x:row r="10" ht="39.599998474121094" hidden="1" customHeight="1">
      <x:c r="A10" s="3" t="s">
        <x:v>335</x:v>
      </x:c>
      <x:c r="B10" s="3" t="s">
        <x:v>194</x:v>
      </x:c>
      <x:c r="C10" s="3" t="s">
        <x:v>330</x:v>
      </x:c>
      <x:c r="D10" s="3" t="s">
        <x:v>240</x:v>
      </x:c>
      <x:c r="E10" s="3" t="s">
        <x:v>264</x:v>
      </x:c>
      <x:c r="F10" s="3" t="s">
        <x:v>331</x:v>
      </x:c>
      <x:c r="G10" s="3" t="s">
        <x:v>319</x:v>
      </x:c>
      <x:c r="H10" s="3" t="s">
        <x:v>319</x:v>
      </x:c>
      <x:c r="I10" s="3" t="s">
        <x:v>319</x:v>
      </x:c>
      <x:c r="J10" s="3" t="s">
        <x:v>320</x:v>
      </x:c>
      <x:c r="K10" s="3" t="s">
        <x:v>150</x:v>
      </x:c>
      <x:c r="L10" s="37" t="s">
        <x:v>332</x:v>
      </x:c>
      <x:c r="M10" s="37" t="s">
        <x:v>319</x:v>
      </x:c>
      <x:c r="N10" s="37" t="s">
        <x:v>319</x:v>
      </x:c>
      <x:c r="O10" s="36" t="s">
        <x:v>332</x:v>
      </x:c>
      <x:c r="P10" s="37" t="s">
        <x:v>151</x:v>
      </x:c>
      <x:c r="Q10" s="37" t="s">
        <x:v>151</x:v>
      </x:c>
      <x:c r="R10" s="37" t="s">
        <x:v>151</x:v>
      </x:c>
      <x:c r="S10" s="37" t="s">
        <x:v>152</x:v>
      </x:c>
      <x:c r="T10" s="36" t="s">
        <x:v>322</x:v>
      </x:c>
      <x:c r="U10" s="36" t="n">
        <x:f>IFERROR(O10*P10*Q10/R10*(1+S10)*T10,"")</x:f>
        <x:v>0.4794520547945205</x:v>
      </x:c>
      <x:c r="V10" s="33" t="s">
        <x:v>333</x:v>
      </x:c>
      <x:c r="W10" s="30">
        <x:v>46236.78357621528</x:v>
      </x:c>
      <x:c r="X10" s="30"/>
      <x:c r="Y10" s="3" t="s">
        <x:v>224</x:v>
      </x:c>
      <x:c r="Z10" s="3" t="s">
        <x:v>197</x:v>
      </x:c>
      <x:c r="AA10" s="17" t="s">
        <x:v>334</x:v>
      </x:c>
      <x:c r="AB10" s="33" t="str">
        <x:f>IF(A10="","",IF(COUNTIF($A$5:$A$1004,A10)&gt;1,"错误:重复成本规则ID",IF(OR(B10="",C10="",D10="",E10="",F10="",K10="",O10&lt;=0,P10&lt;=0,Q10&lt;=0,R10&lt;=0,S10&lt;0,T10&lt;=0,Y10="",Z10=""),"错误:必填项","OK")))</x:f>
        <x:v>OK</x:v>
      </x:c>
    </x:row>
    <x:row r="11" ht="39.599998474121094" hidden="1" customHeight="1">
      <x:c r="A11" s="3" t="s">
        <x:v>336</x:v>
      </x:c>
      <x:c r="B11" s="3" t="s">
        <x:v>194</x:v>
      </x:c>
      <x:c r="C11" s="3" t="s">
        <x:v>330</x:v>
      </x:c>
      <x:c r="D11" s="3" t="s">
        <x:v>244</x:v>
      </x:c>
      <x:c r="E11" s="3" t="s">
        <x:v>258</x:v>
      </x:c>
      <x:c r="F11" s="3" t="s">
        <x:v>331</x:v>
      </x:c>
      <x:c r="G11" s="3" t="s">
        <x:v>319</x:v>
      </x:c>
      <x:c r="H11" s="3" t="s">
        <x:v>319</x:v>
      </x:c>
      <x:c r="I11" s="3" t="s">
        <x:v>319</x:v>
      </x:c>
      <x:c r="J11" s="3" t="s">
        <x:v>320</x:v>
      </x:c>
      <x:c r="K11" s="3" t="s">
        <x:v>150</x:v>
      </x:c>
      <x:c r="L11" s="37" t="s">
        <x:v>337</x:v>
      </x:c>
      <x:c r="M11" s="37" t="s">
        <x:v>319</x:v>
      </x:c>
      <x:c r="N11" s="37" t="s">
        <x:v>319</x:v>
      </x:c>
      <x:c r="O11" s="36" t="s">
        <x:v>337</x:v>
      </x:c>
      <x:c r="P11" s="37" t="s">
        <x:v>151</x:v>
      </x:c>
      <x:c r="Q11" s="37" t="s">
        <x:v>151</x:v>
      </x:c>
      <x:c r="R11" s="37" t="s">
        <x:v>151</x:v>
      </x:c>
      <x:c r="S11" s="37" t="s">
        <x:v>152</x:v>
      </x:c>
      <x:c r="T11" s="36" t="s">
        <x:v>322</x:v>
      </x:c>
      <x:c r="U11" s="36" t="n">
        <x:f>IFERROR(O11*P11*Q11/R11*(1+S11)*T11,"")</x:f>
        <x:v>0.8630136986301369</x:v>
      </x:c>
      <x:c r="V11" s="33" t="s">
        <x:v>333</x:v>
      </x:c>
      <x:c r="W11" s="30">
        <x:v>46236.78357621528</x:v>
      </x:c>
      <x:c r="X11" s="30"/>
      <x:c r="Y11" s="3" t="s">
        <x:v>224</x:v>
      </x:c>
      <x:c r="Z11" s="3" t="s">
        <x:v>197</x:v>
      </x:c>
      <x:c r="AA11" s="17" t="s">
        <x:v>334</x:v>
      </x:c>
      <x:c r="AB11" s="33" t="str">
        <x:f>IF(A11="","",IF(COUNTIF($A$5:$A$1004,A11)&gt;1,"错误:重复成本规则ID",IF(OR(B11="",C11="",D11="",E11="",F11="",K11="",O11&lt;=0,P11&lt;=0,Q11&lt;=0,R11&lt;=0,S11&lt;0,T11&lt;=0,Y11="",Z11=""),"错误:必填项","OK")))</x:f>
        <x:v>OK</x:v>
      </x:c>
    </x:row>
    <x:row r="12" ht="39.599998474121094" hidden="1" customHeight="1">
      <x:c r="A12" s="3" t="s">
        <x:v>338</x:v>
      </x:c>
      <x:c r="B12" s="3" t="s">
        <x:v>194</x:v>
      </x:c>
      <x:c r="C12" s="3" t="s">
        <x:v>330</x:v>
      </x:c>
      <x:c r="D12" s="3" t="s">
        <x:v>244</x:v>
      </x:c>
      <x:c r="E12" s="3" t="s">
        <x:v>264</x:v>
      </x:c>
      <x:c r="F12" s="3" t="s">
        <x:v>331</x:v>
      </x:c>
      <x:c r="G12" s="3" t="s">
        <x:v>319</x:v>
      </x:c>
      <x:c r="H12" s="3" t="s">
        <x:v>319</x:v>
      </x:c>
      <x:c r="I12" s="3" t="s">
        <x:v>319</x:v>
      </x:c>
      <x:c r="J12" s="3" t="s">
        <x:v>320</x:v>
      </x:c>
      <x:c r="K12" s="3" t="s">
        <x:v>150</x:v>
      </x:c>
      <x:c r="L12" s="37" t="s">
        <x:v>337</x:v>
      </x:c>
      <x:c r="M12" s="37" t="s">
        <x:v>319</x:v>
      </x:c>
      <x:c r="N12" s="37" t="s">
        <x:v>319</x:v>
      </x:c>
      <x:c r="O12" s="36" t="s">
        <x:v>337</x:v>
      </x:c>
      <x:c r="P12" s="37" t="s">
        <x:v>151</x:v>
      </x:c>
      <x:c r="Q12" s="37" t="s">
        <x:v>151</x:v>
      </x:c>
      <x:c r="R12" s="37" t="s">
        <x:v>151</x:v>
      </x:c>
      <x:c r="S12" s="37" t="s">
        <x:v>152</x:v>
      </x:c>
      <x:c r="T12" s="36" t="s">
        <x:v>322</x:v>
      </x:c>
      <x:c r="U12" s="36" t="n">
        <x:f>IFERROR(O12*P12*Q12/R12*(1+S12)*T12,"")</x:f>
        <x:v>0.8630136986301369</x:v>
      </x:c>
      <x:c r="V12" s="33" t="s">
        <x:v>333</x:v>
      </x:c>
      <x:c r="W12" s="30">
        <x:v>46236.78357621528</x:v>
      </x:c>
      <x:c r="X12" s="30"/>
      <x:c r="Y12" s="3" t="s">
        <x:v>224</x:v>
      </x:c>
      <x:c r="Z12" s="3" t="s">
        <x:v>197</x:v>
      </x:c>
      <x:c r="AA12" s="17" t="s">
        <x:v>334</x:v>
      </x:c>
      <x:c r="AB12" s="33" t="str">
        <x:f>IF(A12="","",IF(COUNTIF($A$5:$A$1004,A12)&gt;1,"错误:重复成本规则ID",IF(OR(B12="",C12="",D12="",E12="",F12="",K12="",O12&lt;=0,P12&lt;=0,Q12&lt;=0,R12&lt;=0,S12&lt;0,T12&lt;=0,Y12="",Z12=""),"错误:必填项","OK")))</x:f>
        <x:v>OK</x:v>
      </x:c>
    </x:row>
    <x:row r="13" ht="52.79999923706055" hidden="1" customHeight="1">
      <x:c r="A13" s="3" t="s">
        <x:v>339</x:v>
      </x:c>
      <x:c r="B13" s="3" t="s">
        <x:v>194</x:v>
      </x:c>
      <x:c r="C13" s="3" t="s">
        <x:v>340</x:v>
      </x:c>
      <x:c r="D13" s="3" t="s">
        <x:v>234</x:v>
      </x:c>
      <x:c r="E13" s="3" t="s">
        <x:v>258</x:v>
      </x:c>
      <x:c r="F13" s="3" t="s">
        <x:v>331</x:v>
      </x:c>
      <x:c r="G13" s="3" t="s">
        <x:v>319</x:v>
      </x:c>
      <x:c r="H13" s="3" t="s">
        <x:v>319</x:v>
      </x:c>
      <x:c r="I13" s="3" t="s">
        <x:v>319</x:v>
      </x:c>
      <x:c r="J13" s="3" t="s">
        <x:v>320</x:v>
      </x:c>
      <x:c r="K13" s="3" t="s">
        <x:v>150</x:v>
      </x:c>
      <x:c r="L13" s="37" t="s">
        <x:v>341</x:v>
      </x:c>
      <x:c r="M13" s="37" t="s">
        <x:v>319</x:v>
      </x:c>
      <x:c r="N13" s="37" t="s">
        <x:v>319</x:v>
      </x:c>
      <x:c r="O13" s="36" t="s">
        <x:v>341</x:v>
      </x:c>
      <x:c r="P13" s="37" t="s">
        <x:v>151</x:v>
      </x:c>
      <x:c r="Q13" s="37" t="s">
        <x:v>151</x:v>
      </x:c>
      <x:c r="R13" s="37" t="s">
        <x:v>151</x:v>
      </x:c>
      <x:c r="S13" s="37" t="s">
        <x:v>152</x:v>
      </x:c>
      <x:c r="T13" s="36" t="s">
        <x:v>322</x:v>
      </x:c>
      <x:c r="U13" s="36" t="n">
        <x:f>IFERROR(O13*P13*Q13/R13*(1+S13)*T13,"")</x:f>
        <x:v>0.3698630136986301</x:v>
      </x:c>
      <x:c r="V13" s="33" t="s">
        <x:v>333</x:v>
      </x:c>
      <x:c r="W13" s="30">
        <x:v>46236.78357621528</x:v>
      </x:c>
      <x:c r="X13" s="30"/>
      <x:c r="Y13" s="3" t="s">
        <x:v>224</x:v>
      </x:c>
      <x:c r="Z13" s="3" t="s">
        <x:v>197</x:v>
      </x:c>
      <x:c r="AA13" s="17" t="s">
        <x:v>342</x:v>
      </x:c>
      <x:c r="AB13" s="33" t="str">
        <x:f>IF(A13="","",IF(COUNTIF($A$5:$A$1004,A13)&gt;1,"错误:重复成本规则ID",IF(OR(B13="",C13="",D13="",E13="",F13="",K13="",O13&lt;=0,P13&lt;=0,Q13&lt;=0,R13&lt;=0,S13&lt;0,T13&lt;=0,Y13="",Z13=""),"错误:必填项","OK")))</x:f>
        <x:v>OK</x:v>
      </x:c>
    </x:row>
    <x:row r="14" ht="52.79999923706055" hidden="1" customHeight="1">
      <x:c r="A14" s="3" t="s">
        <x:v>343</x:v>
      </x:c>
      <x:c r="B14" s="3" t="s">
        <x:v>194</x:v>
      </x:c>
      <x:c r="C14" s="3" t="s">
        <x:v>340</x:v>
      </x:c>
      <x:c r="D14" s="3" t="s">
        <x:v>234</x:v>
      </x:c>
      <x:c r="E14" s="3" t="s">
        <x:v>264</x:v>
      </x:c>
      <x:c r="F14" s="3" t="s">
        <x:v>331</x:v>
      </x:c>
      <x:c r="G14" s="3" t="s">
        <x:v>319</x:v>
      </x:c>
      <x:c r="H14" s="3" t="s">
        <x:v>319</x:v>
      </x:c>
      <x:c r="I14" s="3" t="s">
        <x:v>319</x:v>
      </x:c>
      <x:c r="J14" s="3" t="s">
        <x:v>320</x:v>
      </x:c>
      <x:c r="K14" s="3" t="s">
        <x:v>150</x:v>
      </x:c>
      <x:c r="L14" s="37" t="s">
        <x:v>341</x:v>
      </x:c>
      <x:c r="M14" s="37" t="s">
        <x:v>319</x:v>
      </x:c>
      <x:c r="N14" s="37" t="s">
        <x:v>319</x:v>
      </x:c>
      <x:c r="O14" s="36" t="s">
        <x:v>341</x:v>
      </x:c>
      <x:c r="P14" s="37" t="s">
        <x:v>151</x:v>
      </x:c>
      <x:c r="Q14" s="37" t="s">
        <x:v>151</x:v>
      </x:c>
      <x:c r="R14" s="37" t="s">
        <x:v>151</x:v>
      </x:c>
      <x:c r="S14" s="37" t="s">
        <x:v>152</x:v>
      </x:c>
      <x:c r="T14" s="36" t="s">
        <x:v>322</x:v>
      </x:c>
      <x:c r="U14" s="36" t="n">
        <x:f>IFERROR(O14*P14*Q14/R14*(1+S14)*T14,"")</x:f>
        <x:v>0.3698630136986301</x:v>
      </x:c>
      <x:c r="V14" s="33" t="s">
        <x:v>333</x:v>
      </x:c>
      <x:c r="W14" s="30">
        <x:v>46236.78357621528</x:v>
      </x:c>
      <x:c r="X14" s="30"/>
      <x:c r="Y14" s="3" t="s">
        <x:v>224</x:v>
      </x:c>
      <x:c r="Z14" s="3" t="s">
        <x:v>197</x:v>
      </x:c>
      <x:c r="AA14" s="17" t="s">
        <x:v>342</x:v>
      </x:c>
      <x:c r="AB14" s="33" t="str">
        <x:f>IF(A14="","",IF(COUNTIF($A$5:$A$1004,A14)&gt;1,"错误:重复成本规则ID",IF(OR(B14="",C14="",D14="",E14="",F14="",K14="",O14&lt;=0,P14&lt;=0,Q14&lt;=0,R14&lt;=0,S14&lt;0,T14&lt;=0,Y14="",Z14=""),"错误:必填项","OK")))</x:f>
        <x:v>OK</x:v>
      </x:c>
    </x:row>
    <x:row r="15" ht="52.79999923706055" hidden="1" customHeight="1">
      <x:c r="A15" s="3" t="s">
        <x:v>344</x:v>
      </x:c>
      <x:c r="B15" s="3" t="s">
        <x:v>194</x:v>
      </x:c>
      <x:c r="C15" s="3" t="s">
        <x:v>340</x:v>
      </x:c>
      <x:c r="D15" s="3" t="s">
        <x:v>238</x:v>
      </x:c>
      <x:c r="E15" s="3" t="s">
        <x:v>258</x:v>
      </x:c>
      <x:c r="F15" s="3" t="s">
        <x:v>331</x:v>
      </x:c>
      <x:c r="G15" s="3" t="s">
        <x:v>319</x:v>
      </x:c>
      <x:c r="H15" s="3" t="s">
        <x:v>319</x:v>
      </x:c>
      <x:c r="I15" s="3" t="s">
        <x:v>319</x:v>
      </x:c>
      <x:c r="J15" s="3" t="s">
        <x:v>320</x:v>
      </x:c>
      <x:c r="K15" s="3" t="s">
        <x:v>150</x:v>
      </x:c>
      <x:c r="L15" s="37" t="s">
        <x:v>345</x:v>
      </x:c>
      <x:c r="M15" s="37" t="s">
        <x:v>319</x:v>
      </x:c>
      <x:c r="N15" s="37" t="s">
        <x:v>319</x:v>
      </x:c>
      <x:c r="O15" s="36" t="s">
        <x:v>345</x:v>
      </x:c>
      <x:c r="P15" s="37" t="s">
        <x:v>151</x:v>
      </x:c>
      <x:c r="Q15" s="37" t="s">
        <x:v>151</x:v>
      </x:c>
      <x:c r="R15" s="37" t="s">
        <x:v>151</x:v>
      </x:c>
      <x:c r="S15" s="37" t="s">
        <x:v>152</x:v>
      </x:c>
      <x:c r="T15" s="36" t="s">
        <x:v>322</x:v>
      </x:c>
      <x:c r="U15" s="36" t="n">
        <x:f>IFERROR(O15*P15*Q15/R15*(1+S15)*T15,"")</x:f>
        <x:v>0.6164383561643836</x:v>
      </x:c>
      <x:c r="V15" s="33" t="s">
        <x:v>333</x:v>
      </x:c>
      <x:c r="W15" s="30">
        <x:v>46236.78357621528</x:v>
      </x:c>
      <x:c r="X15" s="30"/>
      <x:c r="Y15" s="3" t="s">
        <x:v>224</x:v>
      </x:c>
      <x:c r="Z15" s="3" t="s">
        <x:v>197</x:v>
      </x:c>
      <x:c r="AA15" s="17" t="s">
        <x:v>342</x:v>
      </x:c>
      <x:c r="AB15" s="33" t="str">
        <x:f>IF(A15="","",IF(COUNTIF($A$5:$A$1004,A15)&gt;1,"错误:重复成本规则ID",IF(OR(B15="",C15="",D15="",E15="",F15="",K15="",O15&lt;=0,P15&lt;=0,Q15&lt;=0,R15&lt;=0,S15&lt;0,T15&lt;=0,Y15="",Z15=""),"错误:必填项","OK")))</x:f>
        <x:v>OK</x:v>
      </x:c>
    </x:row>
    <x:row r="16" ht="52.79999923706055" hidden="1" customHeight="1">
      <x:c r="A16" s="3" t="s">
        <x:v>346</x:v>
      </x:c>
      <x:c r="B16" s="3" t="s">
        <x:v>194</x:v>
      </x:c>
      <x:c r="C16" s="3" t="s">
        <x:v>340</x:v>
      </x:c>
      <x:c r="D16" s="3" t="s">
        <x:v>238</x:v>
      </x:c>
      <x:c r="E16" s="3" t="s">
        <x:v>264</x:v>
      </x:c>
      <x:c r="F16" s="3" t="s">
        <x:v>331</x:v>
      </x:c>
      <x:c r="G16" s="3" t="s">
        <x:v>319</x:v>
      </x:c>
      <x:c r="H16" s="3" t="s">
        <x:v>319</x:v>
      </x:c>
      <x:c r="I16" s="3" t="s">
        <x:v>319</x:v>
      </x:c>
      <x:c r="J16" s="3" t="s">
        <x:v>320</x:v>
      </x:c>
      <x:c r="K16" s="3" t="s">
        <x:v>150</x:v>
      </x:c>
      <x:c r="L16" s="37" t="s">
        <x:v>345</x:v>
      </x:c>
      <x:c r="M16" s="37" t="s">
        <x:v>319</x:v>
      </x:c>
      <x:c r="N16" s="37" t="s">
        <x:v>319</x:v>
      </x:c>
      <x:c r="O16" s="36" t="s">
        <x:v>345</x:v>
      </x:c>
      <x:c r="P16" s="37" t="s">
        <x:v>151</x:v>
      </x:c>
      <x:c r="Q16" s="37" t="s">
        <x:v>151</x:v>
      </x:c>
      <x:c r="R16" s="37" t="s">
        <x:v>151</x:v>
      </x:c>
      <x:c r="S16" s="37" t="s">
        <x:v>152</x:v>
      </x:c>
      <x:c r="T16" s="36" t="s">
        <x:v>322</x:v>
      </x:c>
      <x:c r="U16" s="36" t="n">
        <x:f>IFERROR(O16*P16*Q16/R16*(1+S16)*T16,"")</x:f>
        <x:v>0.6164383561643836</x:v>
      </x:c>
      <x:c r="V16" s="33" t="s">
        <x:v>333</x:v>
      </x:c>
      <x:c r="W16" s="30">
        <x:v>46236.78357621528</x:v>
      </x:c>
      <x:c r="X16" s="30"/>
      <x:c r="Y16" s="3" t="s">
        <x:v>224</x:v>
      </x:c>
      <x:c r="Z16" s="3" t="s">
        <x:v>197</x:v>
      </x:c>
      <x:c r="AA16" s="17" t="s">
        <x:v>342</x:v>
      </x:c>
      <x:c r="AB16" s="33" t="str">
        <x:f>IF(A16="","",IF(COUNTIF($A$5:$A$1004,A16)&gt;1,"错误:重复成本规则ID",IF(OR(B16="",C16="",D16="",E16="",F16="",K16="",O16&lt;=0,P16&lt;=0,Q16&lt;=0,R16&lt;=0,S16&lt;0,T16&lt;=0,Y16="",Z16=""),"错误:必填项","OK")))</x:f>
        <x:v>OK</x:v>
      </x:c>
    </x:row>
    <x:row r="17" ht="52.79999923706055" hidden="1" customHeight="1">
      <x:c r="A17" s="3" t="s">
        <x:v>347</x:v>
      </x:c>
      <x:c r="B17" s="3" t="s">
        <x:v>194</x:v>
      </x:c>
      <x:c r="C17" s="3" t="s">
        <x:v>340</x:v>
      </x:c>
      <x:c r="D17" s="3" t="s">
        <x:v>234</x:v>
      </x:c>
      <x:c r="E17" s="3" t="s">
        <x:v>258</x:v>
      </x:c>
      <x:c r="F17" s="3" t="s">
        <x:v>318</x:v>
      </x:c>
      <x:c r="G17" s="3" t="s">
        <x:v>319</x:v>
      </x:c>
      <x:c r="H17" s="3" t="s">
        <x:v>319</x:v>
      </x:c>
      <x:c r="I17" s="3" t="s">
        <x:v>319</x:v>
      </x:c>
      <x:c r="J17" s="3" t="s">
        <x:v>320</x:v>
      </x:c>
      <x:c r="K17" s="3" t="s">
        <x:v>150</x:v>
      </x:c>
      <x:c r="L17" s="37" t="s">
        <x:v>319</x:v>
      </x:c>
      <x:c r="M17" s="37" t="s">
        <x:v>348</x:v>
      </x:c>
      <x:c r="N17" s="37" t="s">
        <x:v>319</x:v>
      </x:c>
      <x:c r="O17" s="36" t="s">
        <x:v>348</x:v>
      </x:c>
      <x:c r="P17" s="37" t="s">
        <x:v>151</x:v>
      </x:c>
      <x:c r="Q17" s="37" t="s">
        <x:v>151</x:v>
      </x:c>
      <x:c r="R17" s="37" t="s">
        <x:v>151</x:v>
      </x:c>
      <x:c r="S17" s="37" t="s">
        <x:v>152</x:v>
      </x:c>
      <x:c r="T17" s="36" t="s">
        <x:v>322</x:v>
      </x:c>
      <x:c r="U17" s="36" t="n">
        <x:f>IFERROR(O17*P17*Q17/R17*(1+S17)*T17,"")</x:f>
        <x:v>0.03287671232876712</x:v>
      </x:c>
      <x:c r="V17" s="33" t="s">
        <x:v>323</x:v>
      </x:c>
      <x:c r="W17" s="30">
        <x:v>46236.78357621528</x:v>
      </x:c>
      <x:c r="X17" s="30"/>
      <x:c r="Y17" s="3" t="s">
        <x:v>224</x:v>
      </x:c>
      <x:c r="Z17" s="3" t="s">
        <x:v>197</x:v>
      </x:c>
      <x:c r="AA17" s="17" t="s">
        <x:v>342</x:v>
      </x:c>
      <x:c r="AB17" s="33" t="str">
        <x:f>IF(A17="","",IF(COUNTIF($A$5:$A$1004,A17)&gt;1,"错误:重复成本规则ID",IF(OR(B17="",C17="",D17="",E17="",F17="",K17="",O17&lt;=0,P17&lt;=0,Q17&lt;=0,R17&lt;=0,S17&lt;0,T17&lt;=0,Y17="",Z17=""),"错误:必填项","OK")))</x:f>
        <x:v>OK</x:v>
      </x:c>
    </x:row>
    <x:row r="18" ht="52.79999923706055" hidden="1" customHeight="1">
      <x:c r="A18" s="3" t="s">
        <x:v>349</x:v>
      </x:c>
      <x:c r="B18" s="3" t="s">
        <x:v>194</x:v>
      </x:c>
      <x:c r="C18" s="3" t="s">
        <x:v>340</x:v>
      </x:c>
      <x:c r="D18" s="3" t="s">
        <x:v>234</x:v>
      </x:c>
      <x:c r="E18" s="3" t="s">
        <x:v>264</x:v>
      </x:c>
      <x:c r="F18" s="3" t="s">
        <x:v>318</x:v>
      </x:c>
      <x:c r="G18" s="3" t="s">
        <x:v>319</x:v>
      </x:c>
      <x:c r="H18" s="3" t="s">
        <x:v>319</x:v>
      </x:c>
      <x:c r="I18" s="3" t="s">
        <x:v>319</x:v>
      </x:c>
      <x:c r="J18" s="3" t="s">
        <x:v>320</x:v>
      </x:c>
      <x:c r="K18" s="3" t="s">
        <x:v>150</x:v>
      </x:c>
      <x:c r="L18" s="37" t="s">
        <x:v>319</x:v>
      </x:c>
      <x:c r="M18" s="37" t="s">
        <x:v>348</x:v>
      </x:c>
      <x:c r="N18" s="37" t="s">
        <x:v>319</x:v>
      </x:c>
      <x:c r="O18" s="36" t="s">
        <x:v>348</x:v>
      </x:c>
      <x:c r="P18" s="37" t="s">
        <x:v>151</x:v>
      </x:c>
      <x:c r="Q18" s="37" t="s">
        <x:v>151</x:v>
      </x:c>
      <x:c r="R18" s="37" t="s">
        <x:v>151</x:v>
      </x:c>
      <x:c r="S18" s="37" t="s">
        <x:v>152</x:v>
      </x:c>
      <x:c r="T18" s="36" t="s">
        <x:v>322</x:v>
      </x:c>
      <x:c r="U18" s="36" t="n">
        <x:f>IFERROR(O18*P18*Q18/R18*(1+S18)*T18,"")</x:f>
        <x:v>0.03287671232876712</x:v>
      </x:c>
      <x:c r="V18" s="33" t="s">
        <x:v>323</x:v>
      </x:c>
      <x:c r="W18" s="30">
        <x:v>46236.78357621528</x:v>
      </x:c>
      <x:c r="X18" s="30"/>
      <x:c r="Y18" s="3" t="s">
        <x:v>224</x:v>
      </x:c>
      <x:c r="Z18" s="3" t="s">
        <x:v>197</x:v>
      </x:c>
      <x:c r="AA18" s="17" t="s">
        <x:v>342</x:v>
      </x:c>
      <x:c r="AB18" s="33" t="str">
        <x:f>IF(A18="","",IF(COUNTIF($A$5:$A$1004,A18)&gt;1,"错误:重复成本规则ID",IF(OR(B18="",C18="",D18="",E18="",F18="",K18="",O18&lt;=0,P18&lt;=0,Q18&lt;=0,R18&lt;=0,S18&lt;0,T18&lt;=0,Y18="",Z18=""),"错误:必填项","OK")))</x:f>
        <x:v>OK</x:v>
      </x:c>
    </x:row>
    <x:row r="19" ht="52.79999923706055" hidden="1" customHeight="1">
      <x:c r="A19" s="3" t="s">
        <x:v>350</x:v>
      </x:c>
      <x:c r="B19" s="3" t="s">
        <x:v>194</x:v>
      </x:c>
      <x:c r="C19" s="3" t="s">
        <x:v>340</x:v>
      </x:c>
      <x:c r="D19" s="3" t="s">
        <x:v>238</x:v>
      </x:c>
      <x:c r="E19" s="3" t="s">
        <x:v>258</x:v>
      </x:c>
      <x:c r="F19" s="3" t="s">
        <x:v>318</x:v>
      </x:c>
      <x:c r="G19" s="3" t="s">
        <x:v>319</x:v>
      </x:c>
      <x:c r="H19" s="3" t="s">
        <x:v>319</x:v>
      </x:c>
      <x:c r="I19" s="3" t="s">
        <x:v>319</x:v>
      </x:c>
      <x:c r="J19" s="3" t="s">
        <x:v>320</x:v>
      </x:c>
      <x:c r="K19" s="3" t="s">
        <x:v>150</x:v>
      </x:c>
      <x:c r="L19" s="37" t="s">
        <x:v>319</x:v>
      </x:c>
      <x:c r="M19" s="37" t="s">
        <x:v>351</x:v>
      </x:c>
      <x:c r="N19" s="37" t="s">
        <x:v>319</x:v>
      </x:c>
      <x:c r="O19" s="36" t="s">
        <x:v>351</x:v>
      </x:c>
      <x:c r="P19" s="37" t="s">
        <x:v>151</x:v>
      </x:c>
      <x:c r="Q19" s="37" t="s">
        <x:v>151</x:v>
      </x:c>
      <x:c r="R19" s="37" t="s">
        <x:v>151</x:v>
      </x:c>
      <x:c r="S19" s="37" t="s">
        <x:v>152</x:v>
      </x:c>
      <x:c r="T19" s="36" t="s">
        <x:v>322</x:v>
      </x:c>
      <x:c r="U19" s="36" t="n">
        <x:f>IFERROR(O19*P19*Q19/R19*(1+S19)*T19,"")</x:f>
        <x:v>0.05753424657534246</x:v>
      </x:c>
      <x:c r="V19" s="33" t="s">
        <x:v>323</x:v>
      </x:c>
      <x:c r="W19" s="30">
        <x:v>46236.78357621528</x:v>
      </x:c>
      <x:c r="X19" s="30"/>
      <x:c r="Y19" s="3" t="s">
        <x:v>224</x:v>
      </x:c>
      <x:c r="Z19" s="3" t="s">
        <x:v>197</x:v>
      </x:c>
      <x:c r="AA19" s="17" t="s">
        <x:v>342</x:v>
      </x:c>
      <x:c r="AB19" s="33" t="str">
        <x:f>IF(A19="","",IF(COUNTIF($A$5:$A$1004,A19)&gt;1,"错误:重复成本规则ID",IF(OR(B19="",C19="",D19="",E19="",F19="",K19="",O19&lt;=0,P19&lt;=0,Q19&lt;=0,R19&lt;=0,S19&lt;0,T19&lt;=0,Y19="",Z19=""),"错误:必填项","OK")))</x:f>
        <x:v>OK</x:v>
      </x:c>
    </x:row>
    <x:row r="20" ht="52.79999923706055" hidden="1" customHeight="1">
      <x:c r="A20" s="3" t="s">
        <x:v>352</x:v>
      </x:c>
      <x:c r="B20" s="3" t="s">
        <x:v>194</x:v>
      </x:c>
      <x:c r="C20" s="3" t="s">
        <x:v>340</x:v>
      </x:c>
      <x:c r="D20" s="3" t="s">
        <x:v>238</x:v>
      </x:c>
      <x:c r="E20" s="3" t="s">
        <x:v>264</x:v>
      </x:c>
      <x:c r="F20" s="3" t="s">
        <x:v>318</x:v>
      </x:c>
      <x:c r="G20" s="3" t="s">
        <x:v>319</x:v>
      </x:c>
      <x:c r="H20" s="3" t="s">
        <x:v>319</x:v>
      </x:c>
      <x:c r="I20" s="3" t="s">
        <x:v>319</x:v>
      </x:c>
      <x:c r="J20" s="3" t="s">
        <x:v>320</x:v>
      </x:c>
      <x:c r="K20" s="3" t="s">
        <x:v>150</x:v>
      </x:c>
      <x:c r="L20" s="37" t="s">
        <x:v>319</x:v>
      </x:c>
      <x:c r="M20" s="37" t="s">
        <x:v>351</x:v>
      </x:c>
      <x:c r="N20" s="37" t="s">
        <x:v>319</x:v>
      </x:c>
      <x:c r="O20" s="36" t="s">
        <x:v>351</x:v>
      </x:c>
      <x:c r="P20" s="37" t="s">
        <x:v>151</x:v>
      </x:c>
      <x:c r="Q20" s="37" t="s">
        <x:v>151</x:v>
      </x:c>
      <x:c r="R20" s="37" t="s">
        <x:v>151</x:v>
      </x:c>
      <x:c r="S20" s="37" t="s">
        <x:v>152</x:v>
      </x:c>
      <x:c r="T20" s="36" t="s">
        <x:v>322</x:v>
      </x:c>
      <x:c r="U20" s="36" t="n">
        <x:f>IFERROR(O20*P20*Q20/R20*(1+S20)*T20,"")</x:f>
        <x:v>0.05753424657534246</x:v>
      </x:c>
      <x:c r="V20" s="33" t="s">
        <x:v>323</x:v>
      </x:c>
      <x:c r="W20" s="30">
        <x:v>46236.78357621528</x:v>
      </x:c>
      <x:c r="X20" s="30"/>
      <x:c r="Y20" s="3" t="s">
        <x:v>224</x:v>
      </x:c>
      <x:c r="Z20" s="3" t="s">
        <x:v>197</x:v>
      </x:c>
      <x:c r="AA20" s="17" t="s">
        <x:v>342</x:v>
      </x:c>
      <x:c r="AB20" s="33" t="str">
        <x:f>IF(A20="","",IF(COUNTIF($A$5:$A$1004,A20)&gt;1,"错误:重复成本规则ID",IF(OR(B20="",C20="",D20="",E20="",F20="",K20="",O20&lt;=0,P20&lt;=0,Q20&lt;=0,R20&lt;=0,S20&lt;0,T20&lt;=0,Y20="",Z20=""),"错误:必填项","OK")))</x:f>
        <x:v>OK</x:v>
      </x:c>
    </x:row>
    <x:row r="21" ht="52.79999923706055" hidden="1" customHeight="1">
      <x:c r="A21" s="3" t="s">
        <x:v>353</x:v>
      </x:c>
      <x:c r="B21" s="3" t="s">
        <x:v>194</x:v>
      </x:c>
      <x:c r="C21" s="3" t="s">
        <x:v>354</x:v>
      </x:c>
      <x:c r="D21" s="3" t="s">
        <x:v>234</x:v>
      </x:c>
      <x:c r="E21" s="3" t="s">
        <x:v>258</x:v>
      </x:c>
      <x:c r="F21" s="3" t="s">
        <x:v>331</x:v>
      </x:c>
      <x:c r="G21" s="3" t="s">
        <x:v>319</x:v>
      </x:c>
      <x:c r="H21" s="3" t="s">
        <x:v>319</x:v>
      </x:c>
      <x:c r="I21" s="3" t="s">
        <x:v>319</x:v>
      </x:c>
      <x:c r="J21" s="3" t="s">
        <x:v>320</x:v>
      </x:c>
      <x:c r="K21" s="3" t="s">
        <x:v>150</x:v>
      </x:c>
      <x:c r="L21" s="37" t="s">
        <x:v>355</x:v>
      </x:c>
      <x:c r="M21" s="37" t="s">
        <x:v>319</x:v>
      </x:c>
      <x:c r="N21" s="37" t="s">
        <x:v>319</x:v>
      </x:c>
      <x:c r="O21" s="36" t="s">
        <x:v>355</x:v>
      </x:c>
      <x:c r="P21" s="37" t="s">
        <x:v>151</x:v>
      </x:c>
      <x:c r="Q21" s="37" t="s">
        <x:v>151</x:v>
      </x:c>
      <x:c r="R21" s="37" t="s">
        <x:v>151</x:v>
      </x:c>
      <x:c r="S21" s="37" t="s">
        <x:v>152</x:v>
      </x:c>
      <x:c r="T21" s="36" t="s">
        <x:v>322</x:v>
      </x:c>
      <x:c r="U21" s="36" t="n">
        <x:f>IFERROR(O21*P21*Q21/R21*(1+S21)*T21,"")</x:f>
        <x:v>0.9863013698630136</x:v>
      </x:c>
      <x:c r="V21" s="33" t="s">
        <x:v>333</x:v>
      </x:c>
      <x:c r="W21" s="30">
        <x:v>46236.78357621528</x:v>
      </x:c>
      <x:c r="X21" s="30"/>
      <x:c r="Y21" s="3" t="s">
        <x:v>224</x:v>
      </x:c>
      <x:c r="Z21" s="3" t="s">
        <x:v>197</x:v>
      </x:c>
      <x:c r="AA21" s="17" t="s">
        <x:v>356</x:v>
      </x:c>
      <x:c r="AB21" s="33" t="str">
        <x:f>IF(A21="","",IF(COUNTIF($A$5:$A$1004,A21)&gt;1,"错误:重复成本规则ID",IF(OR(B21="",C21="",D21="",E21="",F21="",K21="",O21&lt;=0,P21&lt;=0,Q21&lt;=0,R21&lt;=0,S21&lt;0,T21&lt;=0,Y21="",Z21=""),"错误:必填项","OK")))</x:f>
        <x:v>OK</x:v>
      </x:c>
    </x:row>
    <x:row r="22" ht="52.79999923706055" hidden="1" customHeight="1">
      <x:c r="A22" s="3" t="s">
        <x:v>357</x:v>
      </x:c>
      <x:c r="B22" s="3" t="s">
        <x:v>194</x:v>
      </x:c>
      <x:c r="C22" s="3" t="s">
        <x:v>354</x:v>
      </x:c>
      <x:c r="D22" s="3" t="s">
        <x:v>234</x:v>
      </x:c>
      <x:c r="E22" s="3" t="s">
        <x:v>264</x:v>
      </x:c>
      <x:c r="F22" s="3" t="s">
        <x:v>331</x:v>
      </x:c>
      <x:c r="G22" s="3" t="s">
        <x:v>319</x:v>
      </x:c>
      <x:c r="H22" s="3" t="s">
        <x:v>319</x:v>
      </x:c>
      <x:c r="I22" s="3" t="s">
        <x:v>319</x:v>
      </x:c>
      <x:c r="J22" s="3" t="s">
        <x:v>320</x:v>
      </x:c>
      <x:c r="K22" s="3" t="s">
        <x:v>150</x:v>
      </x:c>
      <x:c r="L22" s="37" t="s">
        <x:v>355</x:v>
      </x:c>
      <x:c r="M22" s="37" t="s">
        <x:v>319</x:v>
      </x:c>
      <x:c r="N22" s="37" t="s">
        <x:v>319</x:v>
      </x:c>
      <x:c r="O22" s="36" t="s">
        <x:v>355</x:v>
      </x:c>
      <x:c r="P22" s="37" t="s">
        <x:v>151</x:v>
      </x:c>
      <x:c r="Q22" s="37" t="s">
        <x:v>151</x:v>
      </x:c>
      <x:c r="R22" s="37" t="s">
        <x:v>151</x:v>
      </x:c>
      <x:c r="S22" s="37" t="s">
        <x:v>152</x:v>
      </x:c>
      <x:c r="T22" s="36" t="s">
        <x:v>322</x:v>
      </x:c>
      <x:c r="U22" s="36" t="n">
        <x:f>IFERROR(O22*P22*Q22/R22*(1+S22)*T22,"")</x:f>
        <x:v>0.9863013698630136</x:v>
      </x:c>
      <x:c r="V22" s="33" t="s">
        <x:v>333</x:v>
      </x:c>
      <x:c r="W22" s="30">
        <x:v>46236.78357621528</x:v>
      </x:c>
      <x:c r="X22" s="30"/>
      <x:c r="Y22" s="3" t="s">
        <x:v>224</x:v>
      </x:c>
      <x:c r="Z22" s="3" t="s">
        <x:v>197</x:v>
      </x:c>
      <x:c r="AA22" s="17" t="s">
        <x:v>356</x:v>
      </x:c>
      <x:c r="AB22" s="33" t="str">
        <x:f>IF(A22="","",IF(COUNTIF($A$5:$A$1004,A22)&gt;1,"错误:重复成本规则ID",IF(OR(B22="",C22="",D22="",E22="",F22="",K22="",O22&lt;=0,P22&lt;=0,Q22&lt;=0,R22&lt;=0,S22&lt;0,T22&lt;=0,Y22="",Z22=""),"错误:必填项","OK")))</x:f>
        <x:v>OK</x:v>
      </x:c>
    </x:row>
    <x:row r="23" ht="52.79999923706055" hidden="1" customHeight="1">
      <x:c r="A23" s="3" t="s">
        <x:v>358</x:v>
      </x:c>
      <x:c r="B23" s="3" t="s">
        <x:v>194</x:v>
      </x:c>
      <x:c r="C23" s="3" t="s">
        <x:v>354</x:v>
      </x:c>
      <x:c r="D23" s="3" t="s">
        <x:v>238</x:v>
      </x:c>
      <x:c r="E23" s="3" t="s">
        <x:v>258</x:v>
      </x:c>
      <x:c r="F23" s="3" t="s">
        <x:v>331</x:v>
      </x:c>
      <x:c r="G23" s="3" t="s">
        <x:v>319</x:v>
      </x:c>
      <x:c r="H23" s="3" t="s">
        <x:v>319</x:v>
      </x:c>
      <x:c r="I23" s="3" t="s">
        <x:v>319</x:v>
      </x:c>
      <x:c r="J23" s="3" t="s">
        <x:v>320</x:v>
      </x:c>
      <x:c r="K23" s="3" t="s">
        <x:v>150</x:v>
      </x:c>
      <x:c r="L23" s="37" t="s">
        <x:v>359</x:v>
      </x:c>
      <x:c r="M23" s="37" t="s">
        <x:v>319</x:v>
      </x:c>
      <x:c r="N23" s="37" t="s">
        <x:v>319</x:v>
      </x:c>
      <x:c r="O23" s="36" t="s">
        <x:v>359</x:v>
      </x:c>
      <x:c r="P23" s="37" t="s">
        <x:v>151</x:v>
      </x:c>
      <x:c r="Q23" s="37" t="s">
        <x:v>151</x:v>
      </x:c>
      <x:c r="R23" s="37" t="s">
        <x:v>151</x:v>
      </x:c>
      <x:c r="S23" s="37" t="s">
        <x:v>152</x:v>
      </x:c>
      <x:c r="T23" s="36" t="s">
        <x:v>322</x:v>
      </x:c>
      <x:c r="U23" s="36" t="n">
        <x:f>IFERROR(O23*P23*Q23/R23*(1+S23)*T23,"")</x:f>
        <x:v>1.2191780821917808</x:v>
      </x:c>
      <x:c r="V23" s="33" t="s">
        <x:v>333</x:v>
      </x:c>
      <x:c r="W23" s="30">
        <x:v>46236.78357621528</x:v>
      </x:c>
      <x:c r="X23" s="30"/>
      <x:c r="Y23" s="3" t="s">
        <x:v>224</x:v>
      </x:c>
      <x:c r="Z23" s="3" t="s">
        <x:v>197</x:v>
      </x:c>
      <x:c r="AA23" s="17" t="s">
        <x:v>356</x:v>
      </x:c>
      <x:c r="AB23" s="33" t="str">
        <x:f>IF(A23="","",IF(COUNTIF($A$5:$A$1004,A23)&gt;1,"错误:重复成本规则ID",IF(OR(B23="",C23="",D23="",E23="",F23="",K23="",O23&lt;=0,P23&lt;=0,Q23&lt;=0,R23&lt;=0,S23&lt;0,T23&lt;=0,Y23="",Z23=""),"错误:必填项","OK")))</x:f>
        <x:v>OK</x:v>
      </x:c>
    </x:row>
    <x:row r="24" ht="52.79999923706055" hidden="1" customHeight="1">
      <x:c r="A24" s="3" t="s">
        <x:v>360</x:v>
      </x:c>
      <x:c r="B24" s="3" t="s">
        <x:v>194</x:v>
      </x:c>
      <x:c r="C24" s="3" t="s">
        <x:v>354</x:v>
      </x:c>
      <x:c r="D24" s="3" t="s">
        <x:v>238</x:v>
      </x:c>
      <x:c r="E24" s="3" t="s">
        <x:v>264</x:v>
      </x:c>
      <x:c r="F24" s="3" t="s">
        <x:v>331</x:v>
      </x:c>
      <x:c r="G24" s="3" t="s">
        <x:v>319</x:v>
      </x:c>
      <x:c r="H24" s="3" t="s">
        <x:v>319</x:v>
      </x:c>
      <x:c r="I24" s="3" t="s">
        <x:v>319</x:v>
      </x:c>
      <x:c r="J24" s="3" t="s">
        <x:v>320</x:v>
      </x:c>
      <x:c r="K24" s="3" t="s">
        <x:v>150</x:v>
      </x:c>
      <x:c r="L24" s="37" t="s">
        <x:v>359</x:v>
      </x:c>
      <x:c r="M24" s="37" t="s">
        <x:v>319</x:v>
      </x:c>
      <x:c r="N24" s="37" t="s">
        <x:v>319</x:v>
      </x:c>
      <x:c r="O24" s="36" t="s">
        <x:v>359</x:v>
      </x:c>
      <x:c r="P24" s="37" t="s">
        <x:v>151</x:v>
      </x:c>
      <x:c r="Q24" s="37" t="s">
        <x:v>151</x:v>
      </x:c>
      <x:c r="R24" s="37" t="s">
        <x:v>151</x:v>
      </x:c>
      <x:c r="S24" s="37" t="s">
        <x:v>152</x:v>
      </x:c>
      <x:c r="T24" s="36" t="s">
        <x:v>322</x:v>
      </x:c>
      <x:c r="U24" s="36" t="n">
        <x:f>IFERROR(O24*P24*Q24/R24*(1+S24)*T24,"")</x:f>
        <x:v>1.2191780821917808</x:v>
      </x:c>
      <x:c r="V24" s="33" t="s">
        <x:v>333</x:v>
      </x:c>
      <x:c r="W24" s="30">
        <x:v>46236.78357621528</x:v>
      </x:c>
      <x:c r="X24" s="30"/>
      <x:c r="Y24" s="3" t="s">
        <x:v>224</x:v>
      </x:c>
      <x:c r="Z24" s="3" t="s">
        <x:v>197</x:v>
      </x:c>
      <x:c r="AA24" s="17" t="s">
        <x:v>356</x:v>
      </x:c>
      <x:c r="AB24" s="33" t="str">
        <x:f>IF(A24="","",IF(COUNTIF($A$5:$A$1004,A24)&gt;1,"错误:重复成本规则ID",IF(OR(B24="",C24="",D24="",E24="",F24="",K24="",O24&lt;=0,P24&lt;=0,Q24&lt;=0,R24&lt;=0,S24&lt;0,T24&lt;=0,Y24="",Z24=""),"错误:必填项","OK")))</x:f>
        <x:v>OK</x:v>
      </x:c>
    </x:row>
    <x:row r="25" ht="39.599998474121094" customHeight="1">
      <x:c r="A25" s="3" t="s">
        <x:v>361</x:v>
      </x:c>
      <x:c r="B25" s="3" t="s">
        <x:v>194</x:v>
      </x:c>
      <x:c r="C25" s="3" t="s">
        <x:v>362</x:v>
      </x:c>
      <x:c r="D25" s="3" t="s">
        <x:v>234</x:v>
      </x:c>
      <x:c r="E25" s="3" t="s">
        <x:v>258</x:v>
      </x:c>
      <x:c r="F25" s="3" t="s">
        <x:v>331</x:v>
      </x:c>
      <x:c r="G25" s="3" t="s">
        <x:v>319</x:v>
      </x:c>
      <x:c r="H25" s="3" t="s">
        <x:v>319</x:v>
      </x:c>
      <x:c r="I25" s="3" t="s">
        <x:v>319</x:v>
      </x:c>
      <x:c r="J25" s="3" t="s">
        <x:v>320</x:v>
      </x:c>
      <x:c r="K25" s="3" t="s">
        <x:v>150</x:v>
      </x:c>
      <x:c r="L25" s="37" t="s">
        <x:v>363</x:v>
      </x:c>
      <x:c r="M25" s="37" t="s">
        <x:v>319</x:v>
      </x:c>
      <x:c r="N25" s="37" t="s">
        <x:v>319</x:v>
      </x:c>
      <x:c r="O25" s="36" t="s">
        <x:v>363</x:v>
      </x:c>
      <x:c r="P25" s="37" t="s">
        <x:v>151</x:v>
      </x:c>
      <x:c r="Q25" s="37" t="s">
        <x:v>151</x:v>
      </x:c>
      <x:c r="R25" s="37" t="s">
        <x:v>151</x:v>
      </x:c>
      <x:c r="S25" s="37" t="s">
        <x:v>152</x:v>
      </x:c>
      <x:c r="T25" s="36" t="s">
        <x:v>322</x:v>
      </x:c>
      <x:c r="U25" s="36" t="n">
        <x:f>IFERROR(O25*P25*Q25/R25*(1+S25)*T25,"")</x:f>
        <x:v>0.3972602739726027</x:v>
      </x:c>
      <x:c r="V25" s="33" t="s">
        <x:v>333</x:v>
      </x:c>
      <x:c r="W25" s="30">
        <x:v>46236.78357621528</x:v>
      </x:c>
      <x:c r="X25" s="30"/>
      <x:c r="Y25" s="3" t="s">
        <x:v>224</x:v>
      </x:c>
      <x:c r="Z25" s="3" t="s">
        <x:v>197</x:v>
      </x:c>
      <x:c r="AA25" s="17" t="s">
        <x:v>364</x:v>
      </x:c>
      <x:c r="AB25" s="33" t="str">
        <x:f>IF(A25="","",IF(COUNTIF($A$5:$A$1004,A25)&gt;1,"错误:重复成本规则ID",IF(OR(B25="",C25="",D25="",E25="",F25="",K25="",O25&lt;=0,P25&lt;=0,Q25&lt;=0,R25&lt;=0,S25&lt;0,T25&lt;=0,Y25="",Z25=""),"错误:必填项","OK")))</x:f>
        <x:v>OK</x:v>
      </x:c>
    </x:row>
    <x:row r="26" ht="39.599998474121094" customHeight="1">
      <x:c r="A26" s="3" t="s">
        <x:v>365</x:v>
      </x:c>
      <x:c r="B26" s="3" t="s">
        <x:v>194</x:v>
      </x:c>
      <x:c r="C26" s="3" t="s">
        <x:v>362</x:v>
      </x:c>
      <x:c r="D26" s="3" t="s">
        <x:v>234</x:v>
      </x:c>
      <x:c r="E26" s="3" t="s">
        <x:v>264</x:v>
      </x:c>
      <x:c r="F26" s="3" t="s">
        <x:v>331</x:v>
      </x:c>
      <x:c r="G26" s="3" t="s">
        <x:v>319</x:v>
      </x:c>
      <x:c r="H26" s="3" t="s">
        <x:v>319</x:v>
      </x:c>
      <x:c r="I26" s="3" t="s">
        <x:v>319</x:v>
      </x:c>
      <x:c r="J26" s="3" t="s">
        <x:v>320</x:v>
      </x:c>
      <x:c r="K26" s="3" t="s">
        <x:v>150</x:v>
      </x:c>
      <x:c r="L26" s="37" t="s">
        <x:v>363</x:v>
      </x:c>
      <x:c r="M26" s="37" t="s">
        <x:v>319</x:v>
      </x:c>
      <x:c r="N26" s="37" t="s">
        <x:v>319</x:v>
      </x:c>
      <x:c r="O26" s="36" t="s">
        <x:v>363</x:v>
      </x:c>
      <x:c r="P26" s="37" t="s">
        <x:v>151</x:v>
      </x:c>
      <x:c r="Q26" s="37" t="s">
        <x:v>151</x:v>
      </x:c>
      <x:c r="R26" s="37" t="s">
        <x:v>151</x:v>
      </x:c>
      <x:c r="S26" s="37" t="s">
        <x:v>152</x:v>
      </x:c>
      <x:c r="T26" s="36" t="s">
        <x:v>322</x:v>
      </x:c>
      <x:c r="U26" s="36" t="n">
        <x:f>IFERROR(O26*P26*Q26/R26*(1+S26)*T26,"")</x:f>
        <x:v>0.3972602739726027</x:v>
      </x:c>
      <x:c r="V26" s="33" t="s">
        <x:v>333</x:v>
      </x:c>
      <x:c r="W26" s="30">
        <x:v>46236.78357621528</x:v>
      </x:c>
      <x:c r="X26" s="30"/>
      <x:c r="Y26" s="3" t="s">
        <x:v>224</x:v>
      </x:c>
      <x:c r="Z26" s="3" t="s">
        <x:v>197</x:v>
      </x:c>
      <x:c r="AA26" s="17" t="s">
        <x:v>364</x:v>
      </x:c>
      <x:c r="AB26" s="33" t="str">
        <x:f>IF(A26="","",IF(COUNTIF($A$5:$A$1004,A26)&gt;1,"错误:重复成本规则ID",IF(OR(B26="",C26="",D26="",E26="",F26="",K26="",O26&lt;=0,P26&lt;=0,Q26&lt;=0,R26&lt;=0,S26&lt;0,T26&lt;=0,Y26="",Z26=""),"错误:必填项","OK")))</x:f>
        <x:v>OK</x:v>
      </x:c>
    </x:row>
    <x:row r="27" ht="39.599998474121094" customHeight="1">
      <x:c r="A27" s="3" t="s">
        <x:v>366</x:v>
      </x:c>
      <x:c r="B27" s="3" t="s">
        <x:v>194</x:v>
      </x:c>
      <x:c r="C27" s="3" t="s">
        <x:v>362</x:v>
      </x:c>
      <x:c r="D27" s="3" t="s">
        <x:v>238</x:v>
      </x:c>
      <x:c r="E27" s="3" t="s">
        <x:v>258</x:v>
      </x:c>
      <x:c r="F27" s="3" t="s">
        <x:v>331</x:v>
      </x:c>
      <x:c r="G27" s="3" t="s">
        <x:v>319</x:v>
      </x:c>
      <x:c r="H27" s="3" t="s">
        <x:v>319</x:v>
      </x:c>
      <x:c r="I27" s="3" t="s">
        <x:v>319</x:v>
      </x:c>
      <x:c r="J27" s="3" t="s">
        <x:v>320</x:v>
      </x:c>
      <x:c r="K27" s="3" t="s">
        <x:v>150</x:v>
      </x:c>
      <x:c r="L27" s="37" t="s">
        <x:v>367</x:v>
      </x:c>
      <x:c r="M27" s="37" t="s">
        <x:v>319</x:v>
      </x:c>
      <x:c r="N27" s="37" t="s">
        <x:v>319</x:v>
      </x:c>
      <x:c r="O27" s="36" t="s">
        <x:v>367</x:v>
      </x:c>
      <x:c r="P27" s="37" t="s">
        <x:v>151</x:v>
      </x:c>
      <x:c r="Q27" s="37" t="s">
        <x:v>151</x:v>
      </x:c>
      <x:c r="R27" s="37" t="s">
        <x:v>151</x:v>
      </x:c>
      <x:c r="S27" s="37" t="s">
        <x:v>152</x:v>
      </x:c>
      <x:c r="T27" s="36" t="s">
        <x:v>322</x:v>
      </x:c>
      <x:c r="U27" s="36" t="n">
        <x:f>IFERROR(O27*P27*Q27/R27*(1+S27)*T27,"")</x:f>
        <x:v>0.684931506849315</x:v>
      </x:c>
      <x:c r="V27" s="33" t="s">
        <x:v>333</x:v>
      </x:c>
      <x:c r="W27" s="30">
        <x:v>46236.78357621528</x:v>
      </x:c>
      <x:c r="X27" s="30"/>
      <x:c r="Y27" s="3" t="s">
        <x:v>224</x:v>
      </x:c>
      <x:c r="Z27" s="3" t="s">
        <x:v>197</x:v>
      </x:c>
      <x:c r="AA27" s="17" t="s">
        <x:v>364</x:v>
      </x:c>
      <x:c r="AB27" s="33" t="str">
        <x:f>IF(A27="","",IF(COUNTIF($A$5:$A$1004,A27)&gt;1,"错误:重复成本规则ID",IF(OR(B27="",C27="",D27="",E27="",F27="",K27="",O27&lt;=0,P27&lt;=0,Q27&lt;=0,R27&lt;=0,S27&lt;0,T27&lt;=0,Y27="",Z27=""),"错误:必填项","OK")))</x:f>
        <x:v>OK</x:v>
      </x:c>
    </x:row>
    <x:row r="28" ht="39.599998474121094" customHeight="1">
      <x:c r="A28" s="3" t="s">
        <x:v>368</x:v>
      </x:c>
      <x:c r="B28" s="3" t="s">
        <x:v>194</x:v>
      </x:c>
      <x:c r="C28" s="3" t="s">
        <x:v>362</x:v>
      </x:c>
      <x:c r="D28" s="3" t="s">
        <x:v>238</x:v>
      </x:c>
      <x:c r="E28" s="3" t="s">
        <x:v>264</x:v>
      </x:c>
      <x:c r="F28" s="3" t="s">
        <x:v>331</x:v>
      </x:c>
      <x:c r="G28" s="3" t="s">
        <x:v>319</x:v>
      </x:c>
      <x:c r="H28" s="3" t="s">
        <x:v>319</x:v>
      </x:c>
      <x:c r="I28" s="3" t="s">
        <x:v>319</x:v>
      </x:c>
      <x:c r="J28" s="3" t="s">
        <x:v>320</x:v>
      </x:c>
      <x:c r="K28" s="3" t="s">
        <x:v>150</x:v>
      </x:c>
      <x:c r="L28" s="37" t="s">
        <x:v>367</x:v>
      </x:c>
      <x:c r="M28" s="37" t="s">
        <x:v>319</x:v>
      </x:c>
      <x:c r="N28" s="37" t="s">
        <x:v>319</x:v>
      </x:c>
      <x:c r="O28" s="36" t="s">
        <x:v>367</x:v>
      </x:c>
      <x:c r="P28" s="37" t="s">
        <x:v>151</x:v>
      </x:c>
      <x:c r="Q28" s="37" t="s">
        <x:v>151</x:v>
      </x:c>
      <x:c r="R28" s="37" t="s">
        <x:v>151</x:v>
      </x:c>
      <x:c r="S28" s="37" t="s">
        <x:v>152</x:v>
      </x:c>
      <x:c r="T28" s="36" t="s">
        <x:v>322</x:v>
      </x:c>
      <x:c r="U28" s="36" t="n">
        <x:f>IFERROR(O28*P28*Q28/R28*(1+S28)*T28,"")</x:f>
        <x:v>0.684931506849315</x:v>
      </x:c>
      <x:c r="V28" s="33" t="s">
        <x:v>333</x:v>
      </x:c>
      <x:c r="W28" s="30">
        <x:v>46236.78357621528</x:v>
      </x:c>
      <x:c r="X28" s="30"/>
      <x:c r="Y28" s="3" t="s">
        <x:v>224</x:v>
      </x:c>
      <x:c r="Z28" s="3" t="s">
        <x:v>197</x:v>
      </x:c>
      <x:c r="AA28" s="17" t="s">
        <x:v>364</x:v>
      </x:c>
      <x:c r="AB28" s="33" t="str">
        <x:f>IF(A28="","",IF(COUNTIF($A$5:$A$1004,A28)&gt;1,"错误:重复成本规则ID",IF(OR(B28="",C28="",D28="",E28="",F28="",K28="",O28&lt;=0,P28&lt;=0,Q28&lt;=0,R28&lt;=0,S28&lt;0,T28&lt;=0,Y28="",Z28=""),"错误:必填项","OK")))</x:f>
        <x:v>OK</x:v>
      </x:c>
    </x:row>
    <x:row r="29" ht="39.599998474121094" customHeight="1">
      <x:c r="A29" s="3" t="s">
        <x:v>369</x:v>
      </x:c>
      <x:c r="B29" s="3" t="s">
        <x:v>194</x:v>
      </x:c>
      <x:c r="C29" s="3" t="s">
        <x:v>362</x:v>
      </x:c>
      <x:c r="D29" s="3" t="s">
        <x:v>238</x:v>
      </x:c>
      <x:c r="E29" s="3" t="s">
        <x:v>258</x:v>
      </x:c>
      <x:c r="F29" s="3" t="s">
        <x:v>318</x:v>
      </x:c>
      <x:c r="G29" s="3" t="s">
        <x:v>319</x:v>
      </x:c>
      <x:c r="H29" s="3" t="s">
        <x:v>319</x:v>
      </x:c>
      <x:c r="I29" s="3" t="s">
        <x:v>319</x:v>
      </x:c>
      <x:c r="J29" s="3" t="s">
        <x:v>320</x:v>
      </x:c>
      <x:c r="K29" s="3" t="s">
        <x:v>150</x:v>
      </x:c>
      <x:c r="L29" s="37" t="s">
        <x:v>319</x:v>
      </x:c>
      <x:c r="M29" s="37" t="s">
        <x:v>370</x:v>
      </x:c>
      <x:c r="N29" s="37" t="s">
        <x:v>319</x:v>
      </x:c>
      <x:c r="O29" s="36" t="s">
        <x:v>370</x:v>
      </x:c>
      <x:c r="P29" s="37" t="s">
        <x:v>151</x:v>
      </x:c>
      <x:c r="Q29" s="37" t="s">
        <x:v>151</x:v>
      </x:c>
      <x:c r="R29" s="37" t="s">
        <x:v>151</x:v>
      </x:c>
      <x:c r="S29" s="37" t="s">
        <x:v>152</x:v>
      </x:c>
      <x:c r="T29" s="36" t="s">
        <x:v>322</x:v>
      </x:c>
      <x:c r="U29" s="36" t="n">
        <x:f>IFERROR(O29*P29*Q29/R29*(1+S29)*T29,"")</x:f>
        <x:v>0.06575342465753424</x:v>
      </x:c>
      <x:c r="V29" s="33" t="s">
        <x:v>323</x:v>
      </x:c>
      <x:c r="W29" s="30">
        <x:v>46236.78357621528</x:v>
      </x:c>
      <x:c r="X29" s="30"/>
      <x:c r="Y29" s="3" t="s">
        <x:v>224</x:v>
      </x:c>
      <x:c r="Z29" s="3" t="s">
        <x:v>197</x:v>
      </x:c>
      <x:c r="AA29" s="17" t="s">
        <x:v>364</x:v>
      </x:c>
      <x:c r="AB29" s="33" t="str">
        <x:f>IF(A29="","",IF(COUNTIF($A$5:$A$1004,A29)&gt;1,"错误:重复成本规则ID",IF(OR(B29="",C29="",D29="",E29="",F29="",K29="",O29&lt;=0,P29&lt;=0,Q29&lt;=0,R29&lt;=0,S29&lt;0,T29&lt;=0,Y29="",Z29=""),"错误:必填项","OK")))</x:f>
        <x:v>OK</x:v>
      </x:c>
    </x:row>
    <x:row r="30" ht="39.599998474121094" customHeight="1">
      <x:c r="A30" s="3" t="s">
        <x:v>371</x:v>
      </x:c>
      <x:c r="B30" s="3" t="s">
        <x:v>194</x:v>
      </x:c>
      <x:c r="C30" s="3" t="s">
        <x:v>362</x:v>
      </x:c>
      <x:c r="D30" s="3" t="s">
        <x:v>238</x:v>
      </x:c>
      <x:c r="E30" s="3" t="s">
        <x:v>264</x:v>
      </x:c>
      <x:c r="F30" s="3" t="s">
        <x:v>318</x:v>
      </x:c>
      <x:c r="G30" s="3" t="s">
        <x:v>319</x:v>
      </x:c>
      <x:c r="H30" s="3" t="s">
        <x:v>319</x:v>
      </x:c>
      <x:c r="I30" s="3" t="s">
        <x:v>319</x:v>
      </x:c>
      <x:c r="J30" s="3" t="s">
        <x:v>320</x:v>
      </x:c>
      <x:c r="K30" s="3" t="s">
        <x:v>150</x:v>
      </x:c>
      <x:c r="L30" s="37" t="s">
        <x:v>319</x:v>
      </x:c>
      <x:c r="M30" s="37" t="s">
        <x:v>370</x:v>
      </x:c>
      <x:c r="N30" s="37" t="s">
        <x:v>319</x:v>
      </x:c>
      <x:c r="O30" s="36" t="s">
        <x:v>370</x:v>
      </x:c>
      <x:c r="P30" s="37" t="s">
        <x:v>151</x:v>
      </x:c>
      <x:c r="Q30" s="37" t="s">
        <x:v>151</x:v>
      </x:c>
      <x:c r="R30" s="37" t="s">
        <x:v>151</x:v>
      </x:c>
      <x:c r="S30" s="37" t="s">
        <x:v>152</x:v>
      </x:c>
      <x:c r="T30" s="36" t="s">
        <x:v>322</x:v>
      </x:c>
      <x:c r="U30" s="36" t="n">
        <x:f>IFERROR(O30*P30*Q30/R30*(1+S30)*T30,"")</x:f>
        <x:v>0.06575342465753424</x:v>
      </x:c>
      <x:c r="V30" s="33" t="s">
        <x:v>323</x:v>
      </x:c>
      <x:c r="W30" s="30">
        <x:v>46236.78357621528</x:v>
      </x:c>
      <x:c r="X30" s="30"/>
      <x:c r="Y30" s="3" t="s">
        <x:v>224</x:v>
      </x:c>
      <x:c r="Z30" s="3" t="s">
        <x:v>197</x:v>
      </x:c>
      <x:c r="AA30" s="17" t="s">
        <x:v>364</x:v>
      </x:c>
      <x:c r="AB30" s="33" t="str">
        <x:f>IF(A30="","",IF(COUNTIF($A$5:$A$1004,A30)&gt;1,"错误:重复成本规则ID",IF(OR(B30="",C30="",D30="",E30="",F30="",K30="",O30&lt;=0,P30&lt;=0,Q30&lt;=0,R30&lt;=0,S30&lt;0,T30&lt;=0,Y30="",Z30=""),"错误:必填项","OK")))</x:f>
        <x:v>OK</x:v>
      </x:c>
    </x:row>
    <x:row r="31" ht="26.350000381469727" customHeight="1">
      <x:c r="A31" s="3" t="s">
        <x:v>372</x:v>
      </x:c>
      <x:c r="B31" s="3" t="s">
        <x:v>194</x:v>
      </x:c>
      <x:c r="C31" s="3" t="s">
        <x:v>373</x:v>
      </x:c>
      <x:c r="D31" s="3" t="s">
        <x:v>227</x:v>
      </x:c>
      <x:c r="E31" s="3" t="s">
        <x:v>258</x:v>
      </x:c>
      <x:c r="F31" s="3" t="s">
        <x:v>331</x:v>
      </x:c>
      <x:c r="G31" s="3" t="s">
        <x:v>319</x:v>
      </x:c>
      <x:c r="H31" s="3" t="s">
        <x:v>319</x:v>
      </x:c>
      <x:c r="I31" s="3" t="s">
        <x:v>319</x:v>
      </x:c>
      <x:c r="J31" s="3" t="s">
        <x:v>320</x:v>
      </x:c>
      <x:c r="K31" s="3" t="s">
        <x:v>150</x:v>
      </x:c>
      <x:c r="L31" s="37" t="s">
        <x:v>374</x:v>
      </x:c>
      <x:c r="M31" s="37" t="s">
        <x:v>319</x:v>
      </x:c>
      <x:c r="N31" s="37" t="s">
        <x:v>319</x:v>
      </x:c>
      <x:c r="O31" s="36" t="s">
        <x:v>374</x:v>
      </x:c>
      <x:c r="P31" s="37" t="s">
        <x:v>151</x:v>
      </x:c>
      <x:c r="Q31" s="37" t="s">
        <x:v>151</x:v>
      </x:c>
      <x:c r="R31" s="37" t="s">
        <x:v>151</x:v>
      </x:c>
      <x:c r="S31" s="37" t="s">
        <x:v>152</x:v>
      </x:c>
      <x:c r="T31" s="36" t="s">
        <x:v>322</x:v>
      </x:c>
      <x:c r="U31" s="36" t="n">
        <x:f>IFERROR(O31*P31*Q31/R31*(1+S31)*T31,"")</x:f>
        <x:v>0.4931506849315068</x:v>
      </x:c>
      <x:c r="V31" s="33" t="s">
        <x:v>333</x:v>
      </x:c>
      <x:c r="W31" s="30">
        <x:v>46236.78357621528</x:v>
      </x:c>
      <x:c r="X31" s="30"/>
      <x:c r="Y31" s="3" t="s">
        <x:v>224</x:v>
      </x:c>
      <x:c r="Z31" s="3" t="s">
        <x:v>197</x:v>
      </x:c>
      <x:c r="AA31" s="17" t="s">
        <x:v>375</x:v>
      </x:c>
      <x:c r="AB31" s="33" t="str">
        <x:f>IF(A31="","",IF(COUNTIF($A$5:$A$1004,A31)&gt;1,"错误:重复成本规则ID",IF(OR(B31="",C31="",D31="",E31="",F31="",K31="",O31&lt;=0,P31&lt;=0,Q31&lt;=0,R31&lt;=0,S31&lt;0,T31&lt;=0,Y31="",Z31=""),"错误:必填项","OK")))</x:f>
        <x:v>OK</x:v>
      </x:c>
    </x:row>
    <x:row r="32" ht="26.350000381469727" customHeight="1">
      <x:c r="A32" s="3" t="s">
        <x:v>376</x:v>
      </x:c>
      <x:c r="B32" s="3" t="s">
        <x:v>194</x:v>
      </x:c>
      <x:c r="C32" s="3" t="s">
        <x:v>373</x:v>
      </x:c>
      <x:c r="D32" s="3" t="s">
        <x:v>227</x:v>
      </x:c>
      <x:c r="E32" s="3" t="s">
        <x:v>264</x:v>
      </x:c>
      <x:c r="F32" s="3" t="s">
        <x:v>331</x:v>
      </x:c>
      <x:c r="G32" s="3" t="s">
        <x:v>319</x:v>
      </x:c>
      <x:c r="H32" s="3" t="s">
        <x:v>319</x:v>
      </x:c>
      <x:c r="I32" s="3" t="s">
        <x:v>319</x:v>
      </x:c>
      <x:c r="J32" s="3" t="s">
        <x:v>320</x:v>
      </x:c>
      <x:c r="K32" s="3" t="s">
        <x:v>150</x:v>
      </x:c>
      <x:c r="L32" s="37" t="s">
        <x:v>374</x:v>
      </x:c>
      <x:c r="M32" s="37" t="s">
        <x:v>319</x:v>
      </x:c>
      <x:c r="N32" s="37" t="s">
        <x:v>319</x:v>
      </x:c>
      <x:c r="O32" s="36" t="s">
        <x:v>374</x:v>
      </x:c>
      <x:c r="P32" s="37" t="s">
        <x:v>151</x:v>
      </x:c>
      <x:c r="Q32" s="37" t="s">
        <x:v>151</x:v>
      </x:c>
      <x:c r="R32" s="37" t="s">
        <x:v>151</x:v>
      </x:c>
      <x:c r="S32" s="37" t="s">
        <x:v>152</x:v>
      </x:c>
      <x:c r="T32" s="36" t="s">
        <x:v>322</x:v>
      </x:c>
      <x:c r="U32" s="36" t="n">
        <x:f>IFERROR(O32*P32*Q32/R32*(1+S32)*T32,"")</x:f>
        <x:v>0.4931506849315068</x:v>
      </x:c>
      <x:c r="V32" s="33" t="s">
        <x:v>333</x:v>
      </x:c>
      <x:c r="W32" s="30">
        <x:v>46236.78357621528</x:v>
      </x:c>
      <x:c r="X32" s="30"/>
      <x:c r="Y32" s="3" t="s">
        <x:v>224</x:v>
      </x:c>
      <x:c r="Z32" s="3" t="s">
        <x:v>197</x:v>
      </x:c>
      <x:c r="AA32" s="17" t="s">
        <x:v>375</x:v>
      </x:c>
      <x:c r="AB32" s="33" t="str">
        <x:f>IF(A32="","",IF(COUNTIF($A$5:$A$1004,A32)&gt;1,"错误:重复成本规则ID",IF(OR(B32="",C32="",D32="",E32="",F32="",K32="",O32&lt;=0,P32&lt;=0,Q32&lt;=0,R32&lt;=0,S32&lt;0,T32&lt;=0,Y32="",Z32=""),"错误:必填项","OK")))</x:f>
        <x:v>OK</x:v>
      </x:c>
    </x:row>
    <x:row r="33" ht="39.599998474121094" customHeight="1">
      <x:c r="A33" s="3" t="s">
        <x:v>377</x:v>
      </x:c>
      <x:c r="B33" s="3" t="s">
        <x:v>194</x:v>
      </x:c>
      <x:c r="C33" s="3" t="s">
        <x:v>373</x:v>
      </x:c>
      <x:c r="D33" s="3" t="s">
        <x:v>232</x:v>
      </x:c>
      <x:c r="E33" s="3" t="s">
        <x:v>258</x:v>
      </x:c>
      <x:c r="F33" s="3" t="s">
        <x:v>331</x:v>
      </x:c>
      <x:c r="G33" s="3" t="s">
        <x:v>319</x:v>
      </x:c>
      <x:c r="H33" s="3" t="s">
        <x:v>319</x:v>
      </x:c>
      <x:c r="I33" s="3" t="s">
        <x:v>319</x:v>
      </x:c>
      <x:c r="J33" s="3" t="s">
        <x:v>320</x:v>
      </x:c>
      <x:c r="K33" s="3" t="s">
        <x:v>150</x:v>
      </x:c>
      <x:c r="L33" s="37" t="s">
        <x:v>378</x:v>
      </x:c>
      <x:c r="M33" s="37" t="s">
        <x:v>319</x:v>
      </x:c>
      <x:c r="N33" s="37" t="s">
        <x:v>319</x:v>
      </x:c>
      <x:c r="O33" s="36" t="s">
        <x:v>378</x:v>
      </x:c>
      <x:c r="P33" s="37" t="s">
        <x:v>151</x:v>
      </x:c>
      <x:c r="Q33" s="37" t="s">
        <x:v>151</x:v>
      </x:c>
      <x:c r="R33" s="37" t="s">
        <x:v>151</x:v>
      </x:c>
      <x:c r="S33" s="37" t="s">
        <x:v>152</x:v>
      </x:c>
      <x:c r="T33" s="36" t="s">
        <x:v>322</x:v>
      </x:c>
      <x:c r="U33" s="36" t="n">
        <x:f>IFERROR(O33*P33*Q33/R33*(1+S33)*T33,"")</x:f>
        <x:v>0.7397260273972602</x:v>
      </x:c>
      <x:c r="V33" s="33" t="s">
        <x:v>333</x:v>
      </x:c>
      <x:c r="W33" s="30">
        <x:v>46236.78357621528</x:v>
      </x:c>
      <x:c r="X33" s="30"/>
      <x:c r="Y33" s="3" t="s">
        <x:v>224</x:v>
      </x:c>
      <x:c r="Z33" s="3" t="s">
        <x:v>197</x:v>
      </x:c>
      <x:c r="AA33" s="17" t="s">
        <x:v>375</x:v>
      </x:c>
      <x:c r="AB33" s="33" t="str">
        <x:f>IF(A33="","",IF(COUNTIF($A$5:$A$1004,A33)&gt;1,"错误:重复成本规则ID",IF(OR(B33="",C33="",D33="",E33="",F33="",K33="",O33&lt;=0,P33&lt;=0,Q33&lt;=0,R33&lt;=0,S33&lt;0,T33&lt;=0,Y33="",Z33=""),"错误:必填项","OK")))</x:f>
        <x:v>OK</x:v>
      </x:c>
    </x:row>
    <x:row r="34" ht="26.350000381469727" customHeight="1">
      <x:c r="A34" s="3" t="s">
        <x:v>379</x:v>
      </x:c>
      <x:c r="B34" s="3" t="s">
        <x:v>194</x:v>
      </x:c>
      <x:c r="C34" s="3" t="s">
        <x:v>373</x:v>
      </x:c>
      <x:c r="D34" s="3" t="s">
        <x:v>232</x:v>
      </x:c>
      <x:c r="E34" s="3" t="s">
        <x:v>264</x:v>
      </x:c>
      <x:c r="F34" s="3" t="s">
        <x:v>331</x:v>
      </x:c>
      <x:c r="G34" s="3" t="s">
        <x:v>319</x:v>
      </x:c>
      <x:c r="H34" s="3" t="s">
        <x:v>319</x:v>
      </x:c>
      <x:c r="I34" s="3" t="s">
        <x:v>319</x:v>
      </x:c>
      <x:c r="J34" s="3" t="s">
        <x:v>320</x:v>
      </x:c>
      <x:c r="K34" s="3" t="s">
        <x:v>150</x:v>
      </x:c>
      <x:c r="L34" s="37" t="s">
        <x:v>378</x:v>
      </x:c>
      <x:c r="M34" s="37" t="s">
        <x:v>319</x:v>
      </x:c>
      <x:c r="N34" s="37" t="s">
        <x:v>319</x:v>
      </x:c>
      <x:c r="O34" s="36" t="s">
        <x:v>378</x:v>
      </x:c>
      <x:c r="P34" s="37" t="s">
        <x:v>151</x:v>
      </x:c>
      <x:c r="Q34" s="37" t="s">
        <x:v>151</x:v>
      </x:c>
      <x:c r="R34" s="37" t="s">
        <x:v>151</x:v>
      </x:c>
      <x:c r="S34" s="37" t="s">
        <x:v>152</x:v>
      </x:c>
      <x:c r="T34" s="36" t="s">
        <x:v>322</x:v>
      </x:c>
      <x:c r="U34" s="36" t="n">
        <x:f>IFERROR(O34*P34*Q34/R34*(1+S34)*T34,"")</x:f>
        <x:v>0.7397260273972602</x:v>
      </x:c>
      <x:c r="V34" s="33" t="s">
        <x:v>333</x:v>
      </x:c>
      <x:c r="W34" s="30">
        <x:v>46236.78357621528</x:v>
      </x:c>
      <x:c r="X34" s="30"/>
      <x:c r="Y34" s="3" t="s">
        <x:v>224</x:v>
      </x:c>
      <x:c r="Z34" s="3" t="s">
        <x:v>197</x:v>
      </x:c>
      <x:c r="AA34" s="17" t="s">
        <x:v>375</x:v>
      </x:c>
      <x:c r="AB34" s="33" t="str">
        <x:f>IF(A34="","",IF(COUNTIF($A$5:$A$1004,A34)&gt;1,"错误:重复成本规则ID",IF(OR(B34="",C34="",D34="",E34="",F34="",K34="",O34&lt;=0,P34&lt;=0,Q34&lt;=0,R34&lt;=0,S34&lt;0,T34&lt;=0,Y34="",Z34=""),"错误:必填项","OK")))</x:f>
        <x:v>OK</x:v>
      </x:c>
    </x:row>
    <x:row r="35" ht="26.350000381469727" customHeight="1">
      <x:c r="A35" s="3" t="s">
        <x:v>380</x:v>
      </x:c>
      <x:c r="B35" s="3" t="s">
        <x:v>194</x:v>
      </x:c>
      <x:c r="C35" s="3" t="s">
        <x:v>373</x:v>
      </x:c>
      <x:c r="D35" s="3" t="s">
        <x:v>227</x:v>
      </x:c>
      <x:c r="E35" s="3" t="s">
        <x:v>258</x:v>
      </x:c>
      <x:c r="F35" s="3" t="s">
        <x:v>318</x:v>
      </x:c>
      <x:c r="G35" s="3" t="s">
        <x:v>319</x:v>
      </x:c>
      <x:c r="H35" s="3" t="s">
        <x:v>319</x:v>
      </x:c>
      <x:c r="I35" s="3" t="s">
        <x:v>319</x:v>
      </x:c>
      <x:c r="J35" s="3" t="s">
        <x:v>320</x:v>
      </x:c>
      <x:c r="K35" s="3" t="s">
        <x:v>150</x:v>
      </x:c>
      <x:c r="L35" s="37" t="s">
        <x:v>319</x:v>
      </x:c>
      <x:c r="M35" s="37" t="s">
        <x:v>351</x:v>
      </x:c>
      <x:c r="N35" s="37" t="s">
        <x:v>319</x:v>
      </x:c>
      <x:c r="O35" s="36" t="s">
        <x:v>351</x:v>
      </x:c>
      <x:c r="P35" s="37" t="s">
        <x:v>151</x:v>
      </x:c>
      <x:c r="Q35" s="37" t="s">
        <x:v>151</x:v>
      </x:c>
      <x:c r="R35" s="37" t="s">
        <x:v>151</x:v>
      </x:c>
      <x:c r="S35" s="37" t="s">
        <x:v>152</x:v>
      </x:c>
      <x:c r="T35" s="36" t="s">
        <x:v>322</x:v>
      </x:c>
      <x:c r="U35" s="36" t="n">
        <x:f>IFERROR(O35*P35*Q35/R35*(1+S35)*T35,"")</x:f>
        <x:v>0.05753424657534246</x:v>
      </x:c>
      <x:c r="V35" s="33" t="s">
        <x:v>323</x:v>
      </x:c>
      <x:c r="W35" s="30">
        <x:v>46236.78357621528</x:v>
      </x:c>
      <x:c r="X35" s="30"/>
      <x:c r="Y35" s="3" t="s">
        <x:v>224</x:v>
      </x:c>
      <x:c r="Z35" s="3" t="s">
        <x:v>197</x:v>
      </x:c>
      <x:c r="AA35" s="17" t="s">
        <x:v>375</x:v>
      </x:c>
      <x:c r="AB35" s="33" t="str">
        <x:f>IF(A35="","",IF(COUNTIF($A$5:$A$1004,A35)&gt;1,"错误:重复成本规则ID",IF(OR(B35="",C35="",D35="",E35="",F35="",K35="",O35&lt;=0,P35&lt;=0,Q35&lt;=0,R35&lt;=0,S35&lt;0,T35&lt;=0,Y35="",Z35=""),"错误:必填项","OK")))</x:f>
        <x:v>OK</x:v>
      </x:c>
    </x:row>
    <x:row r="36" ht="39.599998474121094" customHeight="1">
      <x:c r="A36" s="3" t="s">
        <x:v>381</x:v>
      </x:c>
      <x:c r="B36" s="3" t="s">
        <x:v>194</x:v>
      </x:c>
      <x:c r="C36" s="3" t="s">
        <x:v>373</x:v>
      </x:c>
      <x:c r="D36" s="3" t="s">
        <x:v>227</x:v>
      </x:c>
      <x:c r="E36" s="3" t="s">
        <x:v>264</x:v>
      </x:c>
      <x:c r="F36" s="3" t="s">
        <x:v>318</x:v>
      </x:c>
      <x:c r="G36" s="3" t="s">
        <x:v>319</x:v>
      </x:c>
      <x:c r="H36" s="3" t="s">
        <x:v>319</x:v>
      </x:c>
      <x:c r="I36" s="3" t="s">
        <x:v>319</x:v>
      </x:c>
      <x:c r="J36" s="3" t="s">
        <x:v>320</x:v>
      </x:c>
      <x:c r="K36" s="3" t="s">
        <x:v>150</x:v>
      </x:c>
      <x:c r="L36" s="37" t="s">
        <x:v>319</x:v>
      </x:c>
      <x:c r="M36" s="37" t="s">
        <x:v>351</x:v>
      </x:c>
      <x:c r="N36" s="37" t="s">
        <x:v>319</x:v>
      </x:c>
      <x:c r="O36" s="36" t="s">
        <x:v>351</x:v>
      </x:c>
      <x:c r="P36" s="37" t="s">
        <x:v>151</x:v>
      </x:c>
      <x:c r="Q36" s="37" t="s">
        <x:v>151</x:v>
      </x:c>
      <x:c r="R36" s="37" t="s">
        <x:v>151</x:v>
      </x:c>
      <x:c r="S36" s="37" t="s">
        <x:v>152</x:v>
      </x:c>
      <x:c r="T36" s="36" t="s">
        <x:v>322</x:v>
      </x:c>
      <x:c r="U36" s="36" t="n">
        <x:f>IFERROR(O36*P36*Q36/R36*(1+S36)*T36,"")</x:f>
        <x:v>0.05753424657534246</x:v>
      </x:c>
      <x:c r="V36" s="33" t="s">
        <x:v>323</x:v>
      </x:c>
      <x:c r="W36" s="30">
        <x:v>46236.78357621528</x:v>
      </x:c>
      <x:c r="X36" s="30"/>
      <x:c r="Y36" s="3" t="s">
        <x:v>224</x:v>
      </x:c>
      <x:c r="Z36" s="3" t="s">
        <x:v>197</x:v>
      </x:c>
      <x:c r="AA36" s="17" t="s">
        <x:v>375</x:v>
      </x:c>
      <x:c r="AB36" s="33" t="str">
        <x:f>IF(A36="","",IF(COUNTIF($A$5:$A$1004,A36)&gt;1,"错误:重复成本规则ID",IF(OR(B36="",C36="",D36="",E36="",F36="",K36="",O36&lt;=0,P36&lt;=0,Q36&lt;=0,R36&lt;=0,S36&lt;0,T36&lt;=0,Y36="",Z36=""),"错误:必填项","OK")))</x:f>
        <x:v>OK</x:v>
      </x:c>
    </x:row>
    <x:row r="37" ht="39.599998474121094" customHeight="1">
      <x:c r="A37" s="3" t="s">
        <x:v>382</x:v>
      </x:c>
      <x:c r="B37" s="3" t="s">
        <x:v>194</x:v>
      </x:c>
      <x:c r="C37" s="3" t="s">
        <x:v>373</x:v>
      </x:c>
      <x:c r="D37" s="3" t="s">
        <x:v>232</x:v>
      </x:c>
      <x:c r="E37" s="3" t="s">
        <x:v>258</x:v>
      </x:c>
      <x:c r="F37" s="3" t="s">
        <x:v>318</x:v>
      </x:c>
      <x:c r="G37" s="3" t="s">
        <x:v>319</x:v>
      </x:c>
      <x:c r="H37" s="3" t="s">
        <x:v>319</x:v>
      </x:c>
      <x:c r="I37" s="3" t="s">
        <x:v>319</x:v>
      </x:c>
      <x:c r="J37" s="3" t="s">
        <x:v>320</x:v>
      </x:c>
      <x:c r="K37" s="3" t="s">
        <x:v>150</x:v>
      </x:c>
      <x:c r="L37" s="37" t="s">
        <x:v>319</x:v>
      </x:c>
      <x:c r="M37" s="37" t="s">
        <x:v>383</x:v>
      </x:c>
      <x:c r="N37" s="37" t="s">
        <x:v>319</x:v>
      </x:c>
      <x:c r="O37" s="36" t="s">
        <x:v>383</x:v>
      </x:c>
      <x:c r="P37" s="37" t="s">
        <x:v>151</x:v>
      </x:c>
      <x:c r="Q37" s="37" t="s">
        <x:v>151</x:v>
      </x:c>
      <x:c r="R37" s="37" t="s">
        <x:v>151</x:v>
      </x:c>
      <x:c r="S37" s="37" t="s">
        <x:v>152</x:v>
      </x:c>
      <x:c r="T37" s="36" t="s">
        <x:v>322</x:v>
      </x:c>
      <x:c r="U37" s="36" t="n">
        <x:f>IFERROR(O37*P37*Q37/R37*(1+S37)*T37,"")</x:f>
        <x:v>0.0821917808219178</x:v>
      </x:c>
      <x:c r="V37" s="33" t="s">
        <x:v>323</x:v>
      </x:c>
      <x:c r="W37" s="30">
        <x:v>46236.78357621528</x:v>
      </x:c>
      <x:c r="X37" s="30"/>
      <x:c r="Y37" s="3" t="s">
        <x:v>224</x:v>
      </x:c>
      <x:c r="Z37" s="3" t="s">
        <x:v>197</x:v>
      </x:c>
      <x:c r="AA37" s="17" t="s">
        <x:v>375</x:v>
      </x:c>
      <x:c r="AB37" s="33" t="str">
        <x:f>IF(A37="","",IF(COUNTIF($A$5:$A$1004,A37)&gt;1,"错误:重复成本规则ID",IF(OR(B37="",C37="",D37="",E37="",F37="",K37="",O37&lt;=0,P37&lt;=0,Q37&lt;=0,R37&lt;=0,S37&lt;0,T37&lt;=0,Y37="",Z37=""),"错误:必填项","OK")))</x:f>
        <x:v>OK</x:v>
      </x:c>
    </x:row>
    <x:row r="38" ht="39.599998474121094" customHeight="1">
      <x:c r="A38" s="3" t="s">
        <x:v>384</x:v>
      </x:c>
      <x:c r="B38" s="3" t="s">
        <x:v>194</x:v>
      </x:c>
      <x:c r="C38" s="3" t="s">
        <x:v>373</x:v>
      </x:c>
      <x:c r="D38" s="3" t="s">
        <x:v>232</x:v>
      </x:c>
      <x:c r="E38" s="3" t="s">
        <x:v>264</x:v>
      </x:c>
      <x:c r="F38" s="3" t="s">
        <x:v>318</x:v>
      </x:c>
      <x:c r="G38" s="3" t="s">
        <x:v>319</x:v>
      </x:c>
      <x:c r="H38" s="3" t="s">
        <x:v>319</x:v>
      </x:c>
      <x:c r="I38" s="3" t="s">
        <x:v>319</x:v>
      </x:c>
      <x:c r="J38" s="3" t="s">
        <x:v>320</x:v>
      </x:c>
      <x:c r="K38" s="3" t="s">
        <x:v>150</x:v>
      </x:c>
      <x:c r="L38" s="37" t="s">
        <x:v>319</x:v>
      </x:c>
      <x:c r="M38" s="37" t="s">
        <x:v>383</x:v>
      </x:c>
      <x:c r="N38" s="37" t="s">
        <x:v>319</x:v>
      </x:c>
      <x:c r="O38" s="36" t="s">
        <x:v>383</x:v>
      </x:c>
      <x:c r="P38" s="37" t="s">
        <x:v>151</x:v>
      </x:c>
      <x:c r="Q38" s="37" t="s">
        <x:v>151</x:v>
      </x:c>
      <x:c r="R38" s="37" t="s">
        <x:v>151</x:v>
      </x:c>
      <x:c r="S38" s="37" t="s">
        <x:v>152</x:v>
      </x:c>
      <x:c r="T38" s="36" t="s">
        <x:v>322</x:v>
      </x:c>
      <x:c r="U38" s="36" t="n">
        <x:f>IFERROR(O38*P38*Q38/R38*(1+S38)*T38,"")</x:f>
        <x:v>0.0821917808219178</x:v>
      </x:c>
      <x:c r="V38" s="33" t="s">
        <x:v>323</x:v>
      </x:c>
      <x:c r="W38" s="30">
        <x:v>46236.78357621528</x:v>
      </x:c>
      <x:c r="X38" s="30"/>
      <x:c r="Y38" s="3" t="s">
        <x:v>224</x:v>
      </x:c>
      <x:c r="Z38" s="3" t="s">
        <x:v>197</x:v>
      </x:c>
      <x:c r="AA38" s="17" t="s">
        <x:v>375</x:v>
      </x:c>
      <x:c r="AB38" s="33" t="str">
        <x:f>IF(A38="","",IF(COUNTIF($A$5:$A$1004,A38)&gt;1,"错误:重复成本规则ID",IF(OR(B38="",C38="",D38="",E38="",F38="",K38="",O38&lt;=0,P38&lt;=0,Q38&lt;=0,R38&lt;=0,S38&lt;0,T38&lt;=0,Y38="",Z38=""),"错误:必填项","OK")))</x:f>
        <x:v>OK</x:v>
      </x:c>
    </x:row>
    <x:row r="39" ht="39.599998474121094" customHeight="1">
      <x:c r="A39" s="3" t="s">
        <x:v>385</x:v>
      </x:c>
      <x:c r="B39" s="3" t="s">
        <x:v>194</x:v>
      </x:c>
      <x:c r="C39" s="3" t="s">
        <x:v>386</x:v>
      </x:c>
      <x:c r="D39" s="3" t="s">
        <x:v>232</x:v>
      </x:c>
      <x:c r="E39" s="3" t="s">
        <x:v>258</x:v>
      </x:c>
      <x:c r="F39" s="3" t="s">
        <x:v>318</x:v>
      </x:c>
      <x:c r="G39" s="3" t="s">
        <x:v>319</x:v>
      </x:c>
      <x:c r="H39" s="3" t="s">
        <x:v>319</x:v>
      </x:c>
      <x:c r="I39" s="3" t="s">
        <x:v>319</x:v>
      </x:c>
      <x:c r="J39" s="3" t="s">
        <x:v>320</x:v>
      </x:c>
      <x:c r="K39" s="3" t="s">
        <x:v>150</x:v>
      </x:c>
      <x:c r="L39" s="37" t="s">
        <x:v>319</x:v>
      </x:c>
      <x:c r="M39" s="37" t="s">
        <x:v>387</x:v>
      </x:c>
      <x:c r="N39" s="37" t="s">
        <x:v>319</x:v>
      </x:c>
      <x:c r="O39" s="36" t="s">
        <x:v>387</x:v>
      </x:c>
      <x:c r="P39" s="37" t="s">
        <x:v>151</x:v>
      </x:c>
      <x:c r="Q39" s="37" t="s">
        <x:v>151</x:v>
      </x:c>
      <x:c r="R39" s="37" t="s">
        <x:v>151</x:v>
      </x:c>
      <x:c r="S39" s="37" t="s">
        <x:v>152</x:v>
      </x:c>
      <x:c r="T39" s="36" t="s">
        <x:v>322</x:v>
      </x:c>
      <x:c r="U39" s="36" t="n">
        <x:f>IFERROR(O39*P39*Q39/R39*(1+S39)*T39,"")</x:f>
        <x:v>0.049315068493150684</x:v>
      </x:c>
      <x:c r="V39" s="33" t="s">
        <x:v>323</x:v>
      </x:c>
      <x:c r="W39" s="30">
        <x:v>46236.78357621528</x:v>
      </x:c>
      <x:c r="X39" s="30"/>
      <x:c r="Y39" s="3" t="s">
        <x:v>224</x:v>
      </x:c>
      <x:c r="Z39" s="3" t="s">
        <x:v>197</x:v>
      </x:c>
      <x:c r="AA39" s="17" t="s">
        <x:v>388</x:v>
      </x:c>
      <x:c r="AB39" s="33" t="str">
        <x:f>IF(A39="","",IF(COUNTIF($A$5:$A$1004,A39)&gt;1,"错误:重复成本规则ID",IF(OR(B39="",C39="",D39="",E39="",F39="",K39="",O39&lt;=0,P39&lt;=0,Q39&lt;=0,R39&lt;=0,S39&lt;0,T39&lt;=0,Y39="",Z39=""),"错误:必填项","OK")))</x:f>
        <x:v>OK</x:v>
      </x:c>
    </x:row>
    <x:row r="40" ht="52.79999923706055" customHeight="1">
      <x:c r="A40" s="3" t="s">
        <x:v>389</x:v>
      </x:c>
      <x:c r="B40" s="3" t="s">
        <x:v>194</x:v>
      </x:c>
      <x:c r="C40" s="3" t="s">
        <x:v>386</x:v>
      </x:c>
      <x:c r="D40" s="3" t="s">
        <x:v>232</x:v>
      </x:c>
      <x:c r="E40" s="3" t="s">
        <x:v>264</x:v>
      </x:c>
      <x:c r="F40" s="3" t="s">
        <x:v>318</x:v>
      </x:c>
      <x:c r="G40" s="3" t="s">
        <x:v>319</x:v>
      </x:c>
      <x:c r="H40" s="3" t="s">
        <x:v>319</x:v>
      </x:c>
      <x:c r="I40" s="3" t="s">
        <x:v>319</x:v>
      </x:c>
      <x:c r="J40" s="3" t="s">
        <x:v>320</x:v>
      </x:c>
      <x:c r="K40" s="3" t="s">
        <x:v>150</x:v>
      </x:c>
      <x:c r="L40" s="37" t="s">
        <x:v>319</x:v>
      </x:c>
      <x:c r="M40" s="37" t="s">
        <x:v>387</x:v>
      </x:c>
      <x:c r="N40" s="37" t="s">
        <x:v>319</x:v>
      </x:c>
      <x:c r="O40" s="36" t="s">
        <x:v>387</x:v>
      </x:c>
      <x:c r="P40" s="37" t="s">
        <x:v>151</x:v>
      </x:c>
      <x:c r="Q40" s="37" t="s">
        <x:v>151</x:v>
      </x:c>
      <x:c r="R40" s="37" t="s">
        <x:v>151</x:v>
      </x:c>
      <x:c r="S40" s="37" t="s">
        <x:v>152</x:v>
      </x:c>
      <x:c r="T40" s="36" t="s">
        <x:v>322</x:v>
      </x:c>
      <x:c r="U40" s="36" t="n">
        <x:f>IFERROR(O40*P40*Q40/R40*(1+S40)*T40,"")</x:f>
        <x:v>0.049315068493150684</x:v>
      </x:c>
      <x:c r="V40" s="33" t="s">
        <x:v>323</x:v>
      </x:c>
      <x:c r="W40" s="30">
        <x:v>46236.78357621528</x:v>
      </x:c>
      <x:c r="X40" s="30"/>
      <x:c r="Y40" s="3" t="s">
        <x:v>224</x:v>
      </x:c>
      <x:c r="Z40" s="3" t="s">
        <x:v>197</x:v>
      </x:c>
      <x:c r="AA40" s="17" t="s">
        <x:v>388</x:v>
      </x:c>
      <x:c r="AB40" s="33" t="str">
        <x:f>IF(A40="","",IF(COUNTIF($A$5:$A$1004,A40)&gt;1,"错误:重复成本规则ID",IF(OR(B40="",C40="",D40="",E40="",F40="",K40="",O40&lt;=0,P40&lt;=0,Q40&lt;=0,R40&lt;=0,S40&lt;0,T40&lt;=0,Y40="",Z40=""),"错误:必填项","OK")))</x:f>
        <x:v>OK</x:v>
      </x:c>
    </x:row>
    <x:row r="41" ht="52.79999923706055" customHeight="1">
      <x:c r="A41" s="3" t="s">
        <x:v>390</x:v>
      </x:c>
      <x:c r="B41" s="3" t="s">
        <x:v>194</x:v>
      </x:c>
      <x:c r="C41" s="3" t="s">
        <x:v>386</x:v>
      </x:c>
      <x:c r="D41" s="3" t="s">
        <x:v>227</x:v>
      </x:c>
      <x:c r="E41" s="3" t="s">
        <x:v>258</x:v>
      </x:c>
      <x:c r="F41" s="3" t="s">
        <x:v>331</x:v>
      </x:c>
      <x:c r="G41" s="3" t="s">
        <x:v>319</x:v>
      </x:c>
      <x:c r="H41" s="3" t="s">
        <x:v>319</x:v>
      </x:c>
      <x:c r="I41" s="3" t="s">
        <x:v>319</x:v>
      </x:c>
      <x:c r="J41" s="3" t="s">
        <x:v>320</x:v>
      </x:c>
      <x:c r="K41" s="3" t="s">
        <x:v>150</x:v>
      </x:c>
      <x:c r="L41" s="37" t="s">
        <x:v>391</x:v>
      </x:c>
      <x:c r="M41" s="37" t="s">
        <x:v>319</x:v>
      </x:c>
      <x:c r="N41" s="37" t="s">
        <x:v>319</x:v>
      </x:c>
      <x:c r="O41" s="36" t="s">
        <x:v>391</x:v>
      </x:c>
      <x:c r="P41" s="37" t="s">
        <x:v>151</x:v>
      </x:c>
      <x:c r="Q41" s="37" t="s">
        <x:v>151</x:v>
      </x:c>
      <x:c r="R41" s="37" t="s">
        <x:v>151</x:v>
      </x:c>
      <x:c r="S41" s="37" t="s">
        <x:v>152</x:v>
      </x:c>
      <x:c r="T41" s="36" t="s">
        <x:v>322</x:v>
      </x:c>
      <x:c r="U41" s="36" t="n">
        <x:f>IFERROR(O41*P41*Q41/R41*(1+S41)*T41,"")</x:f>
        <x:v>0.6986301369863013</x:v>
      </x:c>
      <x:c r="V41" s="33" t="s">
        <x:v>333</x:v>
      </x:c>
      <x:c r="W41" s="30">
        <x:v>46236.78357621528</x:v>
      </x:c>
      <x:c r="X41" s="30"/>
      <x:c r="Y41" s="3" t="s">
        <x:v>224</x:v>
      </x:c>
      <x:c r="Z41" s="3" t="s">
        <x:v>197</x:v>
      </x:c>
      <x:c r="AA41" s="17" t="s">
        <x:v>388</x:v>
      </x:c>
      <x:c r="AB41" s="33" t="str">
        <x:f>IF(A41="","",IF(COUNTIF($A$5:$A$1004,A41)&gt;1,"错误:重复成本规则ID",IF(OR(B41="",C41="",D41="",E41="",F41="",K41="",O41&lt;=0,P41&lt;=0,Q41&lt;=0,R41&lt;=0,S41&lt;0,T41&lt;=0,Y41="",Z41=""),"错误:必填项","OK")))</x:f>
        <x:v>OK</x:v>
      </x:c>
    </x:row>
    <x:row r="42" ht="52.79999923706055" customHeight="1">
      <x:c r="A42" s="3" t="s">
        <x:v>392</x:v>
      </x:c>
      <x:c r="B42" s="3" t="s">
        <x:v>194</x:v>
      </x:c>
      <x:c r="C42" s="3" t="s">
        <x:v>386</x:v>
      </x:c>
      <x:c r="D42" s="3" t="s">
        <x:v>227</x:v>
      </x:c>
      <x:c r="E42" s="3" t="s">
        <x:v>264</x:v>
      </x:c>
      <x:c r="F42" s="3" t="s">
        <x:v>331</x:v>
      </x:c>
      <x:c r="G42" s="3" t="s">
        <x:v>319</x:v>
      </x:c>
      <x:c r="H42" s="3" t="s">
        <x:v>319</x:v>
      </x:c>
      <x:c r="I42" s="3" t="s">
        <x:v>319</x:v>
      </x:c>
      <x:c r="J42" s="3" t="s">
        <x:v>320</x:v>
      </x:c>
      <x:c r="K42" s="3" t="s">
        <x:v>150</x:v>
      </x:c>
      <x:c r="L42" s="37" t="s">
        <x:v>391</x:v>
      </x:c>
      <x:c r="M42" s="37" t="s">
        <x:v>319</x:v>
      </x:c>
      <x:c r="N42" s="37" t="s">
        <x:v>319</x:v>
      </x:c>
      <x:c r="O42" s="36" t="s">
        <x:v>391</x:v>
      </x:c>
      <x:c r="P42" s="37" t="s">
        <x:v>151</x:v>
      </x:c>
      <x:c r="Q42" s="37" t="s">
        <x:v>151</x:v>
      </x:c>
      <x:c r="R42" s="37" t="s">
        <x:v>151</x:v>
      </x:c>
      <x:c r="S42" s="37" t="s">
        <x:v>152</x:v>
      </x:c>
      <x:c r="T42" s="36" t="s">
        <x:v>322</x:v>
      </x:c>
      <x:c r="U42" s="36" t="n">
        <x:f>IFERROR(O42*P42*Q42/R42*(1+S42)*T42,"")</x:f>
        <x:v>0.6986301369863013</x:v>
      </x:c>
      <x:c r="V42" s="33" t="s">
        <x:v>333</x:v>
      </x:c>
      <x:c r="W42" s="30">
        <x:v>46236.78357621528</x:v>
      </x:c>
      <x:c r="X42" s="30"/>
      <x:c r="Y42" s="3" t="s">
        <x:v>224</x:v>
      </x:c>
      <x:c r="Z42" s="3" t="s">
        <x:v>197</x:v>
      </x:c>
      <x:c r="AA42" s="17" t="s">
        <x:v>388</x:v>
      </x:c>
      <x:c r="AB42" s="33" t="str">
        <x:f>IF(A42="","",IF(COUNTIF($A$5:$A$1004,A42)&gt;1,"错误:重复成本规则ID",IF(OR(B42="",C42="",D42="",E42="",F42="",K42="",O42&lt;=0,P42&lt;=0,Q42&lt;=0,R42&lt;=0,S42&lt;0,T42&lt;=0,Y42="",Z42=""),"错误:必填项","OK")))</x:f>
        <x:v>OK</x:v>
      </x:c>
    </x:row>
    <x:row r="43" ht="52.79999923706055" customHeight="1">
      <x:c r="A43" s="3" t="s">
        <x:v>393</x:v>
      </x:c>
      <x:c r="B43" s="3" t="s">
        <x:v>194</x:v>
      </x:c>
      <x:c r="C43" s="3" t="s">
        <x:v>386</x:v>
      </x:c>
      <x:c r="D43" s="3" t="s">
        <x:v>232</x:v>
      </x:c>
      <x:c r="E43" s="3" t="s">
        <x:v>258</x:v>
      </x:c>
      <x:c r="F43" s="3" t="s">
        <x:v>331</x:v>
      </x:c>
      <x:c r="G43" s="3" t="s">
        <x:v>319</x:v>
      </x:c>
      <x:c r="H43" s="3" t="s">
        <x:v>319</x:v>
      </x:c>
      <x:c r="I43" s="3" t="s">
        <x:v>319</x:v>
      </x:c>
      <x:c r="J43" s="3" t="s">
        <x:v>320</x:v>
      </x:c>
      <x:c r="K43" s="3" t="s">
        <x:v>150</x:v>
      </x:c>
      <x:c r="L43" s="37" t="s">
        <x:v>355</x:v>
      </x:c>
      <x:c r="M43" s="37" t="s">
        <x:v>319</x:v>
      </x:c>
      <x:c r="N43" s="37" t="s">
        <x:v>319</x:v>
      </x:c>
      <x:c r="O43" s="36" t="s">
        <x:v>355</x:v>
      </x:c>
      <x:c r="P43" s="37" t="s">
        <x:v>151</x:v>
      </x:c>
      <x:c r="Q43" s="37" t="s">
        <x:v>151</x:v>
      </x:c>
      <x:c r="R43" s="37" t="s">
        <x:v>151</x:v>
      </x:c>
      <x:c r="S43" s="37" t="s">
        <x:v>152</x:v>
      </x:c>
      <x:c r="T43" s="36" t="s">
        <x:v>322</x:v>
      </x:c>
      <x:c r="U43" s="36" t="n">
        <x:f>IFERROR(O43*P43*Q43/R43*(1+S43)*T43,"")</x:f>
        <x:v>0.9863013698630136</x:v>
      </x:c>
      <x:c r="V43" s="33" t="s">
        <x:v>333</x:v>
      </x:c>
      <x:c r="W43" s="30">
        <x:v>46236.78357621528</x:v>
      </x:c>
      <x:c r="X43" s="30"/>
      <x:c r="Y43" s="3" t="s">
        <x:v>224</x:v>
      </x:c>
      <x:c r="Z43" s="3" t="s">
        <x:v>197</x:v>
      </x:c>
      <x:c r="AA43" s="17" t="s">
        <x:v>388</x:v>
      </x:c>
      <x:c r="AB43" s="33" t="str">
        <x:f>IF(A43="","",IF(COUNTIF($A$5:$A$1004,A43)&gt;1,"错误:重复成本规则ID",IF(OR(B43="",C43="",D43="",E43="",F43="",K43="",O43&lt;=0,P43&lt;=0,Q43&lt;=0,R43&lt;=0,S43&lt;0,T43&lt;=0,Y43="",Z43=""),"错误:必填项","OK")))</x:f>
        <x:v>OK</x:v>
      </x:c>
    </x:row>
    <x:row r="44" ht="66" customHeight="1">
      <x:c r="A44" s="3" t="s">
        <x:v>394</x:v>
      </x:c>
      <x:c r="B44" s="3" t="s">
        <x:v>194</x:v>
      </x:c>
      <x:c r="C44" s="3" t="s">
        <x:v>386</x:v>
      </x:c>
      <x:c r="D44" s="3" t="s">
        <x:v>232</x:v>
      </x:c>
      <x:c r="E44" s="3" t="s">
        <x:v>264</x:v>
      </x:c>
      <x:c r="F44" s="3" t="s">
        <x:v>331</x:v>
      </x:c>
      <x:c r="G44" s="3" t="s">
        <x:v>319</x:v>
      </x:c>
      <x:c r="H44" s="3" t="s">
        <x:v>319</x:v>
      </x:c>
      <x:c r="I44" s="3" t="s">
        <x:v>319</x:v>
      </x:c>
      <x:c r="J44" s="3" t="s">
        <x:v>320</x:v>
      </x:c>
      <x:c r="K44" s="3" t="s">
        <x:v>150</x:v>
      </x:c>
      <x:c r="L44" s="37" t="s">
        <x:v>355</x:v>
      </x:c>
      <x:c r="M44" s="37" t="s">
        <x:v>319</x:v>
      </x:c>
      <x:c r="N44" s="37" t="s">
        <x:v>319</x:v>
      </x:c>
      <x:c r="O44" s="36" t="s">
        <x:v>355</x:v>
      </x:c>
      <x:c r="P44" s="37" t="s">
        <x:v>151</x:v>
      </x:c>
      <x:c r="Q44" s="37" t="s">
        <x:v>151</x:v>
      </x:c>
      <x:c r="R44" s="37" t="s">
        <x:v>151</x:v>
      </x:c>
      <x:c r="S44" s="37" t="s">
        <x:v>152</x:v>
      </x:c>
      <x:c r="T44" s="36" t="s">
        <x:v>322</x:v>
      </x:c>
      <x:c r="U44" s="36" t="n">
        <x:f>IFERROR(O44*P44*Q44/R44*(1+S44)*T44,"")</x:f>
        <x:v>0.9863013698630136</x:v>
      </x:c>
      <x:c r="V44" s="33" t="s">
        <x:v>333</x:v>
      </x:c>
      <x:c r="W44" s="30">
        <x:v>46236.78357621528</x:v>
      </x:c>
      <x:c r="X44" s="30"/>
      <x:c r="Y44" s="3" t="s">
        <x:v>224</x:v>
      </x:c>
      <x:c r="Z44" s="3" t="s">
        <x:v>197</x:v>
      </x:c>
      <x:c r="AA44" s="17" t="s">
        <x:v>388</x:v>
      </x:c>
      <x:c r="AB44" s="33" t="str">
        <x:f>IF(A44="","",IF(COUNTIF($A$5:$A$1004,A44)&gt;1,"错误:重复成本规则ID",IF(OR(B44="",C44="",D44="",E44="",F44="",K44="",O44&lt;=0,P44&lt;=0,Q44&lt;=0,R44&lt;=0,S44&lt;0,T44&lt;=0,Y44="",Z44=""),"错误:必填项","OK")))</x:f>
        <x:v>OK</x:v>
      </x:c>
    </x:row>
    <x:row r="45" ht="66" customHeight="1">
      <x:c r="A45" s="3" t="s">
        <x:v>395</x:v>
      </x:c>
      <x:c r="B45" s="3" t="s">
        <x:v>194</x:v>
      </x:c>
      <x:c r="C45" s="3" t="s">
        <x:v>396</x:v>
      </x:c>
      <x:c r="D45" s="3" t="s">
        <x:v>232</x:v>
      </x:c>
      <x:c r="E45" s="3" t="s">
        <x:v>258</x:v>
      </x:c>
      <x:c r="F45" s="3" t="s">
        <x:v>331</x:v>
      </x:c>
      <x:c r="G45" s="3" t="s">
        <x:v>319</x:v>
      </x:c>
      <x:c r="H45" s="3" t="s">
        <x:v>319</x:v>
      </x:c>
      <x:c r="I45" s="3" t="s">
        <x:v>319</x:v>
      </x:c>
      <x:c r="J45" s="3" t="s">
        <x:v>320</x:v>
      </x:c>
      <x:c r="K45" s="3" t="s">
        <x:v>150</x:v>
      </x:c>
      <x:c r="L45" s="37" t="s">
        <x:v>345</x:v>
      </x:c>
      <x:c r="M45" s="37" t="s">
        <x:v>319</x:v>
      </x:c>
      <x:c r="N45" s="37" t="s">
        <x:v>319</x:v>
      </x:c>
      <x:c r="O45" s="36" t="s">
        <x:v>345</x:v>
      </x:c>
      <x:c r="P45" s="37" t="s">
        <x:v>151</x:v>
      </x:c>
      <x:c r="Q45" s="37" t="s">
        <x:v>151</x:v>
      </x:c>
      <x:c r="R45" s="37" t="s">
        <x:v>151</x:v>
      </x:c>
      <x:c r="S45" s="37" t="s">
        <x:v>152</x:v>
      </x:c>
      <x:c r="T45" s="36" t="s">
        <x:v>322</x:v>
      </x:c>
      <x:c r="U45" s="36" t="n">
        <x:f>IFERROR(O45*P45*Q45/R45*(1+S45)*T45,"")</x:f>
        <x:v>0.6164383561643836</x:v>
      </x:c>
      <x:c r="V45" s="33" t="s">
        <x:v>333</x:v>
      </x:c>
      <x:c r="W45" s="30">
        <x:v>46236.78357621528</x:v>
      </x:c>
      <x:c r="X45" s="30"/>
      <x:c r="Y45" s="3" t="s">
        <x:v>224</x:v>
      </x:c>
      <x:c r="Z45" s="3" t="s">
        <x:v>197</x:v>
      </x:c>
      <x:c r="AA45" s="17" t="s">
        <x:v>397</x:v>
      </x:c>
      <x:c r="AB45" s="33" t="str">
        <x:f>IF(A45="","",IF(COUNTIF($A$5:$A$1004,A45)&gt;1,"错误:重复成本规则ID",IF(OR(B45="",C45="",D45="",E45="",F45="",K45="",O45&lt;=0,P45&lt;=0,Q45&lt;=0,R45&lt;=0,S45&lt;0,T45&lt;=0,Y45="",Z45=""),"错误:必填项","OK")))</x:f>
        <x:v>OK</x:v>
      </x:c>
    </x:row>
    <x:row r="46" ht="66" customHeight="1">
      <x:c r="A46" s="3" t="s">
        <x:v>398</x:v>
      </x:c>
      <x:c r="B46" s="3" t="s">
        <x:v>194</x:v>
      </x:c>
      <x:c r="C46" s="3" t="s">
        <x:v>396</x:v>
      </x:c>
      <x:c r="D46" s="3" t="s">
        <x:v>232</x:v>
      </x:c>
      <x:c r="E46" s="3" t="s">
        <x:v>264</x:v>
      </x:c>
      <x:c r="F46" s="3" t="s">
        <x:v>331</x:v>
      </x:c>
      <x:c r="G46" s="3" t="s">
        <x:v>319</x:v>
      </x:c>
      <x:c r="H46" s="3" t="s">
        <x:v>319</x:v>
      </x:c>
      <x:c r="I46" s="3" t="s">
        <x:v>319</x:v>
      </x:c>
      <x:c r="J46" s="3" t="s">
        <x:v>320</x:v>
      </x:c>
      <x:c r="K46" s="3" t="s">
        <x:v>150</x:v>
      </x:c>
      <x:c r="L46" s="37" t="s">
        <x:v>345</x:v>
      </x:c>
      <x:c r="M46" s="37" t="s">
        <x:v>319</x:v>
      </x:c>
      <x:c r="N46" s="37" t="s">
        <x:v>319</x:v>
      </x:c>
      <x:c r="O46" s="36" t="s">
        <x:v>345</x:v>
      </x:c>
      <x:c r="P46" s="37" t="s">
        <x:v>151</x:v>
      </x:c>
      <x:c r="Q46" s="37" t="s">
        <x:v>151</x:v>
      </x:c>
      <x:c r="R46" s="37" t="s">
        <x:v>151</x:v>
      </x:c>
      <x:c r="S46" s="37" t="s">
        <x:v>152</x:v>
      </x:c>
      <x:c r="T46" s="36" t="s">
        <x:v>322</x:v>
      </x:c>
      <x:c r="U46" s="36" t="n">
        <x:f>IFERROR(O46*P46*Q46/R46*(1+S46)*T46,"")</x:f>
        <x:v>0.6164383561643836</x:v>
      </x:c>
      <x:c r="V46" s="33" t="s">
        <x:v>333</x:v>
      </x:c>
      <x:c r="W46" s="30">
        <x:v>46236.78357621528</x:v>
      </x:c>
      <x:c r="X46" s="30"/>
      <x:c r="Y46" s="3" t="s">
        <x:v>224</x:v>
      </x:c>
      <x:c r="Z46" s="3" t="s">
        <x:v>197</x:v>
      </x:c>
      <x:c r="AA46" s="17" t="s">
        <x:v>397</x:v>
      </x:c>
      <x:c r="AB46" s="33" t="str">
        <x:f>IF(A46="","",IF(COUNTIF($A$5:$A$1004,A46)&gt;1,"错误:重复成本规则ID",IF(OR(B46="",C46="",D46="",E46="",F46="",K46="",O46&lt;=0,P46&lt;=0,Q46&lt;=0,R46&lt;=0,S46&lt;0,T46&lt;=0,Y46="",Z46=""),"错误:必填项","OK")))</x:f>
        <x:v>OK</x:v>
      </x:c>
    </x:row>
    <x:row r="47" ht="66" customHeight="1">
      <x:c r="A47" s="3" t="s">
        <x:v>399</x:v>
      </x:c>
      <x:c r="B47" s="3" t="s">
        <x:v>194</x:v>
      </x:c>
      <x:c r="C47" s="3" t="s">
        <x:v>400</x:v>
      </x:c>
      <x:c r="D47" s="3" t="s">
        <x:v>227</x:v>
      </x:c>
      <x:c r="E47" s="3" t="s">
        <x:v>258</x:v>
      </x:c>
      <x:c r="F47" s="3" t="s">
        <x:v>331</x:v>
      </x:c>
      <x:c r="G47" s="3" t="s">
        <x:v>319</x:v>
      </x:c>
      <x:c r="H47" s="3" t="s">
        <x:v>319</x:v>
      </x:c>
      <x:c r="I47" s="3" t="s">
        <x:v>319</x:v>
      </x:c>
      <x:c r="J47" s="3" t="s">
        <x:v>320</x:v>
      </x:c>
      <x:c r="K47" s="3" t="s">
        <x:v>150</x:v>
      </x:c>
      <x:c r="L47" s="37" t="s">
        <x:v>359</x:v>
      </x:c>
      <x:c r="M47" s="37" t="s">
        <x:v>319</x:v>
      </x:c>
      <x:c r="N47" s="37" t="s">
        <x:v>319</x:v>
      </x:c>
      <x:c r="O47" s="36" t="s">
        <x:v>359</x:v>
      </x:c>
      <x:c r="P47" s="37" t="s">
        <x:v>151</x:v>
      </x:c>
      <x:c r="Q47" s="37" t="s">
        <x:v>151</x:v>
      </x:c>
      <x:c r="R47" s="37" t="s">
        <x:v>151</x:v>
      </x:c>
      <x:c r="S47" s="37" t="s">
        <x:v>152</x:v>
      </x:c>
      <x:c r="T47" s="36" t="s">
        <x:v>322</x:v>
      </x:c>
      <x:c r="U47" s="36" t="n">
        <x:f>IFERROR(O47*P47*Q47/R47*(1+S47)*T47,"")</x:f>
        <x:v>1.2191780821917808</x:v>
      </x:c>
      <x:c r="V47" s="33" t="s">
        <x:v>333</x:v>
      </x:c>
      <x:c r="W47" s="30">
        <x:v>46236.78357621528</x:v>
      </x:c>
      <x:c r="X47" s="30"/>
      <x:c r="Y47" s="3" t="s">
        <x:v>224</x:v>
      </x:c>
      <x:c r="Z47" s="3" t="s">
        <x:v>197</x:v>
      </x:c>
      <x:c r="AA47" s="17" t="s">
        <x:v>401</x:v>
      </x:c>
      <x:c r="AB47" s="33" t="str">
        <x:f>IF(A47="","",IF(COUNTIF($A$5:$A$1004,A47)&gt;1,"错误:重复成本规则ID",IF(OR(B47="",C47="",D47="",E47="",F47="",K47="",O47&lt;=0,P47&lt;=0,Q47&lt;=0,R47&lt;=0,S47&lt;0,T47&lt;=0,Y47="",Z47=""),"错误:必填项","OK")))</x:f>
        <x:v>OK</x:v>
      </x:c>
    </x:row>
    <x:row r="48" ht="39.599998474121094" customHeight="1">
      <x:c r="A48" s="3" t="s">
        <x:v>402</x:v>
      </x:c>
      <x:c r="B48" s="3" t="s">
        <x:v>194</x:v>
      </x:c>
      <x:c r="C48" s="3" t="s">
        <x:v>400</x:v>
      </x:c>
      <x:c r="D48" s="3" t="s">
        <x:v>227</x:v>
      </x:c>
      <x:c r="E48" s="3" t="s">
        <x:v>264</x:v>
      </x:c>
      <x:c r="F48" s="3" t="s">
        <x:v>331</x:v>
      </x:c>
      <x:c r="G48" s="3" t="s">
        <x:v>319</x:v>
      </x:c>
      <x:c r="H48" s="3" t="s">
        <x:v>319</x:v>
      </x:c>
      <x:c r="I48" s="3" t="s">
        <x:v>319</x:v>
      </x:c>
      <x:c r="J48" s="3" t="s">
        <x:v>320</x:v>
      </x:c>
      <x:c r="K48" s="3" t="s">
        <x:v>150</x:v>
      </x:c>
      <x:c r="L48" s="37" t="s">
        <x:v>359</x:v>
      </x:c>
      <x:c r="M48" s="37" t="s">
        <x:v>319</x:v>
      </x:c>
      <x:c r="N48" s="37" t="s">
        <x:v>319</x:v>
      </x:c>
      <x:c r="O48" s="36" t="s">
        <x:v>359</x:v>
      </x:c>
      <x:c r="P48" s="37" t="s">
        <x:v>151</x:v>
      </x:c>
      <x:c r="Q48" s="37" t="s">
        <x:v>151</x:v>
      </x:c>
      <x:c r="R48" s="37" t="s">
        <x:v>151</x:v>
      </x:c>
      <x:c r="S48" s="37" t="s">
        <x:v>152</x:v>
      </x:c>
      <x:c r="T48" s="36" t="s">
        <x:v>322</x:v>
      </x:c>
      <x:c r="U48" s="36" t="n">
        <x:f>IFERROR(O48*P48*Q48/R48*(1+S48)*T48,"")</x:f>
        <x:v>1.2191780821917808</x:v>
      </x:c>
      <x:c r="V48" s="33" t="s">
        <x:v>333</x:v>
      </x:c>
      <x:c r="W48" s="30">
        <x:v>46236.78357621528</x:v>
      </x:c>
      <x:c r="X48" s="30"/>
      <x:c r="Y48" s="3" t="s">
        <x:v>224</x:v>
      </x:c>
      <x:c r="Z48" s="3" t="s">
        <x:v>197</x:v>
      </x:c>
      <x:c r="AA48" s="17" t="s">
        <x:v>401</x:v>
      </x:c>
      <x:c r="AB48" s="33" t="str">
        <x:f>IF(A48="","",IF(COUNTIF($A$5:$A$1004,A48)&gt;1,"错误:重复成本规则ID",IF(OR(B48="",C48="",D48="",E48="",F48="",K48="",O48&lt;=0,P48&lt;=0,Q48&lt;=0,R48&lt;=0,S48&lt;0,T48&lt;=0,Y48="",Z48=""),"错误:必填项","OK")))</x:f>
        <x:v>OK</x:v>
      </x:c>
    </x:row>
    <x:row r="49" ht="39.599998474121094" customHeight="1">
      <x:c r="A49" s="3" t="s">
        <x:v>403</x:v>
      </x:c>
      <x:c r="B49" s="3" t="s">
        <x:v>194</x:v>
      </x:c>
      <x:c r="C49" s="3" t="s">
        <x:v>400</x:v>
      </x:c>
      <x:c r="D49" s="3" t="s">
        <x:v>232</x:v>
      </x:c>
      <x:c r="E49" s="3" t="s">
        <x:v>258</x:v>
      </x:c>
      <x:c r="F49" s="3" t="s">
        <x:v>331</x:v>
      </x:c>
      <x:c r="G49" s="3" t="s">
        <x:v>319</x:v>
      </x:c>
      <x:c r="H49" s="3" t="s">
        <x:v>319</x:v>
      </x:c>
      <x:c r="I49" s="3" t="s">
        <x:v>319</x:v>
      </x:c>
      <x:c r="J49" s="3" t="s">
        <x:v>320</x:v>
      </x:c>
      <x:c r="K49" s="3" t="s">
        <x:v>150</x:v>
      </x:c>
      <x:c r="L49" s="37" t="s">
        <x:v>404</x:v>
      </x:c>
      <x:c r="M49" s="37" t="s">
        <x:v>319</x:v>
      </x:c>
      <x:c r="N49" s="37" t="s">
        <x:v>319</x:v>
      </x:c>
      <x:c r="O49" s="36" t="s">
        <x:v>404</x:v>
      </x:c>
      <x:c r="P49" s="37" t="s">
        <x:v>151</x:v>
      </x:c>
      <x:c r="Q49" s="37" t="s">
        <x:v>151</x:v>
      </x:c>
      <x:c r="R49" s="37" t="s">
        <x:v>151</x:v>
      </x:c>
      <x:c r="S49" s="37" t="s">
        <x:v>152</x:v>
      </x:c>
      <x:c r="T49" s="36" t="s">
        <x:v>322</x:v>
      </x:c>
      <x:c r="U49" s="36" t="n">
        <x:f>IFERROR(O49*P49*Q49/R49*(1+S49)*T49,"")</x:f>
        <x:v>1.7808219178082192</x:v>
      </x:c>
      <x:c r="V49" s="33" t="s">
        <x:v>333</x:v>
      </x:c>
      <x:c r="W49" s="30">
        <x:v>46236.78357621528</x:v>
      </x:c>
      <x:c r="X49" s="30"/>
      <x:c r="Y49" s="3" t="s">
        <x:v>224</x:v>
      </x:c>
      <x:c r="Z49" s="3" t="s">
        <x:v>197</x:v>
      </x:c>
      <x:c r="AA49" s="17" t="s">
        <x:v>401</x:v>
      </x:c>
      <x:c r="AB49" s="33" t="str">
        <x:f>IF(A49="","",IF(COUNTIF($A$5:$A$1004,A49)&gt;1,"错误:重复成本规则ID",IF(OR(B49="",C49="",D49="",E49="",F49="",K49="",O49&lt;=0,P49&lt;=0,Q49&lt;=0,R49&lt;=0,S49&lt;0,T49&lt;=0,Y49="",Z49=""),"错误:必填项","OK")))</x:f>
        <x:v>OK</x:v>
      </x:c>
    </x:row>
    <x:row r="50" ht="39.599998474121094" customHeight="1">
      <x:c r="A50" s="3" t="s">
        <x:v>405</x:v>
      </x:c>
      <x:c r="B50" s="3" t="s">
        <x:v>194</x:v>
      </x:c>
      <x:c r="C50" s="3" t="s">
        <x:v>400</x:v>
      </x:c>
      <x:c r="D50" s="3" t="s">
        <x:v>232</x:v>
      </x:c>
      <x:c r="E50" s="3" t="s">
        <x:v>264</x:v>
      </x:c>
      <x:c r="F50" s="3" t="s">
        <x:v>331</x:v>
      </x:c>
      <x:c r="G50" s="3" t="s">
        <x:v>319</x:v>
      </x:c>
      <x:c r="H50" s="3" t="s">
        <x:v>319</x:v>
      </x:c>
      <x:c r="I50" s="3" t="s">
        <x:v>319</x:v>
      </x:c>
      <x:c r="J50" s="3" t="s">
        <x:v>320</x:v>
      </x:c>
      <x:c r="K50" s="3" t="s">
        <x:v>150</x:v>
      </x:c>
      <x:c r="L50" s="37" t="s">
        <x:v>404</x:v>
      </x:c>
      <x:c r="M50" s="37" t="s">
        <x:v>319</x:v>
      </x:c>
      <x:c r="N50" s="37" t="s">
        <x:v>319</x:v>
      </x:c>
      <x:c r="O50" s="36" t="s">
        <x:v>404</x:v>
      </x:c>
      <x:c r="P50" s="37" t="s">
        <x:v>151</x:v>
      </x:c>
      <x:c r="Q50" s="37" t="s">
        <x:v>151</x:v>
      </x:c>
      <x:c r="R50" s="37" t="s">
        <x:v>151</x:v>
      </x:c>
      <x:c r="S50" s="37" t="s">
        <x:v>152</x:v>
      </x:c>
      <x:c r="T50" s="36" t="s">
        <x:v>322</x:v>
      </x:c>
      <x:c r="U50" s="36" t="n">
        <x:f>IFERROR(O50*P50*Q50/R50*(1+S50)*T50,"")</x:f>
        <x:v>1.7808219178082192</x:v>
      </x:c>
      <x:c r="V50" s="33" t="s">
        <x:v>333</x:v>
      </x:c>
      <x:c r="W50" s="30">
        <x:v>46236.78357621528</x:v>
      </x:c>
      <x:c r="X50" s="30"/>
      <x:c r="Y50" s="3" t="s">
        <x:v>224</x:v>
      </x:c>
      <x:c r="Z50" s="3" t="s">
        <x:v>197</x:v>
      </x:c>
      <x:c r="AA50" s="17" t="s">
        <x:v>401</x:v>
      </x:c>
      <x:c r="AB50" s="33" t="str">
        <x:f>IF(A50="","",IF(COUNTIF($A$5:$A$1004,A50)&gt;1,"错误:重复成本规则ID",IF(OR(B50="",C50="",D50="",E50="",F50="",K50="",O50&lt;=0,P50&lt;=0,Q50&lt;=0,R50&lt;=0,S50&lt;0,T50&lt;=0,Y50="",Z50=""),"错误:必填项","OK")))</x:f>
        <x:v>OK</x:v>
      </x:c>
    </x:row>
    <x:row r="51" ht="39.599998474121094" customHeight="1">
      <x:c r="A51" s="3" t="s">
        <x:v>406</x:v>
      </x:c>
      <x:c r="B51" s="3" t="s">
        <x:v>194</x:v>
      </x:c>
      <x:c r="C51" s="3" t="s">
        <x:v>400</x:v>
      </x:c>
      <x:c r="D51" s="3" t="s">
        <x:v>217</x:v>
      </x:c>
      <x:c r="E51" s="3" t="s">
        <x:v>258</x:v>
      </x:c>
      <x:c r="F51" s="3" t="s">
        <x:v>331</x:v>
      </x:c>
      <x:c r="G51" s="3" t="s">
        <x:v>319</x:v>
      </x:c>
      <x:c r="H51" s="3" t="s">
        <x:v>319</x:v>
      </x:c>
      <x:c r="I51" s="3" t="s">
        <x:v>319</x:v>
      </x:c>
      <x:c r="J51" s="3" t="s">
        <x:v>320</x:v>
      </x:c>
      <x:c r="K51" s="3" t="s">
        <x:v>150</x:v>
      </x:c>
      <x:c r="L51" s="37" t="s">
        <x:v>407</x:v>
      </x:c>
      <x:c r="M51" s="37" t="s">
        <x:v>319</x:v>
      </x:c>
      <x:c r="N51" s="37" t="s">
        <x:v>319</x:v>
      </x:c>
      <x:c r="O51" s="36" t="s">
        <x:v>407</x:v>
      </x:c>
      <x:c r="P51" s="37" t="s">
        <x:v>151</x:v>
      </x:c>
      <x:c r="Q51" s="37" t="s">
        <x:v>151</x:v>
      </x:c>
      <x:c r="R51" s="37" t="s">
        <x:v>151</x:v>
      </x:c>
      <x:c r="S51" s="37" t="s">
        <x:v>152</x:v>
      </x:c>
      <x:c r="T51" s="36" t="s">
        <x:v>322</x:v>
      </x:c>
      <x:c r="U51" s="36" t="n">
        <x:f>IFERROR(O51*P51*Q51/R51*(1+S51)*T51,"")</x:f>
        <x:v>2.054794520547945</x:v>
      </x:c>
      <x:c r="V51" s="33" t="s">
        <x:v>333</x:v>
      </x:c>
      <x:c r="W51" s="30">
        <x:v>46236.78357621528</x:v>
      </x:c>
      <x:c r="X51" s="30"/>
      <x:c r="Y51" s="3" t="s">
        <x:v>224</x:v>
      </x:c>
      <x:c r="Z51" s="3" t="s">
        <x:v>197</x:v>
      </x:c>
      <x:c r="AA51" s="17" t="s">
        <x:v>401</x:v>
      </x:c>
      <x:c r="AB51" s="33" t="str">
        <x:f>IF(A51="","",IF(COUNTIF($A$5:$A$1004,A51)&gt;1,"错误:重复成本规则ID",IF(OR(B51="",C51="",D51="",E51="",F51="",K51="",O51&lt;=0,P51&lt;=0,Q51&lt;=0,R51&lt;=0,S51&lt;0,T51&lt;=0,Y51="",Z51=""),"错误:必填项","OK")))</x:f>
        <x:v>OK</x:v>
      </x:c>
    </x:row>
    <x:row r="52" ht="52.79999923706055" customHeight="1">
      <x:c r="A52" s="3" t="s">
        <x:v>408</x:v>
      </x:c>
      <x:c r="B52" s="3" t="s">
        <x:v>194</x:v>
      </x:c>
      <x:c r="C52" s="3" t="s">
        <x:v>400</x:v>
      </x:c>
      <x:c r="D52" s="3" t="s">
        <x:v>217</x:v>
      </x:c>
      <x:c r="E52" s="3" t="s">
        <x:v>264</x:v>
      </x:c>
      <x:c r="F52" s="3" t="s">
        <x:v>331</x:v>
      </x:c>
      <x:c r="G52" s="3" t="s">
        <x:v>319</x:v>
      </x:c>
      <x:c r="H52" s="3" t="s">
        <x:v>319</x:v>
      </x:c>
      <x:c r="I52" s="3" t="s">
        <x:v>319</x:v>
      </x:c>
      <x:c r="J52" s="3" t="s">
        <x:v>320</x:v>
      </x:c>
      <x:c r="K52" s="3" t="s">
        <x:v>150</x:v>
      </x:c>
      <x:c r="L52" s="37" t="s">
        <x:v>407</x:v>
      </x:c>
      <x:c r="M52" s="37" t="s">
        <x:v>319</x:v>
      </x:c>
      <x:c r="N52" s="37" t="s">
        <x:v>319</x:v>
      </x:c>
      <x:c r="O52" s="36" t="s">
        <x:v>407</x:v>
      </x:c>
      <x:c r="P52" s="37" t="s">
        <x:v>151</x:v>
      </x:c>
      <x:c r="Q52" s="37" t="s">
        <x:v>151</x:v>
      </x:c>
      <x:c r="R52" s="37" t="s">
        <x:v>151</x:v>
      </x:c>
      <x:c r="S52" s="37" t="s">
        <x:v>152</x:v>
      </x:c>
      <x:c r="T52" s="36" t="s">
        <x:v>322</x:v>
      </x:c>
      <x:c r="U52" s="36" t="n">
        <x:f>IFERROR(O52*P52*Q52/R52*(1+S52)*T52,"")</x:f>
        <x:v>2.054794520547945</x:v>
      </x:c>
      <x:c r="V52" s="33" t="s">
        <x:v>333</x:v>
      </x:c>
      <x:c r="W52" s="30">
        <x:v>46236.78357621528</x:v>
      </x:c>
      <x:c r="X52" s="30"/>
      <x:c r="Y52" s="3" t="s">
        <x:v>224</x:v>
      </x:c>
      <x:c r="Z52" s="3" t="s">
        <x:v>197</x:v>
      </x:c>
      <x:c r="AA52" s="17" t="s">
        <x:v>401</x:v>
      </x:c>
      <x:c r="AB52" s="33" t="str">
        <x:f>IF(A52="","",IF(COUNTIF($A$5:$A$1004,A52)&gt;1,"错误:重复成本规则ID",IF(OR(B52="",C52="",D52="",E52="",F52="",K52="",O52&lt;=0,P52&lt;=0,Q52&lt;=0,R52&lt;=0,S52&lt;0,T52&lt;=0,Y52="",Z52=""),"错误:必填项","OK")))</x:f>
        <x:v>OK</x:v>
      </x:c>
    </x:row>
    <x:row r="53" ht="52.79999923706055" customHeight="1">
      <x:c r="A53" s="3" t="s">
        <x:v>409</x:v>
      </x:c>
      <x:c r="B53" s="3" t="s">
        <x:v>194</x:v>
      </x:c>
      <x:c r="C53" s="3" t="s">
        <x:v>400</x:v>
      </x:c>
      <x:c r="D53" s="3" t="s">
        <x:v>230</x:v>
      </x:c>
      <x:c r="E53" s="3" t="s">
        <x:v>258</x:v>
      </x:c>
      <x:c r="F53" s="3" t="s">
        <x:v>331</x:v>
      </x:c>
      <x:c r="G53" s="3" t="s">
        <x:v>319</x:v>
      </x:c>
      <x:c r="H53" s="3" t="s">
        <x:v>319</x:v>
      </x:c>
      <x:c r="I53" s="3" t="s">
        <x:v>319</x:v>
      </x:c>
      <x:c r="J53" s="3" t="s">
        <x:v>320</x:v>
      </x:c>
      <x:c r="K53" s="3" t="s">
        <x:v>150</x:v>
      </x:c>
      <x:c r="L53" s="37" t="s">
        <x:v>410</x:v>
      </x:c>
      <x:c r="M53" s="37" t="s">
        <x:v>319</x:v>
      </x:c>
      <x:c r="N53" s="37" t="s">
        <x:v>319</x:v>
      </x:c>
      <x:c r="O53" s="36" t="s">
        <x:v>410</x:v>
      </x:c>
      <x:c r="P53" s="37" t="s">
        <x:v>151</x:v>
      </x:c>
      <x:c r="Q53" s="37" t="s">
        <x:v>151</x:v>
      </x:c>
      <x:c r="R53" s="37" t="s">
        <x:v>151</x:v>
      </x:c>
      <x:c r="S53" s="37" t="s">
        <x:v>152</x:v>
      </x:c>
      <x:c r="T53" s="36" t="s">
        <x:v>322</x:v>
      </x:c>
      <x:c r="U53" s="36" t="n">
        <x:f>IFERROR(O53*P53*Q53/R53*(1+S53)*T53,"")</x:f>
        <x:v>6.164383561643835</x:v>
      </x:c>
      <x:c r="V53" s="33" t="s">
        <x:v>333</x:v>
      </x:c>
      <x:c r="W53" s="30">
        <x:v>46236.78357621528</x:v>
      </x:c>
      <x:c r="X53" s="30"/>
      <x:c r="Y53" s="3" t="s">
        <x:v>224</x:v>
      </x:c>
      <x:c r="Z53" s="3" t="s">
        <x:v>197</x:v>
      </x:c>
      <x:c r="AA53" s="17" t="s">
        <x:v>401</x:v>
      </x:c>
      <x:c r="AB53" s="33" t="str">
        <x:f>IF(A53="","",IF(COUNTIF($A$5:$A$1004,A53)&gt;1,"错误:重复成本规则ID",IF(OR(B53="",C53="",D53="",E53="",F53="",K53="",O53&lt;=0,P53&lt;=0,Q53&lt;=0,R53&lt;=0,S53&lt;0,T53&lt;=0,Y53="",Z53=""),"错误:必填项","OK")))</x:f>
        <x:v>OK</x:v>
      </x:c>
    </x:row>
    <x:row r="54" ht="52.79999923706055" customHeight="1">
      <x:c r="A54" s="3" t="s">
        <x:v>411</x:v>
      </x:c>
      <x:c r="B54" s="3" t="s">
        <x:v>194</x:v>
      </x:c>
      <x:c r="C54" s="3" t="s">
        <x:v>400</x:v>
      </x:c>
      <x:c r="D54" s="3" t="s">
        <x:v>230</x:v>
      </x:c>
      <x:c r="E54" s="3" t="s">
        <x:v>264</x:v>
      </x:c>
      <x:c r="F54" s="3" t="s">
        <x:v>331</x:v>
      </x:c>
      <x:c r="G54" s="3" t="s">
        <x:v>319</x:v>
      </x:c>
      <x:c r="H54" s="3" t="s">
        <x:v>319</x:v>
      </x:c>
      <x:c r="I54" s="3" t="s">
        <x:v>319</x:v>
      </x:c>
      <x:c r="J54" s="3" t="s">
        <x:v>320</x:v>
      </x:c>
      <x:c r="K54" s="3" t="s">
        <x:v>150</x:v>
      </x:c>
      <x:c r="L54" s="37" t="s">
        <x:v>410</x:v>
      </x:c>
      <x:c r="M54" s="37" t="s">
        <x:v>319</x:v>
      </x:c>
      <x:c r="N54" s="37" t="s">
        <x:v>319</x:v>
      </x:c>
      <x:c r="O54" s="36" t="s">
        <x:v>410</x:v>
      </x:c>
      <x:c r="P54" s="37" t="s">
        <x:v>151</x:v>
      </x:c>
      <x:c r="Q54" s="37" t="s">
        <x:v>151</x:v>
      </x:c>
      <x:c r="R54" s="37" t="s">
        <x:v>151</x:v>
      </x:c>
      <x:c r="S54" s="37" t="s">
        <x:v>152</x:v>
      </x:c>
      <x:c r="T54" s="36" t="s">
        <x:v>322</x:v>
      </x:c>
      <x:c r="U54" s="36" t="n">
        <x:f>IFERROR(O54*P54*Q54/R54*(1+S54)*T54,"")</x:f>
        <x:v>6.164383561643835</x:v>
      </x:c>
      <x:c r="V54" s="33" t="s">
        <x:v>333</x:v>
      </x:c>
      <x:c r="W54" s="30">
        <x:v>46236.78357621528</x:v>
      </x:c>
      <x:c r="X54" s="30"/>
      <x:c r="Y54" s="3" t="s">
        <x:v>224</x:v>
      </x:c>
      <x:c r="Z54" s="3" t="s">
        <x:v>197</x:v>
      </x:c>
      <x:c r="AA54" s="17" t="s">
        <x:v>401</x:v>
      </x:c>
      <x:c r="AB54" s="33" t="str">
        <x:f>IF(A54="","",IF(COUNTIF($A$5:$A$1004,A54)&gt;1,"错误:重复成本规则ID",IF(OR(B54="",C54="",D54="",E54="",F54="",K54="",O54&lt;=0,P54&lt;=0,Q54&lt;=0,R54&lt;=0,S54&lt;0,T54&lt;=0,Y54="",Z54=""),"错误:必填项","OK")))</x:f>
        <x:v>OK</x:v>
      </x:c>
    </x:row>
    <x:row r="55" ht="52.79999923706055" customHeight="1">
      <x:c r="A55" s="3" t="s">
        <x:v>412</x:v>
      </x:c>
      <x:c r="B55" s="3" t="s">
        <x:v>194</x:v>
      </x:c>
      <x:c r="C55" s="3" t="s">
        <x:v>413</x:v>
      </x:c>
      <x:c r="D55" s="3" t="s">
        <x:v>232</x:v>
      </x:c>
      <x:c r="E55" s="3" t="s">
        <x:v>258</x:v>
      </x:c>
      <x:c r="F55" s="3" t="s">
        <x:v>331</x:v>
      </x:c>
      <x:c r="G55" s="3" t="s">
        <x:v>319</x:v>
      </x:c>
      <x:c r="H55" s="3" t="s">
        <x:v>319</x:v>
      </x:c>
      <x:c r="I55" s="3" t="s">
        <x:v>319</x:v>
      </x:c>
      <x:c r="J55" s="3" t="s">
        <x:v>320</x:v>
      </x:c>
      <x:c r="K55" s="3" t="s">
        <x:v>150</x:v>
      </x:c>
      <x:c r="L55" s="37" t="s">
        <x:v>414</x:v>
      </x:c>
      <x:c r="M55" s="37" t="s">
        <x:v>319</x:v>
      </x:c>
      <x:c r="N55" s="37" t="s">
        <x:v>319</x:v>
      </x:c>
      <x:c r="O55" s="36" t="s">
        <x:v>414</x:v>
      </x:c>
      <x:c r="P55" s="37" t="s">
        <x:v>151</x:v>
      </x:c>
      <x:c r="Q55" s="37" t="s">
        <x:v>151</x:v>
      </x:c>
      <x:c r="R55" s="37" t="s">
        <x:v>151</x:v>
      </x:c>
      <x:c r="S55" s="37" t="s">
        <x:v>152</x:v>
      </x:c>
      <x:c r="T55" s="36" t="s">
        <x:v>322</x:v>
      </x:c>
      <x:c r="U55" s="36" t="n">
        <x:f>IFERROR(O55*P55*Q55/R55*(1+S55)*T55,"")</x:f>
        <x:v>0.1095890410958904</x:v>
      </x:c>
      <x:c r="V55" s="33" t="s">
        <x:v>333</x:v>
      </x:c>
      <x:c r="W55" s="30">
        <x:v>46236.78357621528</x:v>
      </x:c>
      <x:c r="X55" s="30"/>
      <x:c r="Y55" s="3" t="s">
        <x:v>224</x:v>
      </x:c>
      <x:c r="Z55" s="3" t="s">
        <x:v>197</x:v>
      </x:c>
      <x:c r="AA55" s="17" t="s">
        <x:v>415</x:v>
      </x:c>
      <x:c r="AB55" s="33" t="str">
        <x:f>IF(A55="","",IF(COUNTIF($A$5:$A$1004,A55)&gt;1,"错误:重复成本规则ID",IF(OR(B55="",C55="",D55="",E55="",F55="",K55="",O55&lt;=0,P55&lt;=0,Q55&lt;=0,R55&lt;=0,S55&lt;0,T55&lt;=0,Y55="",Z55=""),"错误:必填项","OK")))</x:f>
        <x:v>OK</x:v>
      </x:c>
    </x:row>
    <x:row r="56" ht="66" customHeight="1">
      <x:c r="A56" s="3" t="s">
        <x:v>416</x:v>
      </x:c>
      <x:c r="B56" s="3" t="s">
        <x:v>194</x:v>
      </x:c>
      <x:c r="C56" s="3" t="s">
        <x:v>413</x:v>
      </x:c>
      <x:c r="D56" s="3" t="s">
        <x:v>232</x:v>
      </x:c>
      <x:c r="E56" s="3" t="s">
        <x:v>264</x:v>
      </x:c>
      <x:c r="F56" s="3" t="s">
        <x:v>331</x:v>
      </x:c>
      <x:c r="G56" s="3" t="s">
        <x:v>319</x:v>
      </x:c>
      <x:c r="H56" s="3" t="s">
        <x:v>319</x:v>
      </x:c>
      <x:c r="I56" s="3" t="s">
        <x:v>319</x:v>
      </x:c>
      <x:c r="J56" s="3" t="s">
        <x:v>320</x:v>
      </x:c>
      <x:c r="K56" s="3" t="s">
        <x:v>150</x:v>
      </x:c>
      <x:c r="L56" s="37" t="s">
        <x:v>414</x:v>
      </x:c>
      <x:c r="M56" s="37" t="s">
        <x:v>319</x:v>
      </x:c>
      <x:c r="N56" s="37" t="s">
        <x:v>319</x:v>
      </x:c>
      <x:c r="O56" s="36" t="s">
        <x:v>414</x:v>
      </x:c>
      <x:c r="P56" s="37" t="s">
        <x:v>151</x:v>
      </x:c>
      <x:c r="Q56" s="37" t="s">
        <x:v>151</x:v>
      </x:c>
      <x:c r="R56" s="37" t="s">
        <x:v>151</x:v>
      </x:c>
      <x:c r="S56" s="37" t="s">
        <x:v>152</x:v>
      </x:c>
      <x:c r="T56" s="36" t="s">
        <x:v>322</x:v>
      </x:c>
      <x:c r="U56" s="36" t="n">
        <x:f>IFERROR(O56*P56*Q56/R56*(1+S56)*T56,"")</x:f>
        <x:v>0.1095890410958904</x:v>
      </x:c>
      <x:c r="V56" s="33" t="s">
        <x:v>333</x:v>
      </x:c>
      <x:c r="W56" s="30">
        <x:v>46236.78357621528</x:v>
      </x:c>
      <x:c r="X56" s="30"/>
      <x:c r="Y56" s="3" t="s">
        <x:v>224</x:v>
      </x:c>
      <x:c r="Z56" s="3" t="s">
        <x:v>197</x:v>
      </x:c>
      <x:c r="AA56" s="17" t="s">
        <x:v>415</x:v>
      </x:c>
      <x:c r="AB56" s="33" t="str">
        <x:f>IF(A56="","",IF(COUNTIF($A$5:$A$1004,A56)&gt;1,"错误:重复成本规则ID",IF(OR(B56="",C56="",D56="",E56="",F56="",K56="",O56&lt;=0,P56&lt;=0,Q56&lt;=0,R56&lt;=0,S56&lt;0,T56&lt;=0,Y56="",Z56=""),"错误:必填项","OK")))</x:f>
        <x:v>OK</x:v>
      </x:c>
    </x:row>
    <x:row r="57" ht="66" customHeight="1">
      <x:c r="A57" s="3" t="s">
        <x:v>417</x:v>
      </x:c>
      <x:c r="B57" s="3" t="s">
        <x:v>167</x:v>
      </x:c>
      <x:c r="C57" s="3" t="s">
        <x:v>418</x:v>
      </x:c>
      <x:c r="D57" s="3" t="s">
        <x:v>227</x:v>
      </x:c>
      <x:c r="E57" s="3" t="s">
        <x:v>258</x:v>
      </x:c>
      <x:c r="F57" s="3" t="s">
        <x:v>318</x:v>
      </x:c>
      <x:c r="G57" s="3" t="s">
        <x:v>319</x:v>
      </x:c>
      <x:c r="H57" s="3" t="s">
        <x:v>319</x:v>
      </x:c>
      <x:c r="I57" s="3" t="s">
        <x:v>319</x:v>
      </x:c>
      <x:c r="J57" s="3" t="s">
        <x:v>320</x:v>
      </x:c>
      <x:c r="K57" s="3" t="s">
        <x:v>150</x:v>
      </x:c>
      <x:c r="L57" s="37" t="s">
        <x:v>319</x:v>
      </x:c>
      <x:c r="M57" s="37" t="s">
        <x:v>419</x:v>
      </x:c>
      <x:c r="N57" s="37" t="s">
        <x:v>319</x:v>
      </x:c>
      <x:c r="O57" s="36" t="s">
        <x:v>419</x:v>
      </x:c>
      <x:c r="P57" s="37" t="s">
        <x:v>151</x:v>
      </x:c>
      <x:c r="Q57" s="37" t="s">
        <x:v>151</x:v>
      </x:c>
      <x:c r="R57" s="37" t="s">
        <x:v>151</x:v>
      </x:c>
      <x:c r="S57" s="37" t="s">
        <x:v>170</x:v>
      </x:c>
      <x:c r="T57" s="36" t="s">
        <x:v>322</x:v>
      </x:c>
      <x:c r="U57" s="36" t="n">
        <x:f>IFERROR(O57*P57*Q57/R57*(1+S57)*T57,"")</x:f>
        <x:v>0.048424657534246573</x:v>
      </x:c>
      <x:c r="V57" s="33" t="s">
        <x:v>323</x:v>
      </x:c>
      <x:c r="W57" s="30">
        <x:v>46236.78357621528</x:v>
      </x:c>
      <x:c r="X57" s="30"/>
      <x:c r="Y57" s="3" t="s">
        <x:v>224</x:v>
      </x:c>
      <x:c r="Z57" s="3" t="s">
        <x:v>171</x:v>
      </x:c>
      <x:c r="AA57" s="17" t="s">
        <x:v>420</x:v>
      </x:c>
      <x:c r="AB57" s="33" t="str">
        <x:f>IF(A57="","",IF(COUNTIF($A$5:$A$1004,A57)&gt;1,"错误:重复成本规则ID",IF(OR(B57="",C57="",D57="",E57="",F57="",K57="",O57&lt;=0,P57&lt;=0,Q57&lt;=0,R57&lt;=0,S57&lt;0,T57&lt;=0,Y57="",Z57=""),"错误:必填项","OK")))</x:f>
        <x:v>OK</x:v>
      </x:c>
    </x:row>
    <x:row r="58" ht="66" customHeight="1">
      <x:c r="A58" s="3" t="s">
        <x:v>421</x:v>
      </x:c>
      <x:c r="B58" s="3" t="s">
        <x:v>167</x:v>
      </x:c>
      <x:c r="C58" s="3" t="s">
        <x:v>418</x:v>
      </x:c>
      <x:c r="D58" s="3" t="s">
        <x:v>227</x:v>
      </x:c>
      <x:c r="E58" s="3" t="s">
        <x:v>264</x:v>
      </x:c>
      <x:c r="F58" s="3" t="s">
        <x:v>318</x:v>
      </x:c>
      <x:c r="G58" s="3" t="s">
        <x:v>319</x:v>
      </x:c>
      <x:c r="H58" s="3" t="s">
        <x:v>319</x:v>
      </x:c>
      <x:c r="I58" s="3" t="s">
        <x:v>319</x:v>
      </x:c>
      <x:c r="J58" s="3" t="s">
        <x:v>320</x:v>
      </x:c>
      <x:c r="K58" s="3" t="s">
        <x:v>150</x:v>
      </x:c>
      <x:c r="L58" s="37" t="s">
        <x:v>319</x:v>
      </x:c>
      <x:c r="M58" s="37" t="s">
        <x:v>419</x:v>
      </x:c>
      <x:c r="N58" s="37" t="s">
        <x:v>319</x:v>
      </x:c>
      <x:c r="O58" s="36" t="s">
        <x:v>419</x:v>
      </x:c>
      <x:c r="P58" s="37" t="s">
        <x:v>151</x:v>
      </x:c>
      <x:c r="Q58" s="37" t="s">
        <x:v>151</x:v>
      </x:c>
      <x:c r="R58" s="37" t="s">
        <x:v>151</x:v>
      </x:c>
      <x:c r="S58" s="37" t="s">
        <x:v>170</x:v>
      </x:c>
      <x:c r="T58" s="36" t="s">
        <x:v>322</x:v>
      </x:c>
      <x:c r="U58" s="36" t="n">
        <x:f>IFERROR(O58*P58*Q58/R58*(1+S58)*T58,"")</x:f>
        <x:v>0.048424657534246573</x:v>
      </x:c>
      <x:c r="V58" s="33" t="s">
        <x:v>323</x:v>
      </x:c>
      <x:c r="W58" s="30">
        <x:v>46236.78357621528</x:v>
      </x:c>
      <x:c r="X58" s="30"/>
      <x:c r="Y58" s="3" t="s">
        <x:v>224</x:v>
      </x:c>
      <x:c r="Z58" s="3" t="s">
        <x:v>171</x:v>
      </x:c>
      <x:c r="AA58" s="17" t="s">
        <x:v>420</x:v>
      </x:c>
      <x:c r="AB58" s="33" t="str">
        <x:f>IF(A58="","",IF(COUNTIF($A$5:$A$1004,A58)&gt;1,"错误:重复成本规则ID",IF(OR(B58="",C58="",D58="",E58="",F58="",K58="",O58&lt;=0,P58&lt;=0,Q58&lt;=0,R58&lt;=0,S58&lt;0,T58&lt;=0,Y58="",Z58=""),"错误:必填项","OK")))</x:f>
        <x:v>OK</x:v>
      </x:c>
    </x:row>
    <x:row r="59" ht="66" customHeight="1">
      <x:c r="A59" s="3" t="s">
        <x:v>422</x:v>
      </x:c>
      <x:c r="B59" s="3" t="s">
        <x:v>167</x:v>
      </x:c>
      <x:c r="C59" s="3" t="s">
        <x:v>423</x:v>
      </x:c>
      <x:c r="D59" s="3" t="s">
        <x:v>232</x:v>
      </x:c>
      <x:c r="E59" s="3" t="s">
        <x:v>258</x:v>
      </x:c>
      <x:c r="F59" s="3" t="s">
        <x:v>318</x:v>
      </x:c>
      <x:c r="G59" s="3" t="s">
        <x:v>319</x:v>
      </x:c>
      <x:c r="H59" s="3" t="s">
        <x:v>319</x:v>
      </x:c>
      <x:c r="I59" s="3" t="s">
        <x:v>319</x:v>
      </x:c>
      <x:c r="J59" s="3" t="s">
        <x:v>320</x:v>
      </x:c>
      <x:c r="K59" s="3" t="s">
        <x:v>150</x:v>
      </x:c>
      <x:c r="L59" s="37" t="s">
        <x:v>319</x:v>
      </x:c>
      <x:c r="M59" s="37" t="s">
        <x:v>424</x:v>
      </x:c>
      <x:c r="N59" s="37" t="s">
        <x:v>319</x:v>
      </x:c>
      <x:c r="O59" s="36" t="s">
        <x:v>424</x:v>
      </x:c>
      <x:c r="P59" s="37" t="s">
        <x:v>151</x:v>
      </x:c>
      <x:c r="Q59" s="37" t="s">
        <x:v>151</x:v>
      </x:c>
      <x:c r="R59" s="37" t="s">
        <x:v>151</x:v>
      </x:c>
      <x:c r="S59" s="37" t="s">
        <x:v>170</x:v>
      </x:c>
      <x:c r="T59" s="36" t="s">
        <x:v>322</x:v>
      </x:c>
      <x:c r="U59" s="36" t="n">
        <x:f>IFERROR(O59*P59*Q59/R59*(1+S59)*T59,"")</x:f>
        <x:v>0.06917808219178082</x:v>
      </x:c>
      <x:c r="V59" s="33" t="s">
        <x:v>323</x:v>
      </x:c>
      <x:c r="W59" s="30">
        <x:v>46236.78357621528</x:v>
      </x:c>
      <x:c r="X59" s="30"/>
      <x:c r="Y59" s="3" t="s">
        <x:v>224</x:v>
      </x:c>
      <x:c r="Z59" s="3" t="s">
        <x:v>171</x:v>
      </x:c>
      <x:c r="AA59" s="17" t="s">
        <x:v>425</x:v>
      </x:c>
      <x:c r="AB59" s="33" t="str">
        <x:f>IF(A59="","",IF(COUNTIF($A$5:$A$1004,A59)&gt;1,"错误:重复成本规则ID",IF(OR(B59="",C59="",D59="",E59="",F59="",K59="",O59&lt;=0,P59&lt;=0,Q59&lt;=0,R59&lt;=0,S59&lt;0,T59&lt;=0,Y59="",Z59=""),"错误:必填项","OK")))</x:f>
        <x:v>OK</x:v>
      </x:c>
    </x:row>
    <x:row r="60" ht="66" customHeight="1">
      <x:c r="A60" s="3" t="s">
        <x:v>426</x:v>
      </x:c>
      <x:c r="B60" s="3" t="s">
        <x:v>167</x:v>
      </x:c>
      <x:c r="C60" s="3" t="s">
        <x:v>423</x:v>
      </x:c>
      <x:c r="D60" s="3" t="s">
        <x:v>232</x:v>
      </x:c>
      <x:c r="E60" s="3" t="s">
        <x:v>264</x:v>
      </x:c>
      <x:c r="F60" s="3" t="s">
        <x:v>318</x:v>
      </x:c>
      <x:c r="G60" s="3" t="s">
        <x:v>319</x:v>
      </x:c>
      <x:c r="H60" s="3" t="s">
        <x:v>319</x:v>
      </x:c>
      <x:c r="I60" s="3" t="s">
        <x:v>319</x:v>
      </x:c>
      <x:c r="J60" s="3" t="s">
        <x:v>320</x:v>
      </x:c>
      <x:c r="K60" s="3" t="s">
        <x:v>150</x:v>
      </x:c>
      <x:c r="L60" s="37" t="s">
        <x:v>319</x:v>
      </x:c>
      <x:c r="M60" s="37" t="s">
        <x:v>424</x:v>
      </x:c>
      <x:c r="N60" s="37" t="s">
        <x:v>319</x:v>
      </x:c>
      <x:c r="O60" s="36" t="s">
        <x:v>424</x:v>
      </x:c>
      <x:c r="P60" s="37" t="s">
        <x:v>151</x:v>
      </x:c>
      <x:c r="Q60" s="37" t="s">
        <x:v>151</x:v>
      </x:c>
      <x:c r="R60" s="37" t="s">
        <x:v>151</x:v>
      </x:c>
      <x:c r="S60" s="37" t="s">
        <x:v>170</x:v>
      </x:c>
      <x:c r="T60" s="36" t="s">
        <x:v>322</x:v>
      </x:c>
      <x:c r="U60" s="36" t="n">
        <x:f>IFERROR(O60*P60*Q60/R60*(1+S60)*T60,"")</x:f>
        <x:v>0.06917808219178082</x:v>
      </x:c>
      <x:c r="V60" s="33" t="s">
        <x:v>323</x:v>
      </x:c>
      <x:c r="W60" s="30">
        <x:v>46236.78357621528</x:v>
      </x:c>
      <x:c r="X60" s="30"/>
      <x:c r="Y60" s="3" t="s">
        <x:v>224</x:v>
      </x:c>
      <x:c r="Z60" s="3" t="s">
        <x:v>171</x:v>
      </x:c>
      <x:c r="AA60" s="17" t="s">
        <x:v>425</x:v>
      </x:c>
      <x:c r="AB60" s="33" t="str">
        <x:f>IF(A60="","",IF(COUNTIF($A$5:$A$1004,A60)&gt;1,"错误:重复成本规则ID",IF(OR(B60="",C60="",D60="",E60="",F60="",K60="",O60&lt;=0,P60&lt;=0,Q60&lt;=0,R60&lt;=0,S60&lt;0,T60&lt;=0,Y60="",Z60=""),"错误:必填项","OK")))</x:f>
        <x:v>OK</x:v>
      </x:c>
    </x:row>
    <x:row r="61" ht="66" customHeight="1">
      <x:c r="A61" s="3" t="s">
        <x:v>427</x:v>
      </x:c>
      <x:c r="B61" s="3" t="s">
        <x:v>167</x:v>
      </x:c>
      <x:c r="C61" s="3" t="s">
        <x:v>428</x:v>
      </x:c>
      <x:c r="D61" s="3" t="s">
        <x:v>234</x:v>
      </x:c>
      <x:c r="E61" s="3" t="s">
        <x:v>258</x:v>
      </x:c>
      <x:c r="F61" s="3" t="s">
        <x:v>318</x:v>
      </x:c>
      <x:c r="G61" s="3" t="s">
        <x:v>319</x:v>
      </x:c>
      <x:c r="H61" s="3" t="s">
        <x:v>319</x:v>
      </x:c>
      <x:c r="I61" s="3" t="s">
        <x:v>319</x:v>
      </x:c>
      <x:c r="J61" s="3" t="s">
        <x:v>320</x:v>
      </x:c>
      <x:c r="K61" s="3" t="s">
        <x:v>150</x:v>
      </x:c>
      <x:c r="L61" s="37" t="s">
        <x:v>319</x:v>
      </x:c>
      <x:c r="M61" s="37" t="s">
        <x:v>429</x:v>
      </x:c>
      <x:c r="N61" s="37" t="s">
        <x:v>319</x:v>
      </x:c>
      <x:c r="O61" s="36" t="s">
        <x:v>429</x:v>
      </x:c>
      <x:c r="P61" s="37" t="s">
        <x:v>151</x:v>
      </x:c>
      <x:c r="Q61" s="37" t="s">
        <x:v>151</x:v>
      </x:c>
      <x:c r="R61" s="37" t="s">
        <x:v>151</x:v>
      </x:c>
      <x:c r="S61" s="37" t="s">
        <x:v>170</x:v>
      </x:c>
      <x:c r="T61" s="36" t="s">
        <x:v>322</x:v>
      </x:c>
      <x:c r="U61" s="36" t="n">
        <x:f>IFERROR(O61*P61*Q61/R61*(1+S61)*T61,"")</x:f>
        <x:v>0.027671232876712328</x:v>
      </x:c>
      <x:c r="V61" s="33" t="s">
        <x:v>323</x:v>
      </x:c>
      <x:c r="W61" s="30">
        <x:v>46236.78357621528</x:v>
      </x:c>
      <x:c r="X61" s="30"/>
      <x:c r="Y61" s="3" t="s">
        <x:v>224</x:v>
      </x:c>
      <x:c r="Z61" s="3" t="s">
        <x:v>171</x:v>
      </x:c>
      <x:c r="AA61" s="17" t="s">
        <x:v>430</x:v>
      </x:c>
      <x:c r="AB61" s="33" t="str">
        <x:f>IF(A61="","",IF(COUNTIF($A$5:$A$1004,A61)&gt;1,"错误:重复成本规则ID",IF(OR(B61="",C61="",D61="",E61="",F61="",K61="",O61&lt;=0,P61&lt;=0,Q61&lt;=0,R61&lt;=0,S61&lt;0,T61&lt;=0,Y61="",Z61=""),"错误:必填项","OK")))</x:f>
        <x:v>OK</x:v>
      </x:c>
    </x:row>
    <x:row r="62" ht="66" customHeight="1">
      <x:c r="A62" s="3" t="s">
        <x:v>431</x:v>
      </x:c>
      <x:c r="B62" s="3" t="s">
        <x:v>167</x:v>
      </x:c>
      <x:c r="C62" s="3" t="s">
        <x:v>428</x:v>
      </x:c>
      <x:c r="D62" s="3" t="s">
        <x:v>234</x:v>
      </x:c>
      <x:c r="E62" s="3" t="s">
        <x:v>264</x:v>
      </x:c>
      <x:c r="F62" s="3" t="s">
        <x:v>318</x:v>
      </x:c>
      <x:c r="G62" s="3" t="s">
        <x:v>319</x:v>
      </x:c>
      <x:c r="H62" s="3" t="s">
        <x:v>319</x:v>
      </x:c>
      <x:c r="I62" s="3" t="s">
        <x:v>319</x:v>
      </x:c>
      <x:c r="J62" s="3" t="s">
        <x:v>320</x:v>
      </x:c>
      <x:c r="K62" s="3" t="s">
        <x:v>150</x:v>
      </x:c>
      <x:c r="L62" s="37" t="s">
        <x:v>319</x:v>
      </x:c>
      <x:c r="M62" s="37" t="s">
        <x:v>429</x:v>
      </x:c>
      <x:c r="N62" s="37" t="s">
        <x:v>319</x:v>
      </x:c>
      <x:c r="O62" s="36" t="s">
        <x:v>429</x:v>
      </x:c>
      <x:c r="P62" s="37" t="s">
        <x:v>151</x:v>
      </x:c>
      <x:c r="Q62" s="37" t="s">
        <x:v>151</x:v>
      </x:c>
      <x:c r="R62" s="37" t="s">
        <x:v>151</x:v>
      </x:c>
      <x:c r="S62" s="37" t="s">
        <x:v>170</x:v>
      </x:c>
      <x:c r="T62" s="36" t="s">
        <x:v>322</x:v>
      </x:c>
      <x:c r="U62" s="36" t="n">
        <x:f>IFERROR(O62*P62*Q62/R62*(1+S62)*T62,"")</x:f>
        <x:v>0.027671232876712328</x:v>
      </x:c>
      <x:c r="V62" s="33" t="s">
        <x:v>323</x:v>
      </x:c>
      <x:c r="W62" s="30">
        <x:v>46236.78357621528</x:v>
      </x:c>
      <x:c r="X62" s="30"/>
      <x:c r="Y62" s="3" t="s">
        <x:v>224</x:v>
      </x:c>
      <x:c r="Z62" s="3" t="s">
        <x:v>171</x:v>
      </x:c>
      <x:c r="AA62" s="17" t="s">
        <x:v>430</x:v>
      </x:c>
      <x:c r="AB62" s="33" t="str">
        <x:f>IF(A62="","",IF(COUNTIF($A$5:$A$1004,A62)&gt;1,"错误:重复成本规则ID",IF(OR(B62="",C62="",D62="",E62="",F62="",K62="",O62&lt;=0,P62&lt;=0,Q62&lt;=0,R62&lt;=0,S62&lt;0,T62&lt;=0,Y62="",Z62=""),"错误:必填项","OK")))</x:f>
        <x:v>OK</x:v>
      </x:c>
    </x:row>
    <x:row r="63" ht="66" customHeight="1">
      <x:c r="A63" s="3" t="s">
        <x:v>432</x:v>
      </x:c>
      <x:c r="B63" s="3" t="s">
        <x:v>167</x:v>
      </x:c>
      <x:c r="C63" s="3" t="s">
        <x:v>433</x:v>
      </x:c>
      <x:c r="D63" s="3" t="s">
        <x:v>238</x:v>
      </x:c>
      <x:c r="E63" s="3" t="s">
        <x:v>258</x:v>
      </x:c>
      <x:c r="F63" s="3" t="s">
        <x:v>318</x:v>
      </x:c>
      <x:c r="G63" s="3" t="s">
        <x:v>319</x:v>
      </x:c>
      <x:c r="H63" s="3" t="s">
        <x:v>319</x:v>
      </x:c>
      <x:c r="I63" s="3" t="s">
        <x:v>319</x:v>
      </x:c>
      <x:c r="J63" s="3" t="s">
        <x:v>320</x:v>
      </x:c>
      <x:c r="K63" s="3" t="s">
        <x:v>150</x:v>
      </x:c>
      <x:c r="L63" s="37" t="s">
        <x:v>319</x:v>
      </x:c>
      <x:c r="M63" s="37" t="s">
        <x:v>419</x:v>
      </x:c>
      <x:c r="N63" s="37" t="s">
        <x:v>319</x:v>
      </x:c>
      <x:c r="O63" s="36" t="s">
        <x:v>419</x:v>
      </x:c>
      <x:c r="P63" s="37" t="s">
        <x:v>151</x:v>
      </x:c>
      <x:c r="Q63" s="37" t="s">
        <x:v>151</x:v>
      </x:c>
      <x:c r="R63" s="37" t="s">
        <x:v>151</x:v>
      </x:c>
      <x:c r="S63" s="37" t="s">
        <x:v>170</x:v>
      </x:c>
      <x:c r="T63" s="36" t="s">
        <x:v>322</x:v>
      </x:c>
      <x:c r="U63" s="36" t="n">
        <x:f>IFERROR(O63*P63*Q63/R63*(1+S63)*T63,"")</x:f>
        <x:v>0.048424657534246573</x:v>
      </x:c>
      <x:c r="V63" s="33" t="s">
        <x:v>323</x:v>
      </x:c>
      <x:c r="W63" s="30">
        <x:v>46236.78357621528</x:v>
      </x:c>
      <x:c r="X63" s="30"/>
      <x:c r="Y63" s="3" t="s">
        <x:v>224</x:v>
      </x:c>
      <x:c r="Z63" s="3" t="s">
        <x:v>171</x:v>
      </x:c>
      <x:c r="AA63" s="17" t="s">
        <x:v>434</x:v>
      </x:c>
      <x:c r="AB63" s="33" t="str">
        <x:f>IF(A63="","",IF(COUNTIF($A$5:$A$1004,A63)&gt;1,"错误:重复成本规则ID",IF(OR(B63="",C63="",D63="",E63="",F63="",K63="",O63&lt;=0,P63&lt;=0,Q63&lt;=0,R63&lt;=0,S63&lt;0,T63&lt;=0,Y63="",Z63=""),"错误:必填项","OK")))</x:f>
        <x:v>OK</x:v>
      </x:c>
    </x:row>
    <x:row r="64" ht="66" customHeight="1">
      <x:c r="A64" s="3" t="s">
        <x:v>435</x:v>
      </x:c>
      <x:c r="B64" s="3" t="s">
        <x:v>167</x:v>
      </x:c>
      <x:c r="C64" s="3" t="s">
        <x:v>433</x:v>
      </x:c>
      <x:c r="D64" s="3" t="s">
        <x:v>238</x:v>
      </x:c>
      <x:c r="E64" s="3" t="s">
        <x:v>264</x:v>
      </x:c>
      <x:c r="F64" s="3" t="s">
        <x:v>318</x:v>
      </x:c>
      <x:c r="G64" s="3" t="s">
        <x:v>319</x:v>
      </x:c>
      <x:c r="H64" s="3" t="s">
        <x:v>319</x:v>
      </x:c>
      <x:c r="I64" s="3" t="s">
        <x:v>319</x:v>
      </x:c>
      <x:c r="J64" s="3" t="s">
        <x:v>320</x:v>
      </x:c>
      <x:c r="K64" s="3" t="s">
        <x:v>150</x:v>
      </x:c>
      <x:c r="L64" s="37" t="s">
        <x:v>319</x:v>
      </x:c>
      <x:c r="M64" s="37" t="s">
        <x:v>419</x:v>
      </x:c>
      <x:c r="N64" s="37" t="s">
        <x:v>319</x:v>
      </x:c>
      <x:c r="O64" s="36" t="s">
        <x:v>419</x:v>
      </x:c>
      <x:c r="P64" s="37" t="s">
        <x:v>151</x:v>
      </x:c>
      <x:c r="Q64" s="37" t="s">
        <x:v>151</x:v>
      </x:c>
      <x:c r="R64" s="37" t="s">
        <x:v>151</x:v>
      </x:c>
      <x:c r="S64" s="37" t="s">
        <x:v>170</x:v>
      </x:c>
      <x:c r="T64" s="36" t="s">
        <x:v>322</x:v>
      </x:c>
      <x:c r="U64" s="36" t="n">
        <x:f>IFERROR(O64*P64*Q64/R64*(1+S64)*T64,"")</x:f>
        <x:v>0.048424657534246573</x:v>
      </x:c>
      <x:c r="V64" s="33" t="s">
        <x:v>323</x:v>
      </x:c>
      <x:c r="W64" s="30">
        <x:v>46236.78357621528</x:v>
      </x:c>
      <x:c r="X64" s="30"/>
      <x:c r="Y64" s="3" t="s">
        <x:v>224</x:v>
      </x:c>
      <x:c r="Z64" s="3" t="s">
        <x:v>171</x:v>
      </x:c>
      <x:c r="AA64" s="17" t="s">
        <x:v>434</x:v>
      </x:c>
      <x:c r="AB64" s="33" t="str">
        <x:f>IF(A64="","",IF(COUNTIF($A$5:$A$1004,A64)&gt;1,"错误:重复成本规则ID",IF(OR(B64="",C64="",D64="",E64="",F64="",K64="",O64&lt;=0,P64&lt;=0,Q64&lt;=0,R64&lt;=0,S64&lt;0,T64&lt;=0,Y64="",Z64=""),"错误:必填项","OK")))</x:f>
        <x:v>OK</x:v>
      </x:c>
    </x:row>
    <x:row r="65" ht="66" customHeight="1">
      <x:c r="A65" s="3" t="s">
        <x:v>436</x:v>
      </x:c>
      <x:c r="B65" s="3" t="s">
        <x:v>167</x:v>
      </x:c>
      <x:c r="C65" s="3" t="s">
        <x:v>437</x:v>
      </x:c>
      <x:c r="D65" s="3" t="s">
        <x:v>240</x:v>
      </x:c>
      <x:c r="E65" s="3" t="s">
        <x:v>258</x:v>
      </x:c>
      <x:c r="F65" s="3" t="s">
        <x:v>318</x:v>
      </x:c>
      <x:c r="G65" s="3" t="s">
        <x:v>319</x:v>
      </x:c>
      <x:c r="H65" s="3" t="s">
        <x:v>319</x:v>
      </x:c>
      <x:c r="I65" s="3" t="s">
        <x:v>319</x:v>
      </x:c>
      <x:c r="J65" s="3" t="s">
        <x:v>320</x:v>
      </x:c>
      <x:c r="K65" s="3" t="s">
        <x:v>150</x:v>
      </x:c>
      <x:c r="L65" s="37" t="s">
        <x:v>319</x:v>
      </x:c>
      <x:c r="M65" s="37" t="s">
        <x:v>438</x:v>
      </x:c>
      <x:c r="N65" s="37" t="s">
        <x:v>319</x:v>
      </x:c>
      <x:c r="O65" s="36" t="s">
        <x:v>438</x:v>
      </x:c>
      <x:c r="P65" s="37" t="s">
        <x:v>151</x:v>
      </x:c>
      <x:c r="Q65" s="37" t="s">
        <x:v>151</x:v>
      </x:c>
      <x:c r="R65" s="37" t="s">
        <x:v>151</x:v>
      </x:c>
      <x:c r="S65" s="37" t="s">
        <x:v>170</x:v>
      </x:c>
      <x:c r="T65" s="36" t="s">
        <x:v>322</x:v>
      </x:c>
      <x:c r="U65" s="36" t="n">
        <x:f>IFERROR(O65*P65*Q65/R65*(1+S65)*T65,"")</x:f>
        <x:v>0.019369863013698634</x:v>
      </x:c>
      <x:c r="V65" s="33" t="s">
        <x:v>323</x:v>
      </x:c>
      <x:c r="W65" s="30">
        <x:v>46236.78357621528</x:v>
      </x:c>
      <x:c r="X65" s="30"/>
      <x:c r="Y65" s="3" t="s">
        <x:v>224</x:v>
      </x:c>
      <x:c r="Z65" s="3" t="s">
        <x:v>171</x:v>
      </x:c>
      <x:c r="AA65" s="17" t="s">
        <x:v>439</x:v>
      </x:c>
      <x:c r="AB65" s="33" t="str">
        <x:f>IF(A65="","",IF(COUNTIF($A$5:$A$1004,A65)&gt;1,"错误:重复成本规则ID",IF(OR(B65="",C65="",D65="",E65="",F65="",K65="",O65&lt;=0,P65&lt;=0,Q65&lt;=0,R65&lt;=0,S65&lt;0,T65&lt;=0,Y65="",Z65=""),"错误:必填项","OK")))</x:f>
        <x:v>OK</x:v>
      </x:c>
    </x:row>
    <x:row r="66" ht="66" customHeight="1">
      <x:c r="A66" s="3" t="s">
        <x:v>440</x:v>
      </x:c>
      <x:c r="B66" s="3" t="s">
        <x:v>167</x:v>
      </x:c>
      <x:c r="C66" s="3" t="s">
        <x:v>437</x:v>
      </x:c>
      <x:c r="D66" s="3" t="s">
        <x:v>240</x:v>
      </x:c>
      <x:c r="E66" s="3" t="s">
        <x:v>264</x:v>
      </x:c>
      <x:c r="F66" s="3" t="s">
        <x:v>318</x:v>
      </x:c>
      <x:c r="G66" s="3" t="s">
        <x:v>319</x:v>
      </x:c>
      <x:c r="H66" s="3" t="s">
        <x:v>319</x:v>
      </x:c>
      <x:c r="I66" s="3" t="s">
        <x:v>319</x:v>
      </x:c>
      <x:c r="J66" s="3" t="s">
        <x:v>320</x:v>
      </x:c>
      <x:c r="K66" s="3" t="s">
        <x:v>150</x:v>
      </x:c>
      <x:c r="L66" s="37" t="s">
        <x:v>319</x:v>
      </x:c>
      <x:c r="M66" s="37" t="s">
        <x:v>438</x:v>
      </x:c>
      <x:c r="N66" s="37" t="s">
        <x:v>319</x:v>
      </x:c>
      <x:c r="O66" s="36" t="s">
        <x:v>438</x:v>
      </x:c>
      <x:c r="P66" s="37" t="s">
        <x:v>151</x:v>
      </x:c>
      <x:c r="Q66" s="37" t="s">
        <x:v>151</x:v>
      </x:c>
      <x:c r="R66" s="37" t="s">
        <x:v>151</x:v>
      </x:c>
      <x:c r="S66" s="37" t="s">
        <x:v>170</x:v>
      </x:c>
      <x:c r="T66" s="36" t="s">
        <x:v>322</x:v>
      </x:c>
      <x:c r="U66" s="36" t="n">
        <x:f>IFERROR(O66*P66*Q66/R66*(1+S66)*T66,"")</x:f>
        <x:v>0.019369863013698634</x:v>
      </x:c>
      <x:c r="V66" s="33" t="s">
        <x:v>323</x:v>
      </x:c>
      <x:c r="W66" s="30">
        <x:v>46236.78357621528</x:v>
      </x:c>
      <x:c r="X66" s="30"/>
      <x:c r="Y66" s="3" t="s">
        <x:v>224</x:v>
      </x:c>
      <x:c r="Z66" s="3" t="s">
        <x:v>171</x:v>
      </x:c>
      <x:c r="AA66" s="17" t="s">
        <x:v>439</x:v>
      </x:c>
      <x:c r="AB66" s="33" t="str">
        <x:f>IF(A66="","",IF(COUNTIF($A$5:$A$1004,A66)&gt;1,"错误:重复成本规则ID",IF(OR(B66="",C66="",D66="",E66="",F66="",K66="",O66&lt;=0,P66&lt;=0,Q66&lt;=0,R66&lt;=0,S66&lt;0,T66&lt;=0,Y66="",Z66=""),"错误:必填项","OK")))</x:f>
        <x:v>OK</x:v>
      </x:c>
    </x:row>
    <x:row r="67" ht="66" customHeight="1">
      <x:c r="A67" s="3" t="s">
        <x:v>441</x:v>
      </x:c>
      <x:c r="B67" s="3" t="s">
        <x:v>167</x:v>
      </x:c>
      <x:c r="C67" s="3" t="s">
        <x:v>442</x:v>
      </x:c>
      <x:c r="D67" s="3" t="s">
        <x:v>244</x:v>
      </x:c>
      <x:c r="E67" s="3" t="s">
        <x:v>258</x:v>
      </x:c>
      <x:c r="F67" s="3" t="s">
        <x:v>318</x:v>
      </x:c>
      <x:c r="G67" s="3" t="s">
        <x:v>319</x:v>
      </x:c>
      <x:c r="H67" s="3" t="s">
        <x:v>319</x:v>
      </x:c>
      <x:c r="I67" s="3" t="s">
        <x:v>319</x:v>
      </x:c>
      <x:c r="J67" s="3" t="s">
        <x:v>320</x:v>
      </x:c>
      <x:c r="K67" s="3" t="s">
        <x:v>150</x:v>
      </x:c>
      <x:c r="L67" s="37" t="s">
        <x:v>319</x:v>
      </x:c>
      <x:c r="M67" s="37" t="s">
        <x:v>348</x:v>
      </x:c>
      <x:c r="N67" s="37" t="s">
        <x:v>319</x:v>
      </x:c>
      <x:c r="O67" s="36" t="s">
        <x:v>348</x:v>
      </x:c>
      <x:c r="P67" s="37" t="s">
        <x:v>151</x:v>
      </x:c>
      <x:c r="Q67" s="37" t="s">
        <x:v>151</x:v>
      </x:c>
      <x:c r="R67" s="37" t="s">
        <x:v>151</x:v>
      </x:c>
      <x:c r="S67" s="37" t="s">
        <x:v>170</x:v>
      </x:c>
      <x:c r="T67" s="36" t="s">
        <x:v>322</x:v>
      </x:c>
      <x:c r="U67" s="36" t="n">
        <x:f>IFERROR(O67*P67*Q67/R67*(1+S67)*T67,"")</x:f>
        <x:v>0.03320547945205479</x:v>
      </x:c>
      <x:c r="V67" s="33" t="s">
        <x:v>323</x:v>
      </x:c>
      <x:c r="W67" s="30">
        <x:v>46236.78357621528</x:v>
      </x:c>
      <x:c r="X67" s="30"/>
      <x:c r="Y67" s="3" t="s">
        <x:v>224</x:v>
      </x:c>
      <x:c r="Z67" s="3" t="s">
        <x:v>171</x:v>
      </x:c>
      <x:c r="AA67" s="17" t="s">
        <x:v>443</x:v>
      </x:c>
      <x:c r="AB67" s="33" t="str">
        <x:f>IF(A67="","",IF(COUNTIF($A$5:$A$1004,A67)&gt;1,"错误:重复成本规则ID",IF(OR(B67="",C67="",D67="",E67="",F67="",K67="",O67&lt;=0,P67&lt;=0,Q67&lt;=0,R67&lt;=0,S67&lt;0,T67&lt;=0,Y67="",Z67=""),"错误:必填项","OK")))</x:f>
        <x:v>OK</x:v>
      </x:c>
    </x:row>
    <x:row r="68" ht="52.79999923706055" customHeight="1">
      <x:c r="A68" s="3" t="s">
        <x:v>444</x:v>
      </x:c>
      <x:c r="B68" s="3" t="s">
        <x:v>167</x:v>
      </x:c>
      <x:c r="C68" s="3" t="s">
        <x:v>442</x:v>
      </x:c>
      <x:c r="D68" s="3" t="s">
        <x:v>244</x:v>
      </x:c>
      <x:c r="E68" s="3" t="s">
        <x:v>264</x:v>
      </x:c>
      <x:c r="F68" s="3" t="s">
        <x:v>318</x:v>
      </x:c>
      <x:c r="G68" s="3" t="s">
        <x:v>319</x:v>
      </x:c>
      <x:c r="H68" s="3" t="s">
        <x:v>319</x:v>
      </x:c>
      <x:c r="I68" s="3" t="s">
        <x:v>319</x:v>
      </x:c>
      <x:c r="J68" s="3" t="s">
        <x:v>320</x:v>
      </x:c>
      <x:c r="K68" s="3" t="s">
        <x:v>150</x:v>
      </x:c>
      <x:c r="L68" s="37" t="s">
        <x:v>319</x:v>
      </x:c>
      <x:c r="M68" s="37" t="s">
        <x:v>348</x:v>
      </x:c>
      <x:c r="N68" s="37" t="s">
        <x:v>319</x:v>
      </x:c>
      <x:c r="O68" s="36" t="s">
        <x:v>348</x:v>
      </x:c>
      <x:c r="P68" s="37" t="s">
        <x:v>151</x:v>
      </x:c>
      <x:c r="Q68" s="37" t="s">
        <x:v>151</x:v>
      </x:c>
      <x:c r="R68" s="37" t="s">
        <x:v>151</x:v>
      </x:c>
      <x:c r="S68" s="37" t="s">
        <x:v>170</x:v>
      </x:c>
      <x:c r="T68" s="36" t="s">
        <x:v>322</x:v>
      </x:c>
      <x:c r="U68" s="36" t="n">
        <x:f>IFERROR(O68*P68*Q68/R68*(1+S68)*T68,"")</x:f>
        <x:v>0.03320547945205479</x:v>
      </x:c>
      <x:c r="V68" s="33" t="s">
        <x:v>323</x:v>
      </x:c>
      <x:c r="W68" s="30">
        <x:v>46236.78357621528</x:v>
      </x:c>
      <x:c r="X68" s="30"/>
      <x:c r="Y68" s="3" t="s">
        <x:v>224</x:v>
      </x:c>
      <x:c r="Z68" s="3" t="s">
        <x:v>171</x:v>
      </x:c>
      <x:c r="AA68" s="17" t="s">
        <x:v>443</x:v>
      </x:c>
      <x:c r="AB68" s="33" t="str">
        <x:f>IF(A68="","",IF(COUNTIF($A$5:$A$1004,A68)&gt;1,"错误:重复成本规则ID",IF(OR(B68="",C68="",D68="",E68="",F68="",K68="",O68&lt;=0,P68&lt;=0,Q68&lt;=0,R68&lt;=0,S68&lt;0,T68&lt;=0,Y68="",Z68=""),"错误:必填项","OK")))</x:f>
        <x:v>OK</x:v>
      </x:c>
    </x:row>
    <x:row r="69" ht="52.79999923706055" customHeight="1">
      <x:c r="A69" s="3" t="s">
        <x:v>445</x:v>
      </x:c>
      <x:c r="B69" s="3" t="s">
        <x:v>167</x:v>
      </x:c>
      <x:c r="C69" s="3" t="s">
        <x:v>446</x:v>
      </x:c>
      <x:c r="D69" s="3" t="s">
        <x:v>234</x:v>
      </x:c>
      <x:c r="E69" s="3" t="s">
        <x:v>258</x:v>
      </x:c>
      <x:c r="F69" s="3" t="s">
        <x:v>331</x:v>
      </x:c>
      <x:c r="G69" s="3" t="s">
        <x:v>319</x:v>
      </x:c>
      <x:c r="H69" s="3" t="s">
        <x:v>319</x:v>
      </x:c>
      <x:c r="I69" s="3" t="s">
        <x:v>319</x:v>
      </x:c>
      <x:c r="J69" s="3" t="s">
        <x:v>320</x:v>
      </x:c>
      <x:c r="K69" s="3" t="s">
        <x:v>150</x:v>
      </x:c>
      <x:c r="L69" s="37" t="s">
        <x:v>345</x:v>
      </x:c>
      <x:c r="M69" s="37" t="s">
        <x:v>319</x:v>
      </x:c>
      <x:c r="N69" s="37" t="s">
        <x:v>319</x:v>
      </x:c>
      <x:c r="O69" s="36" t="s">
        <x:v>345</x:v>
      </x:c>
      <x:c r="P69" s="37" t="s">
        <x:v>151</x:v>
      </x:c>
      <x:c r="Q69" s="37" t="s">
        <x:v>151</x:v>
      </x:c>
      <x:c r="R69" s="37" t="s">
        <x:v>151</x:v>
      </x:c>
      <x:c r="S69" s="37" t="s">
        <x:v>170</x:v>
      </x:c>
      <x:c r="T69" s="36" t="s">
        <x:v>322</x:v>
      </x:c>
      <x:c r="U69" s="36" t="n">
        <x:f>IFERROR(O69*P69*Q69/R69*(1+S69)*T69,"")</x:f>
        <x:v>0.6226027397260273</x:v>
      </x:c>
      <x:c r="V69" s="33" t="s">
        <x:v>333</x:v>
      </x:c>
      <x:c r="W69" s="30">
        <x:v>46236.78357621528</x:v>
      </x:c>
      <x:c r="X69" s="30"/>
      <x:c r="Y69" s="3" t="s">
        <x:v>224</x:v>
      </x:c>
      <x:c r="Z69" s="3" t="s">
        <x:v>171</x:v>
      </x:c>
      <x:c r="AA69" s="17" t="s">
        <x:v>447</x:v>
      </x:c>
      <x:c r="AB69" s="33" t="str">
        <x:f>IF(A69="","",IF(COUNTIF($A$5:$A$1004,A69)&gt;1,"错误:重复成本规则ID",IF(OR(B69="",C69="",D69="",E69="",F69="",K69="",O69&lt;=0,P69&lt;=0,Q69&lt;=0,R69&lt;=0,S69&lt;0,T69&lt;=0,Y69="",Z69=""),"错误:必填项","OK")))</x:f>
        <x:v>OK</x:v>
      </x:c>
    </x:row>
    <x:row r="70" ht="52.79999923706055" customHeight="1">
      <x:c r="A70" s="3" t="s">
        <x:v>448</x:v>
      </x:c>
      <x:c r="B70" s="3" t="s">
        <x:v>167</x:v>
      </x:c>
      <x:c r="C70" s="3" t="s">
        <x:v>446</x:v>
      </x:c>
      <x:c r="D70" s="3" t="s">
        <x:v>234</x:v>
      </x:c>
      <x:c r="E70" s="3" t="s">
        <x:v>264</x:v>
      </x:c>
      <x:c r="F70" s="3" t="s">
        <x:v>331</x:v>
      </x:c>
      <x:c r="G70" s="3" t="s">
        <x:v>319</x:v>
      </x:c>
      <x:c r="H70" s="3" t="s">
        <x:v>319</x:v>
      </x:c>
      <x:c r="I70" s="3" t="s">
        <x:v>319</x:v>
      </x:c>
      <x:c r="J70" s="3" t="s">
        <x:v>320</x:v>
      </x:c>
      <x:c r="K70" s="3" t="s">
        <x:v>150</x:v>
      </x:c>
      <x:c r="L70" s="37" t="s">
        <x:v>345</x:v>
      </x:c>
      <x:c r="M70" s="37" t="s">
        <x:v>319</x:v>
      </x:c>
      <x:c r="N70" s="37" t="s">
        <x:v>319</x:v>
      </x:c>
      <x:c r="O70" s="36" t="s">
        <x:v>345</x:v>
      </x:c>
      <x:c r="P70" s="37" t="s">
        <x:v>151</x:v>
      </x:c>
      <x:c r="Q70" s="37" t="s">
        <x:v>151</x:v>
      </x:c>
      <x:c r="R70" s="37" t="s">
        <x:v>151</x:v>
      </x:c>
      <x:c r="S70" s="37" t="s">
        <x:v>170</x:v>
      </x:c>
      <x:c r="T70" s="36" t="s">
        <x:v>322</x:v>
      </x:c>
      <x:c r="U70" s="36" t="n">
        <x:f>IFERROR(O70*P70*Q70/R70*(1+S70)*T70,"")</x:f>
        <x:v>0.6226027397260273</x:v>
      </x:c>
      <x:c r="V70" s="33" t="s">
        <x:v>333</x:v>
      </x:c>
      <x:c r="W70" s="30">
        <x:v>46236.78357621528</x:v>
      </x:c>
      <x:c r="X70" s="30"/>
      <x:c r="Y70" s="3" t="s">
        <x:v>224</x:v>
      </x:c>
      <x:c r="Z70" s="3" t="s">
        <x:v>171</x:v>
      </x:c>
      <x:c r="AA70" s="17" t="s">
        <x:v>447</x:v>
      </x:c>
      <x:c r="AB70" s="33" t="str">
        <x:f>IF(A70="","",IF(COUNTIF($A$5:$A$1004,A70)&gt;1,"错误:重复成本规则ID",IF(OR(B70="",C70="",D70="",E70="",F70="",K70="",O70&lt;=0,P70&lt;=0,Q70&lt;=0,R70&lt;=0,S70&lt;0,T70&lt;=0,Y70="",Z70=""),"错误:必填项","OK")))</x:f>
        <x:v>OK</x:v>
      </x:c>
    </x:row>
    <x:row r="71" ht="52.79999923706055" customHeight="1">
      <x:c r="A71" s="3" t="s">
        <x:v>449</x:v>
      </x:c>
      <x:c r="B71" s="3" t="s">
        <x:v>167</x:v>
      </x:c>
      <x:c r="C71" s="3" t="s">
        <x:v>450</x:v>
      </x:c>
      <x:c r="D71" s="3" t="s">
        <x:v>238</x:v>
      </x:c>
      <x:c r="E71" s="3" t="s">
        <x:v>258</x:v>
      </x:c>
      <x:c r="F71" s="3" t="s">
        <x:v>331</x:v>
      </x:c>
      <x:c r="G71" s="3" t="s">
        <x:v>319</x:v>
      </x:c>
      <x:c r="H71" s="3" t="s">
        <x:v>319</x:v>
      </x:c>
      <x:c r="I71" s="3" t="s">
        <x:v>319</x:v>
      </x:c>
      <x:c r="J71" s="3" t="s">
        <x:v>320</x:v>
      </x:c>
      <x:c r="K71" s="3" t="s">
        <x:v>150</x:v>
      </x:c>
      <x:c r="L71" s="37" t="s">
        <x:v>451</x:v>
      </x:c>
      <x:c r="M71" s="37" t="s">
        <x:v>319</x:v>
      </x:c>
      <x:c r="N71" s="37" t="s">
        <x:v>319</x:v>
      </x:c>
      <x:c r="O71" s="36" t="s">
        <x:v>451</x:v>
      </x:c>
      <x:c r="P71" s="37" t="s">
        <x:v>151</x:v>
      </x:c>
      <x:c r="Q71" s="37" t="s">
        <x:v>151</x:v>
      </x:c>
      <x:c r="R71" s="37" t="s">
        <x:v>151</x:v>
      </x:c>
      <x:c r="S71" s="37" t="s">
        <x:v>170</x:v>
      </x:c>
      <x:c r="T71" s="36" t="s">
        <x:v>322</x:v>
      </x:c>
      <x:c r="U71" s="36" t="n">
        <x:f>IFERROR(O71*P71*Q71/R71*(1+S71)*T71,"")</x:f>
        <x:v>0.8093835616438356</x:v>
      </x:c>
      <x:c r="V71" s="33" t="s">
        <x:v>333</x:v>
      </x:c>
      <x:c r="W71" s="30">
        <x:v>46236.78357621528</x:v>
      </x:c>
      <x:c r="X71" s="30"/>
      <x:c r="Y71" s="3" t="s">
        <x:v>224</x:v>
      </x:c>
      <x:c r="Z71" s="3" t="s">
        <x:v>171</x:v>
      </x:c>
      <x:c r="AA71" s="17" t="s">
        <x:v>452</x:v>
      </x:c>
      <x:c r="AB71" s="33" t="str">
        <x:f>IF(A71="","",IF(COUNTIF($A$5:$A$1004,A71)&gt;1,"错误:重复成本规则ID",IF(OR(B71="",C71="",D71="",E71="",F71="",K71="",O71&lt;=0,P71&lt;=0,Q71&lt;=0,R71&lt;=0,S71&lt;0,T71&lt;=0,Y71="",Z71=""),"错误:必填项","OK")))</x:f>
        <x:v>OK</x:v>
      </x:c>
    </x:row>
    <x:row r="72" ht="52.79999923706055" customHeight="1">
      <x:c r="A72" s="3" t="s">
        <x:v>453</x:v>
      </x:c>
      <x:c r="B72" s="3" t="s">
        <x:v>167</x:v>
      </x:c>
      <x:c r="C72" s="3" t="s">
        <x:v>450</x:v>
      </x:c>
      <x:c r="D72" s="3" t="s">
        <x:v>238</x:v>
      </x:c>
      <x:c r="E72" s="3" t="s">
        <x:v>264</x:v>
      </x:c>
      <x:c r="F72" s="3" t="s">
        <x:v>331</x:v>
      </x:c>
      <x:c r="G72" s="3" t="s">
        <x:v>319</x:v>
      </x:c>
      <x:c r="H72" s="3" t="s">
        <x:v>319</x:v>
      </x:c>
      <x:c r="I72" s="3" t="s">
        <x:v>319</x:v>
      </x:c>
      <x:c r="J72" s="3" t="s">
        <x:v>320</x:v>
      </x:c>
      <x:c r="K72" s="3" t="s">
        <x:v>150</x:v>
      </x:c>
      <x:c r="L72" s="37" t="s">
        <x:v>451</x:v>
      </x:c>
      <x:c r="M72" s="37" t="s">
        <x:v>319</x:v>
      </x:c>
      <x:c r="N72" s="37" t="s">
        <x:v>319</x:v>
      </x:c>
      <x:c r="O72" s="36" t="s">
        <x:v>451</x:v>
      </x:c>
      <x:c r="P72" s="37" t="s">
        <x:v>151</x:v>
      </x:c>
      <x:c r="Q72" s="37" t="s">
        <x:v>151</x:v>
      </x:c>
      <x:c r="R72" s="37" t="s">
        <x:v>151</x:v>
      </x:c>
      <x:c r="S72" s="37" t="s">
        <x:v>170</x:v>
      </x:c>
      <x:c r="T72" s="36" t="s">
        <x:v>322</x:v>
      </x:c>
      <x:c r="U72" s="36" t="n">
        <x:f>IFERROR(O72*P72*Q72/R72*(1+S72)*T72,"")</x:f>
        <x:v>0.8093835616438356</x:v>
      </x:c>
      <x:c r="V72" s="33" t="s">
        <x:v>333</x:v>
      </x:c>
      <x:c r="W72" s="30">
        <x:v>46236.78357621528</x:v>
      </x:c>
      <x:c r="X72" s="30"/>
      <x:c r="Y72" s="3" t="s">
        <x:v>224</x:v>
      </x:c>
      <x:c r="Z72" s="3" t="s">
        <x:v>171</x:v>
      </x:c>
      <x:c r="AA72" s="17" t="s">
        <x:v>452</x:v>
      </x:c>
      <x:c r="AB72" s="33" t="str">
        <x:f>IF(A72="","",IF(COUNTIF($A$5:$A$1004,A72)&gt;1,"错误:重复成本规则ID",IF(OR(B72="",C72="",D72="",E72="",F72="",K72="",O72&lt;=0,P72&lt;=0,Q72&lt;=0,R72&lt;=0,S72&lt;0,T72&lt;=0,Y72="",Z72=""),"错误:必填项","OK")))</x:f>
        <x:v>OK</x:v>
      </x:c>
    </x:row>
    <x:row r="73" ht="52.79999923706055" customHeight="1">
      <x:c r="A73" s="3" t="s">
        <x:v>454</x:v>
      </x:c>
      <x:c r="B73" s="3" t="s">
        <x:v>167</x:v>
      </x:c>
      <x:c r="C73" s="3" t="s">
        <x:v>455</x:v>
      </x:c>
      <x:c r="D73" s="3" t="s">
        <x:v>244</x:v>
      </x:c>
      <x:c r="E73" s="3" t="s">
        <x:v>258</x:v>
      </x:c>
      <x:c r="F73" s="3" t="s">
        <x:v>331</x:v>
      </x:c>
      <x:c r="G73" s="3" t="s">
        <x:v>319</x:v>
      </x:c>
      <x:c r="H73" s="3" t="s">
        <x:v>319</x:v>
      </x:c>
      <x:c r="I73" s="3" t="s">
        <x:v>319</x:v>
      </x:c>
      <x:c r="J73" s="3" t="s">
        <x:v>320</x:v>
      </x:c>
      <x:c r="K73" s="3" t="s">
        <x:v>150</x:v>
      </x:c>
      <x:c r="L73" s="37" t="s">
        <x:v>456</x:v>
      </x:c>
      <x:c r="M73" s="37" t="s">
        <x:v>319</x:v>
      </x:c>
      <x:c r="N73" s="37" t="s">
        <x:v>319</x:v>
      </x:c>
      <x:c r="O73" s="36" t="s">
        <x:v>456</x:v>
      </x:c>
      <x:c r="P73" s="37" t="s">
        <x:v>151</x:v>
      </x:c>
      <x:c r="Q73" s="37" t="s">
        <x:v>151</x:v>
      </x:c>
      <x:c r="R73" s="37" t="s">
        <x:v>151</x:v>
      </x:c>
      <x:c r="S73" s="37" t="s">
        <x:v>170</x:v>
      </x:c>
      <x:c r="T73" s="36" t="s">
        <x:v>322</x:v>
      </x:c>
      <x:c r="U73" s="36" t="n">
        <x:f>IFERROR(O73*P73*Q73/R73*(1+S73)*T73,"")</x:f>
        <x:v>0.41506849315068495</x:v>
      </x:c>
      <x:c r="V73" s="33" t="s">
        <x:v>333</x:v>
      </x:c>
      <x:c r="W73" s="30">
        <x:v>46236.78357621528</x:v>
      </x:c>
      <x:c r="X73" s="30"/>
      <x:c r="Y73" s="3" t="s">
        <x:v>224</x:v>
      </x:c>
      <x:c r="Z73" s="3" t="s">
        <x:v>171</x:v>
      </x:c>
      <x:c r="AA73" s="17" t="s">
        <x:v>457</x:v>
      </x:c>
      <x:c r="AB73" s="33" t="str">
        <x:f>IF(A73="","",IF(COUNTIF($A$5:$A$1004,A73)&gt;1,"错误:重复成本规则ID",IF(OR(B73="",C73="",D73="",E73="",F73="",K73="",O73&lt;=0,P73&lt;=0,Q73&lt;=0,R73&lt;=0,S73&lt;0,T73&lt;=0,Y73="",Z73=""),"错误:必填项","OK")))</x:f>
        <x:v>OK</x:v>
      </x:c>
    </x:row>
    <x:row r="74" ht="52.79999923706055" customHeight="1">
      <x:c r="A74" s="3" t="s">
        <x:v>458</x:v>
      </x:c>
      <x:c r="B74" s="3" t="s">
        <x:v>167</x:v>
      </x:c>
      <x:c r="C74" s="3" t="s">
        <x:v>455</x:v>
      </x:c>
      <x:c r="D74" s="3" t="s">
        <x:v>244</x:v>
      </x:c>
      <x:c r="E74" s="3" t="s">
        <x:v>264</x:v>
      </x:c>
      <x:c r="F74" s="3" t="s">
        <x:v>331</x:v>
      </x:c>
      <x:c r="G74" s="3" t="s">
        <x:v>319</x:v>
      </x:c>
      <x:c r="H74" s="3" t="s">
        <x:v>319</x:v>
      </x:c>
      <x:c r="I74" s="3" t="s">
        <x:v>319</x:v>
      </x:c>
      <x:c r="J74" s="3" t="s">
        <x:v>320</x:v>
      </x:c>
      <x:c r="K74" s="3" t="s">
        <x:v>150</x:v>
      </x:c>
      <x:c r="L74" s="37" t="s">
        <x:v>456</x:v>
      </x:c>
      <x:c r="M74" s="37" t="s">
        <x:v>319</x:v>
      </x:c>
      <x:c r="N74" s="37" t="s">
        <x:v>319</x:v>
      </x:c>
      <x:c r="O74" s="36" t="s">
        <x:v>456</x:v>
      </x:c>
      <x:c r="P74" s="37" t="s">
        <x:v>151</x:v>
      </x:c>
      <x:c r="Q74" s="37" t="s">
        <x:v>151</x:v>
      </x:c>
      <x:c r="R74" s="37" t="s">
        <x:v>151</x:v>
      </x:c>
      <x:c r="S74" s="37" t="s">
        <x:v>170</x:v>
      </x:c>
      <x:c r="T74" s="36" t="s">
        <x:v>322</x:v>
      </x:c>
      <x:c r="U74" s="36" t="n">
        <x:f>IFERROR(O74*P74*Q74/R74*(1+S74)*T74,"")</x:f>
        <x:v>0.41506849315068495</x:v>
      </x:c>
      <x:c r="V74" s="33" t="s">
        <x:v>333</x:v>
      </x:c>
      <x:c r="W74" s="30">
        <x:v>46236.78357621528</x:v>
      </x:c>
      <x:c r="X74" s="30"/>
      <x:c r="Y74" s="3" t="s">
        <x:v>224</x:v>
      </x:c>
      <x:c r="Z74" s="3" t="s">
        <x:v>171</x:v>
      </x:c>
      <x:c r="AA74" s="17" t="s">
        <x:v>457</x:v>
      </x:c>
      <x:c r="AB74" s="33" t="str">
        <x:f>IF(A74="","",IF(COUNTIF($A$5:$A$1004,A74)&gt;1,"错误:重复成本规则ID",IF(OR(B74="",C74="",D74="",E74="",F74="",K74="",O74&lt;=0,P74&lt;=0,Q74&lt;=0,R74&lt;=0,S74&lt;0,T74&lt;=0,Y74="",Z74=""),"错误:必填项","OK")))</x:f>
        <x:v>OK</x:v>
      </x:c>
    </x:row>
    <x:row r="75" ht="52.79999923706055" customHeight="1">
      <x:c r="A75" s="3" t="s">
        <x:v>459</x:v>
      </x:c>
      <x:c r="B75" s="3" t="s">
        <x:v>167</x:v>
      </x:c>
      <x:c r="C75" s="3" t="s">
        <x:v>460</x:v>
      </x:c>
      <x:c r="D75" s="3" t="s">
        <x:v>244</x:v>
      </x:c>
      <x:c r="E75" s="3" t="s">
        <x:v>258</x:v>
      </x:c>
      <x:c r="F75" s="3" t="s">
        <x:v>331</x:v>
      </x:c>
      <x:c r="G75" s="3" t="s">
        <x:v>319</x:v>
      </x:c>
      <x:c r="H75" s="3" t="s">
        <x:v>319</x:v>
      </x:c>
      <x:c r="I75" s="3" t="s">
        <x:v>319</x:v>
      </x:c>
      <x:c r="J75" s="3" t="s">
        <x:v>320</x:v>
      </x:c>
      <x:c r="K75" s="3" t="s">
        <x:v>150</x:v>
      </x:c>
      <x:c r="L75" s="37" t="s">
        <x:v>456</x:v>
      </x:c>
      <x:c r="M75" s="37" t="s">
        <x:v>319</x:v>
      </x:c>
      <x:c r="N75" s="37" t="s">
        <x:v>319</x:v>
      </x:c>
      <x:c r="O75" s="36" t="s">
        <x:v>456</x:v>
      </x:c>
      <x:c r="P75" s="37" t="s">
        <x:v>151</x:v>
      </x:c>
      <x:c r="Q75" s="37" t="s">
        <x:v>151</x:v>
      </x:c>
      <x:c r="R75" s="37" t="s">
        <x:v>151</x:v>
      </x:c>
      <x:c r="S75" s="37" t="s">
        <x:v>170</x:v>
      </x:c>
      <x:c r="T75" s="36" t="s">
        <x:v>322</x:v>
      </x:c>
      <x:c r="U75" s="36" t="n">
        <x:f>IFERROR(O75*P75*Q75/R75*(1+S75)*T75,"")</x:f>
        <x:v>0.41506849315068495</x:v>
      </x:c>
      <x:c r="V75" s="33" t="s">
        <x:v>333</x:v>
      </x:c>
      <x:c r="W75" s="30">
        <x:v>46236.78357621528</x:v>
      </x:c>
      <x:c r="X75" s="30"/>
      <x:c r="Y75" s="3" t="s">
        <x:v>224</x:v>
      </x:c>
      <x:c r="Z75" s="3" t="s">
        <x:v>171</x:v>
      </x:c>
      <x:c r="AA75" s="17" t="s">
        <x:v>461</x:v>
      </x:c>
      <x:c r="AB75" s="33" t="str">
        <x:f>IF(A75="","",IF(COUNTIF($A$5:$A$1004,A75)&gt;1,"错误:重复成本规则ID",IF(OR(B75="",C75="",D75="",E75="",F75="",K75="",O75&lt;=0,P75&lt;=0,Q75&lt;=0,R75&lt;=0,S75&lt;0,T75&lt;=0,Y75="",Z75=""),"错误:必填项","OK")))</x:f>
        <x:v>OK</x:v>
      </x:c>
    </x:row>
    <x:row r="76" ht="52.79999923706055" customHeight="1">
      <x:c r="A76" s="3" t="s">
        <x:v>462</x:v>
      </x:c>
      <x:c r="B76" s="3" t="s">
        <x:v>167</x:v>
      </x:c>
      <x:c r="C76" s="3" t="s">
        <x:v>460</x:v>
      </x:c>
      <x:c r="D76" s="3" t="s">
        <x:v>244</x:v>
      </x:c>
      <x:c r="E76" s="3" t="s">
        <x:v>264</x:v>
      </x:c>
      <x:c r="F76" s="3" t="s">
        <x:v>331</x:v>
      </x:c>
      <x:c r="G76" s="3" t="s">
        <x:v>319</x:v>
      </x:c>
      <x:c r="H76" s="3" t="s">
        <x:v>319</x:v>
      </x:c>
      <x:c r="I76" s="3" t="s">
        <x:v>319</x:v>
      </x:c>
      <x:c r="J76" s="3" t="s">
        <x:v>320</x:v>
      </x:c>
      <x:c r="K76" s="3" t="s">
        <x:v>150</x:v>
      </x:c>
      <x:c r="L76" s="37" t="s">
        <x:v>456</x:v>
      </x:c>
      <x:c r="M76" s="37" t="s">
        <x:v>319</x:v>
      </x:c>
      <x:c r="N76" s="37" t="s">
        <x:v>319</x:v>
      </x:c>
      <x:c r="O76" s="36" t="s">
        <x:v>456</x:v>
      </x:c>
      <x:c r="P76" s="37" t="s">
        <x:v>151</x:v>
      </x:c>
      <x:c r="Q76" s="37" t="s">
        <x:v>151</x:v>
      </x:c>
      <x:c r="R76" s="37" t="s">
        <x:v>151</x:v>
      </x:c>
      <x:c r="S76" s="37" t="s">
        <x:v>170</x:v>
      </x:c>
      <x:c r="T76" s="36" t="s">
        <x:v>322</x:v>
      </x:c>
      <x:c r="U76" s="36" t="n">
        <x:f>IFERROR(O76*P76*Q76/R76*(1+S76)*T76,"")</x:f>
        <x:v>0.41506849315068495</x:v>
      </x:c>
      <x:c r="V76" s="33" t="s">
        <x:v>333</x:v>
      </x:c>
      <x:c r="W76" s="30">
        <x:v>46236.78357621528</x:v>
      </x:c>
      <x:c r="X76" s="30"/>
      <x:c r="Y76" s="3" t="s">
        <x:v>224</x:v>
      </x:c>
      <x:c r="Z76" s="3" t="s">
        <x:v>171</x:v>
      </x:c>
      <x:c r="AA76" s="17" t="s">
        <x:v>461</x:v>
      </x:c>
      <x:c r="AB76" s="33" t="str">
        <x:f>IF(A76="","",IF(COUNTIF($A$5:$A$1004,A76)&gt;1,"错误:重复成本规则ID",IF(OR(B76="",C76="",D76="",E76="",F76="",K76="",O76&lt;=0,P76&lt;=0,Q76&lt;=0,R76&lt;=0,S76&lt;0,T76&lt;=0,Y76="",Z76=""),"错误:必填项","OK")))</x:f>
        <x:v>OK</x:v>
      </x:c>
    </x:row>
    <x:row r="77" ht="52.79999923706055" customHeight="1">
      <x:c r="A77" s="3" t="s">
        <x:v>463</x:v>
      </x:c>
      <x:c r="B77" s="3" t="s">
        <x:v>167</x:v>
      </x:c>
      <x:c r="C77" s="3" t="s">
        <x:v>464</x:v>
      </x:c>
      <x:c r="D77" s="3" t="s">
        <x:v>227</x:v>
      </x:c>
      <x:c r="E77" s="3" t="s">
        <x:v>258</x:v>
      </x:c>
      <x:c r="F77" s="3" t="s">
        <x:v>331</x:v>
      </x:c>
      <x:c r="G77" s="3" t="s">
        <x:v>319</x:v>
      </x:c>
      <x:c r="H77" s="3" t="s">
        <x:v>319</x:v>
      </x:c>
      <x:c r="I77" s="3" t="s">
        <x:v>319</x:v>
      </x:c>
      <x:c r="J77" s="3" t="s">
        <x:v>320</x:v>
      </x:c>
      <x:c r="K77" s="3" t="s">
        <x:v>150</x:v>
      </x:c>
      <x:c r="L77" s="37" t="s">
        <x:v>465</x:v>
      </x:c>
      <x:c r="M77" s="37" t="s">
        <x:v>319</x:v>
      </x:c>
      <x:c r="N77" s="37" t="s">
        <x:v>319</x:v>
      </x:c>
      <x:c r="O77" s="36" t="s">
        <x:v>465</x:v>
      </x:c>
      <x:c r="P77" s="37" t="s">
        <x:v>151</x:v>
      </x:c>
      <x:c r="Q77" s="37" t="s">
        <x:v>151</x:v>
      </x:c>
      <x:c r="R77" s="37" t="s">
        <x:v>151</x:v>
      </x:c>
      <x:c r="S77" s="37" t="s">
        <x:v>170</x:v>
      </x:c>
      <x:c r="T77" s="36" t="s">
        <x:v>322</x:v>
      </x:c>
      <x:c r="U77" s="36" t="n">
        <x:f>IFERROR(O77*P77*Q77/R77*(1+S77)*T77,"")</x:f>
        <x:v>0.933904109589041</x:v>
      </x:c>
      <x:c r="V77" s="33" t="s">
        <x:v>333</x:v>
      </x:c>
      <x:c r="W77" s="30">
        <x:v>46236.78357621528</x:v>
      </x:c>
      <x:c r="X77" s="30"/>
      <x:c r="Y77" s="3" t="s">
        <x:v>224</x:v>
      </x:c>
      <x:c r="Z77" s="3" t="s">
        <x:v>171</x:v>
      </x:c>
      <x:c r="AA77" s="17" t="s">
        <x:v>466</x:v>
      </x:c>
      <x:c r="AB77" s="33" t="str">
        <x:f>IF(A77="","",IF(COUNTIF($A$5:$A$1004,A77)&gt;1,"错误:重复成本规则ID",IF(OR(B77="",C77="",D77="",E77="",F77="",K77="",O77&lt;=0,P77&lt;=0,Q77&lt;=0,R77&lt;=0,S77&lt;0,T77&lt;=0,Y77="",Z77=""),"错误:必填项","OK")))</x:f>
        <x:v>OK</x:v>
      </x:c>
    </x:row>
    <x:row r="78" ht="66" customHeight="1">
      <x:c r="A78" s="3" t="s">
        <x:v>467</x:v>
      </x:c>
      <x:c r="B78" s="3" t="s">
        <x:v>167</x:v>
      </x:c>
      <x:c r="C78" s="3" t="s">
        <x:v>464</x:v>
      </x:c>
      <x:c r="D78" s="3" t="s">
        <x:v>227</x:v>
      </x:c>
      <x:c r="E78" s="3" t="s">
        <x:v>264</x:v>
      </x:c>
      <x:c r="F78" s="3" t="s">
        <x:v>331</x:v>
      </x:c>
      <x:c r="G78" s="3" t="s">
        <x:v>319</x:v>
      </x:c>
      <x:c r="H78" s="3" t="s">
        <x:v>319</x:v>
      </x:c>
      <x:c r="I78" s="3" t="s">
        <x:v>319</x:v>
      </x:c>
      <x:c r="J78" s="3" t="s">
        <x:v>320</x:v>
      </x:c>
      <x:c r="K78" s="3" t="s">
        <x:v>150</x:v>
      </x:c>
      <x:c r="L78" s="37" t="s">
        <x:v>465</x:v>
      </x:c>
      <x:c r="M78" s="37" t="s">
        <x:v>319</x:v>
      </x:c>
      <x:c r="N78" s="37" t="s">
        <x:v>319</x:v>
      </x:c>
      <x:c r="O78" s="36" t="s">
        <x:v>465</x:v>
      </x:c>
      <x:c r="P78" s="37" t="s">
        <x:v>151</x:v>
      </x:c>
      <x:c r="Q78" s="37" t="s">
        <x:v>151</x:v>
      </x:c>
      <x:c r="R78" s="37" t="s">
        <x:v>151</x:v>
      </x:c>
      <x:c r="S78" s="37" t="s">
        <x:v>170</x:v>
      </x:c>
      <x:c r="T78" s="36" t="s">
        <x:v>322</x:v>
      </x:c>
      <x:c r="U78" s="36" t="n">
        <x:f>IFERROR(O78*P78*Q78/R78*(1+S78)*T78,"")</x:f>
        <x:v>0.933904109589041</x:v>
      </x:c>
      <x:c r="V78" s="33" t="s">
        <x:v>333</x:v>
      </x:c>
      <x:c r="W78" s="30">
        <x:v>46236.78357621528</x:v>
      </x:c>
      <x:c r="X78" s="30"/>
      <x:c r="Y78" s="3" t="s">
        <x:v>224</x:v>
      </x:c>
      <x:c r="Z78" s="3" t="s">
        <x:v>171</x:v>
      </x:c>
      <x:c r="AA78" s="17" t="s">
        <x:v>466</x:v>
      </x:c>
      <x:c r="AB78" s="33" t="str">
        <x:f>IF(A78="","",IF(COUNTIF($A$5:$A$1004,A78)&gt;1,"错误:重复成本规则ID",IF(OR(B78="",C78="",D78="",E78="",F78="",K78="",O78&lt;=0,P78&lt;=0,Q78&lt;=0,R78&lt;=0,S78&lt;0,T78&lt;=0,Y78="",Z78=""),"错误:必填项","OK")))</x:f>
        <x:v>OK</x:v>
      </x:c>
    </x:row>
    <x:row r="79" ht="66" customHeight="1">
      <x:c r="A79" s="3" t="s">
        <x:v>468</x:v>
      </x:c>
      <x:c r="B79" s="3" t="s">
        <x:v>167</x:v>
      </x:c>
      <x:c r="C79" s="3" t="s">
        <x:v>469</x:v>
      </x:c>
      <x:c r="D79" s="3" t="s">
        <x:v>232</x:v>
      </x:c>
      <x:c r="E79" s="3" t="s">
        <x:v>258</x:v>
      </x:c>
      <x:c r="F79" s="3" t="s">
        <x:v>331</x:v>
      </x:c>
      <x:c r="G79" s="3" t="s">
        <x:v>319</x:v>
      </x:c>
      <x:c r="H79" s="3" t="s">
        <x:v>319</x:v>
      </x:c>
      <x:c r="I79" s="3" t="s">
        <x:v>319</x:v>
      </x:c>
      <x:c r="J79" s="3" t="s">
        <x:v>320</x:v>
      </x:c>
      <x:c r="K79" s="3" t="s">
        <x:v>150</x:v>
      </x:c>
      <x:c r="L79" s="37" t="s">
        <x:v>470</x:v>
      </x:c>
      <x:c r="M79" s="37" t="s">
        <x:v>319</x:v>
      </x:c>
      <x:c r="N79" s="37" t="s">
        <x:v>319</x:v>
      </x:c>
      <x:c r="O79" s="36" t="s">
        <x:v>470</x:v>
      </x:c>
      <x:c r="P79" s="37" t="s">
        <x:v>151</x:v>
      </x:c>
      <x:c r="Q79" s="37" t="s">
        <x:v>151</x:v>
      </x:c>
      <x:c r="R79" s="37" t="s">
        <x:v>151</x:v>
      </x:c>
      <x:c r="S79" s="37" t="s">
        <x:v>170</x:v>
      </x:c>
      <x:c r="T79" s="36" t="s">
        <x:v>322</x:v>
      </x:c>
      <x:c r="U79" s="36" t="n">
        <x:f>IFERROR(O79*P79*Q79/R79*(1+S79)*T79,"")</x:f>
        <x:v>1.1414383561643835</x:v>
      </x:c>
      <x:c r="V79" s="33" t="s">
        <x:v>333</x:v>
      </x:c>
      <x:c r="W79" s="30">
        <x:v>46236.78357621528</x:v>
      </x:c>
      <x:c r="X79" s="30"/>
      <x:c r="Y79" s="3" t="s">
        <x:v>224</x:v>
      </x:c>
      <x:c r="Z79" s="3" t="s">
        <x:v>171</x:v>
      </x:c>
      <x:c r="AA79" s="17" t="s">
        <x:v>471</x:v>
      </x:c>
      <x:c r="AB79" s="33" t="str">
        <x:f>IF(A79="","",IF(COUNTIF($A$5:$A$1004,A79)&gt;1,"错误:重复成本规则ID",IF(OR(B79="",C79="",D79="",E79="",F79="",K79="",O79&lt;=0,P79&lt;=0,Q79&lt;=0,R79&lt;=0,S79&lt;0,T79&lt;=0,Y79="",Z79=""),"错误:必填项","OK")))</x:f>
        <x:v>OK</x:v>
      </x:c>
    </x:row>
    <x:row r="80" ht="52.79999923706055" customHeight="1">
      <x:c r="A80" s="3" t="s">
        <x:v>472</x:v>
      </x:c>
      <x:c r="B80" s="3" t="s">
        <x:v>167</x:v>
      </x:c>
      <x:c r="C80" s="3" t="s">
        <x:v>469</x:v>
      </x:c>
      <x:c r="D80" s="3" t="s">
        <x:v>232</x:v>
      </x:c>
      <x:c r="E80" s="3" t="s">
        <x:v>264</x:v>
      </x:c>
      <x:c r="F80" s="3" t="s">
        <x:v>331</x:v>
      </x:c>
      <x:c r="G80" s="3" t="s">
        <x:v>319</x:v>
      </x:c>
      <x:c r="H80" s="3" t="s">
        <x:v>319</x:v>
      </x:c>
      <x:c r="I80" s="3" t="s">
        <x:v>319</x:v>
      </x:c>
      <x:c r="J80" s="3" t="s">
        <x:v>320</x:v>
      </x:c>
      <x:c r="K80" s="3" t="s">
        <x:v>150</x:v>
      </x:c>
      <x:c r="L80" s="37" t="s">
        <x:v>470</x:v>
      </x:c>
      <x:c r="M80" s="37" t="s">
        <x:v>319</x:v>
      </x:c>
      <x:c r="N80" s="37" t="s">
        <x:v>319</x:v>
      </x:c>
      <x:c r="O80" s="36" t="s">
        <x:v>470</x:v>
      </x:c>
      <x:c r="P80" s="37" t="s">
        <x:v>151</x:v>
      </x:c>
      <x:c r="Q80" s="37" t="s">
        <x:v>151</x:v>
      </x:c>
      <x:c r="R80" s="37" t="s">
        <x:v>151</x:v>
      </x:c>
      <x:c r="S80" s="37" t="s">
        <x:v>170</x:v>
      </x:c>
      <x:c r="T80" s="36" t="s">
        <x:v>322</x:v>
      </x:c>
      <x:c r="U80" s="36" t="n">
        <x:f>IFERROR(O80*P80*Q80/R80*(1+S80)*T80,"")</x:f>
        <x:v>1.1414383561643835</x:v>
      </x:c>
      <x:c r="V80" s="33" t="s">
        <x:v>333</x:v>
      </x:c>
      <x:c r="W80" s="30">
        <x:v>46236.78357621528</x:v>
      </x:c>
      <x:c r="X80" s="30"/>
      <x:c r="Y80" s="3" t="s">
        <x:v>224</x:v>
      </x:c>
      <x:c r="Z80" s="3" t="s">
        <x:v>171</x:v>
      </x:c>
      <x:c r="AA80" s="17" t="s">
        <x:v>471</x:v>
      </x:c>
      <x:c r="AB80" s="33" t="str">
        <x:f>IF(A80="","",IF(COUNTIF($A$5:$A$1004,A80)&gt;1,"错误:重复成本规则ID",IF(OR(B80="",C80="",D80="",E80="",F80="",K80="",O80&lt;=0,P80&lt;=0,Q80&lt;=0,R80&lt;=0,S80&lt;0,T80&lt;=0,Y80="",Z80=""),"错误:必填项","OK")))</x:f>
        <x:v>OK</x:v>
      </x:c>
    </x:row>
    <x:row r="81" ht="52.79999923706055" customHeight="1">
      <x:c r="A81" s="3" t="s">
        <x:v>473</x:v>
      </x:c>
      <x:c r="B81" s="3" t="s">
        <x:v>179</x:v>
      </x:c>
      <x:c r="C81" s="3" t="s">
        <x:v>218</x:v>
      </x:c>
      <x:c r="D81" s="3" t="s">
        <x:v>227</x:v>
      </x:c>
      <x:c r="E81" s="3" t="s">
        <x:v>258</x:v>
      </x:c>
      <x:c r="F81" s="3" t="s">
        <x:v>331</x:v>
      </x:c>
      <x:c r="G81" s="3" t="s">
        <x:v>319</x:v>
      </x:c>
      <x:c r="H81" s="3" t="s">
        <x:v>319</x:v>
      </x:c>
      <x:c r="I81" s="3" t="s">
        <x:v>319</x:v>
      </x:c>
      <x:c r="J81" s="3" t="s">
        <x:v>320</x:v>
      </x:c>
      <x:c r="K81" s="3" t="s">
        <x:v>150</x:v>
      </x:c>
      <x:c r="L81" s="37" t="s">
        <x:v>474</x:v>
      </x:c>
      <x:c r="M81" s="37" t="s">
        <x:v>319</x:v>
      </x:c>
      <x:c r="N81" s="37" t="s">
        <x:v>319</x:v>
      </x:c>
      <x:c r="O81" s="36" t="s">
        <x:v>474</x:v>
      </x:c>
      <x:c r="P81" s="37" t="s">
        <x:v>151</x:v>
      </x:c>
      <x:c r="Q81" s="37" t="s">
        <x:v>151</x:v>
      </x:c>
      <x:c r="R81" s="37" t="s">
        <x:v>151</x:v>
      </x:c>
      <x:c r="S81" s="37" t="s">
        <x:v>152</x:v>
      </x:c>
      <x:c r="T81" s="36" t="s">
        <x:v>322</x:v>
      </x:c>
      <x:c r="U81" s="36" t="n">
        <x:f>IFERROR(O81*P81*Q81/R81*(1+S81)*T81,"")</x:f>
        <x:v>0.5342465753424657</x:v>
      </x:c>
      <x:c r="V81" s="33" t="s">
        <x:v>333</x:v>
      </x:c>
      <x:c r="W81" s="30">
        <x:v>46236.78357621528</x:v>
      </x:c>
      <x:c r="X81" s="30"/>
      <x:c r="Y81" s="3" t="s">
        <x:v>224</x:v>
      </x:c>
      <x:c r="Z81" s="3" t="s">
        <x:v>182</x:v>
      </x:c>
      <x:c r="AA81" s="17" t="s">
        <x:v>475</x:v>
      </x:c>
      <x:c r="AB81" s="33" t="str">
        <x:f>IF(A81="","",IF(COUNTIF($A$5:$A$1004,A81)&gt;1,"错误:重复成本规则ID",IF(OR(B81="",C81="",D81="",E81="",F81="",K81="",O81&lt;=0,P81&lt;=0,Q81&lt;=0,R81&lt;=0,S81&lt;0,T81&lt;=0,Y81="",Z81=""),"错误:必填项","OK")))</x:f>
        <x:v>OK</x:v>
      </x:c>
    </x:row>
    <x:row r="82" ht="52.79999923706055" customHeight="1">
      <x:c r="A82" s="3" t="s">
        <x:v>476</x:v>
      </x:c>
      <x:c r="B82" s="3" t="s">
        <x:v>179</x:v>
      </x:c>
      <x:c r="C82" s="3" t="s">
        <x:v>218</x:v>
      </x:c>
      <x:c r="D82" s="3" t="s">
        <x:v>227</x:v>
      </x:c>
      <x:c r="E82" s="3" t="s">
        <x:v>264</x:v>
      </x:c>
      <x:c r="F82" s="3" t="s">
        <x:v>331</x:v>
      </x:c>
      <x:c r="G82" s="3" t="s">
        <x:v>319</x:v>
      </x:c>
      <x:c r="H82" s="3" t="s">
        <x:v>319</x:v>
      </x:c>
      <x:c r="I82" s="3" t="s">
        <x:v>319</x:v>
      </x:c>
      <x:c r="J82" s="3" t="s">
        <x:v>320</x:v>
      </x:c>
      <x:c r="K82" s="3" t="s">
        <x:v>150</x:v>
      </x:c>
      <x:c r="L82" s="37" t="s">
        <x:v>474</x:v>
      </x:c>
      <x:c r="M82" s="37" t="s">
        <x:v>319</x:v>
      </x:c>
      <x:c r="N82" s="37" t="s">
        <x:v>319</x:v>
      </x:c>
      <x:c r="O82" s="36" t="s">
        <x:v>474</x:v>
      </x:c>
      <x:c r="P82" s="37" t="s">
        <x:v>151</x:v>
      </x:c>
      <x:c r="Q82" s="37" t="s">
        <x:v>151</x:v>
      </x:c>
      <x:c r="R82" s="37" t="s">
        <x:v>151</x:v>
      </x:c>
      <x:c r="S82" s="37" t="s">
        <x:v>152</x:v>
      </x:c>
      <x:c r="T82" s="36" t="s">
        <x:v>322</x:v>
      </x:c>
      <x:c r="U82" s="36" t="n">
        <x:f>IFERROR(O82*P82*Q82/R82*(1+S82)*T82,"")</x:f>
        <x:v>0.5342465753424657</x:v>
      </x:c>
      <x:c r="V82" s="33" t="s">
        <x:v>333</x:v>
      </x:c>
      <x:c r="W82" s="30">
        <x:v>46236.78357621528</x:v>
      </x:c>
      <x:c r="X82" s="30"/>
      <x:c r="Y82" s="3" t="s">
        <x:v>224</x:v>
      </x:c>
      <x:c r="Z82" s="3" t="s">
        <x:v>182</x:v>
      </x:c>
      <x:c r="AA82" s="17" t="s">
        <x:v>475</x:v>
      </x:c>
      <x:c r="AB82" s="33" t="str">
        <x:f>IF(A82="","",IF(COUNTIF($A$5:$A$1004,A82)&gt;1,"错误:重复成本规则ID",IF(OR(B82="",C82="",D82="",E82="",F82="",K82="",O82&lt;=0,P82&lt;=0,Q82&lt;=0,R82&lt;=0,S82&lt;0,T82&lt;=0,Y82="",Z82=""),"错误:必填项","OK")))</x:f>
        <x:v>OK</x:v>
      </x:c>
    </x:row>
    <x:row r="83" ht="52.79999923706055" customHeight="1">
      <x:c r="A83" s="3" t="s">
        <x:v>477</x:v>
      </x:c>
      <x:c r="B83" s="3" t="s">
        <x:v>179</x:v>
      </x:c>
      <x:c r="C83" s="3" t="s">
        <x:v>218</x:v>
      </x:c>
      <x:c r="D83" s="3" t="s">
        <x:v>232</x:v>
      </x:c>
      <x:c r="E83" s="3" t="s">
        <x:v>258</x:v>
      </x:c>
      <x:c r="F83" s="3" t="s">
        <x:v>331</x:v>
      </x:c>
      <x:c r="G83" s="3" t="s">
        <x:v>319</x:v>
      </x:c>
      <x:c r="H83" s="3" t="s">
        <x:v>319</x:v>
      </x:c>
      <x:c r="I83" s="3" t="s">
        <x:v>319</x:v>
      </x:c>
      <x:c r="J83" s="3" t="s">
        <x:v>320</x:v>
      </x:c>
      <x:c r="K83" s="3" t="s">
        <x:v>150</x:v>
      </x:c>
      <x:c r="L83" s="37" t="s">
        <x:v>474</x:v>
      </x:c>
      <x:c r="M83" s="37" t="s">
        <x:v>319</x:v>
      </x:c>
      <x:c r="N83" s="37" t="s">
        <x:v>319</x:v>
      </x:c>
      <x:c r="O83" s="36" t="s">
        <x:v>474</x:v>
      </x:c>
      <x:c r="P83" s="37" t="s">
        <x:v>151</x:v>
      </x:c>
      <x:c r="Q83" s="37" t="s">
        <x:v>151</x:v>
      </x:c>
      <x:c r="R83" s="37" t="s">
        <x:v>151</x:v>
      </x:c>
      <x:c r="S83" s="37" t="s">
        <x:v>152</x:v>
      </x:c>
      <x:c r="T83" s="36" t="s">
        <x:v>322</x:v>
      </x:c>
      <x:c r="U83" s="36" t="n">
        <x:f>IFERROR(O83*P83*Q83/R83*(1+S83)*T83,"")</x:f>
        <x:v>0.5342465753424657</x:v>
      </x:c>
      <x:c r="V83" s="33" t="s">
        <x:v>333</x:v>
      </x:c>
      <x:c r="W83" s="30">
        <x:v>46236.78357621528</x:v>
      </x:c>
      <x:c r="X83" s="30"/>
      <x:c r="Y83" s="3" t="s">
        <x:v>224</x:v>
      </x:c>
      <x:c r="Z83" s="3" t="s">
        <x:v>182</x:v>
      </x:c>
      <x:c r="AA83" s="17" t="s">
        <x:v>475</x:v>
      </x:c>
      <x:c r="AB83" s="33" t="str">
        <x:f>IF(A83="","",IF(COUNTIF($A$5:$A$1004,A83)&gt;1,"错误:重复成本规则ID",IF(OR(B83="",C83="",D83="",E83="",F83="",K83="",O83&lt;=0,P83&lt;=0,Q83&lt;=0,R83&lt;=0,S83&lt;0,T83&lt;=0,Y83="",Z83=""),"错误:必填项","OK")))</x:f>
        <x:v>OK</x:v>
      </x:c>
    </x:row>
    <x:row r="84" ht="52.79999923706055" hidden="1" customHeight="1">
      <x:c r="A84" s="3" t="s">
        <x:v>478</x:v>
      </x:c>
      <x:c r="B84" s="3" t="s">
        <x:v>179</x:v>
      </x:c>
      <x:c r="C84" s="3" t="s">
        <x:v>218</x:v>
      </x:c>
      <x:c r="D84" s="3" t="s">
        <x:v>232</x:v>
      </x:c>
      <x:c r="E84" s="3" t="s">
        <x:v>264</x:v>
      </x:c>
      <x:c r="F84" s="3" t="s">
        <x:v>331</x:v>
      </x:c>
      <x:c r="G84" s="3" t="s">
        <x:v>319</x:v>
      </x:c>
      <x:c r="H84" s="3" t="s">
        <x:v>319</x:v>
      </x:c>
      <x:c r="I84" s="3" t="s">
        <x:v>319</x:v>
      </x:c>
      <x:c r="J84" s="3" t="s">
        <x:v>320</x:v>
      </x:c>
      <x:c r="K84" s="3" t="s">
        <x:v>150</x:v>
      </x:c>
      <x:c r="L84" s="37" t="s">
        <x:v>474</x:v>
      </x:c>
      <x:c r="M84" s="37" t="s">
        <x:v>319</x:v>
      </x:c>
      <x:c r="N84" s="37" t="s">
        <x:v>319</x:v>
      </x:c>
      <x:c r="O84" s="36" t="s">
        <x:v>474</x:v>
      </x:c>
      <x:c r="P84" s="37" t="s">
        <x:v>151</x:v>
      </x:c>
      <x:c r="Q84" s="37" t="s">
        <x:v>151</x:v>
      </x:c>
      <x:c r="R84" s="37" t="s">
        <x:v>151</x:v>
      </x:c>
      <x:c r="S84" s="37" t="s">
        <x:v>152</x:v>
      </x:c>
      <x:c r="T84" s="36" t="s">
        <x:v>322</x:v>
      </x:c>
      <x:c r="U84" s="36" t="n">
        <x:f>IFERROR(O84*P84*Q84/R84*(1+S84)*T84,"")</x:f>
        <x:v>0.5342465753424657</x:v>
      </x:c>
      <x:c r="V84" s="33" t="s">
        <x:v>333</x:v>
      </x:c>
      <x:c r="W84" s="30">
        <x:v>46236.78357621528</x:v>
      </x:c>
      <x:c r="X84" s="30"/>
      <x:c r="Y84" s="3" t="s">
        <x:v>224</x:v>
      </x:c>
      <x:c r="Z84" s="3" t="s">
        <x:v>182</x:v>
      </x:c>
      <x:c r="AA84" s="17" t="s">
        <x:v>475</x:v>
      </x:c>
      <x:c r="AB84" s="33" t="str">
        <x:f>IF(A84="","",IF(COUNTIF($A$5:$A$1004,A84)&gt;1,"错误:重复成本规则ID",IF(OR(B84="",C84="",D84="",E84="",F84="",K84="",O84&lt;=0,P84&lt;=0,Q84&lt;=0,R84&lt;=0,S84&lt;0,T84&lt;=0,Y84="",Z84=""),"错误:必填项","OK")))</x:f>
        <x:v>OK</x:v>
      </x:c>
    </x:row>
    <x:row r="85" ht="52.79999923706055" hidden="1" customHeight="1">
      <x:c r="A85" s="3" t="s">
        <x:v>479</x:v>
      </x:c>
      <x:c r="B85" s="3" t="s">
        <x:v>179</x:v>
      </x:c>
      <x:c r="C85" s="3" t="s">
        <x:v>480</x:v>
      </x:c>
      <x:c r="D85" s="3" t="s">
        <x:v>227</x:v>
      </x:c>
      <x:c r="E85" s="3" t="s">
        <x:v>258</x:v>
      </x:c>
      <x:c r="F85" s="3" t="s">
        <x:v>318</x:v>
      </x:c>
      <x:c r="G85" s="3" t="s">
        <x:v>319</x:v>
      </x:c>
      <x:c r="H85" s="3" t="s">
        <x:v>319</x:v>
      </x:c>
      <x:c r="I85" s="3" t="s">
        <x:v>319</x:v>
      </x:c>
      <x:c r="J85" s="3" t="s">
        <x:v>320</x:v>
      </x:c>
      <x:c r="K85" s="3" t="s">
        <x:v>150</x:v>
      </x:c>
      <x:c r="L85" s="37" t="s">
        <x:v>319</x:v>
      </x:c>
      <x:c r="M85" s="37" t="s">
        <x:v>481</x:v>
      </x:c>
      <x:c r="N85" s="37" t="s">
        <x:v>319</x:v>
      </x:c>
      <x:c r="O85" s="36" t="s">
        <x:v>481</x:v>
      </x:c>
      <x:c r="P85" s="37" t="s">
        <x:v>151</x:v>
      </x:c>
      <x:c r="Q85" s="37" t="s">
        <x:v>151</x:v>
      </x:c>
      <x:c r="R85" s="37" t="s">
        <x:v>151</x:v>
      </x:c>
      <x:c r="S85" s="37" t="s">
        <x:v>152</x:v>
      </x:c>
      <x:c r="T85" s="36" t="s">
        <x:v>322</x:v>
      </x:c>
      <x:c r="U85" s="36" t="n">
        <x:f>IFERROR(O85*P85*Q85/R85*(1+S85)*T85,"")</x:f>
        <x:v>0.06164383561643835</x:v>
      </x:c>
      <x:c r="V85" s="33" t="s">
        <x:v>323</x:v>
      </x:c>
      <x:c r="W85" s="30">
        <x:v>46236.78357621528</x:v>
      </x:c>
      <x:c r="X85" s="30"/>
      <x:c r="Y85" s="3" t="s">
        <x:v>224</x:v>
      </x:c>
      <x:c r="Z85" s="3" t="s">
        <x:v>182</x:v>
      </x:c>
      <x:c r="AA85" s="17" t="s">
        <x:v>482</x:v>
      </x:c>
      <x:c r="AB85" s="33" t="str">
        <x:f>IF(A85="","",IF(COUNTIF($A$5:$A$1004,A85)&gt;1,"错误:重复成本规则ID",IF(OR(B85="",C85="",D85="",E85="",F85="",K85="",O85&lt;=0,P85&lt;=0,Q85&lt;=0,R85&lt;=0,S85&lt;0,T85&lt;=0,Y85="",Z85=""),"错误:必填项","OK")))</x:f>
        <x:v>OK</x:v>
      </x:c>
    </x:row>
    <x:row r="86" ht="52.79999923706055" hidden="1" customHeight="1">
      <x:c r="A86" s="3" t="s">
        <x:v>483</x:v>
      </x:c>
      <x:c r="B86" s="3" t="s">
        <x:v>179</x:v>
      </x:c>
      <x:c r="C86" s="3" t="s">
        <x:v>480</x:v>
      </x:c>
      <x:c r="D86" s="3" t="s">
        <x:v>227</x:v>
      </x:c>
      <x:c r="E86" s="3" t="s">
        <x:v>264</x:v>
      </x:c>
      <x:c r="F86" s="3" t="s">
        <x:v>318</x:v>
      </x:c>
      <x:c r="G86" s="3" t="s">
        <x:v>319</x:v>
      </x:c>
      <x:c r="H86" s="3" t="s">
        <x:v>319</x:v>
      </x:c>
      <x:c r="I86" s="3" t="s">
        <x:v>319</x:v>
      </x:c>
      <x:c r="J86" s="3" t="s">
        <x:v>320</x:v>
      </x:c>
      <x:c r="K86" s="3" t="s">
        <x:v>150</x:v>
      </x:c>
      <x:c r="L86" s="37" t="s">
        <x:v>319</x:v>
      </x:c>
      <x:c r="M86" s="37" t="s">
        <x:v>481</x:v>
      </x:c>
      <x:c r="N86" s="37" t="s">
        <x:v>319</x:v>
      </x:c>
      <x:c r="O86" s="36" t="s">
        <x:v>481</x:v>
      </x:c>
      <x:c r="P86" s="37" t="s">
        <x:v>151</x:v>
      </x:c>
      <x:c r="Q86" s="37" t="s">
        <x:v>151</x:v>
      </x:c>
      <x:c r="R86" s="37" t="s">
        <x:v>151</x:v>
      </x:c>
      <x:c r="S86" s="37" t="s">
        <x:v>152</x:v>
      </x:c>
      <x:c r="T86" s="36" t="s">
        <x:v>322</x:v>
      </x:c>
      <x:c r="U86" s="36" t="n">
        <x:f>IFERROR(O86*P86*Q86/R86*(1+S86)*T86,"")</x:f>
        <x:v>0.06164383561643835</x:v>
      </x:c>
      <x:c r="V86" s="33" t="s">
        <x:v>323</x:v>
      </x:c>
      <x:c r="W86" s="30">
        <x:v>46236.78357621528</x:v>
      </x:c>
      <x:c r="X86" s="30"/>
      <x:c r="Y86" s="3" t="s">
        <x:v>224</x:v>
      </x:c>
      <x:c r="Z86" s="3" t="s">
        <x:v>182</x:v>
      </x:c>
      <x:c r="AA86" s="17" t="s">
        <x:v>482</x:v>
      </x:c>
      <x:c r="AB86" s="33" t="str">
        <x:f>IF(A86="","",IF(COUNTIF($A$5:$A$1004,A86)&gt;1,"错误:重复成本规则ID",IF(OR(B86="",C86="",D86="",E86="",F86="",K86="",O86&lt;=0,P86&lt;=0,Q86&lt;=0,R86&lt;=0,S86&lt;0,T86&lt;=0,Y86="",Z86=""),"错误:必填项","OK")))</x:f>
        <x:v>OK</x:v>
      </x:c>
    </x:row>
    <x:row r="87" ht="52.79999923706055" hidden="1" customHeight="1">
      <x:c r="A87" s="3" t="s">
        <x:v>484</x:v>
      </x:c>
      <x:c r="B87" s="3" t="s">
        <x:v>179</x:v>
      </x:c>
      <x:c r="C87" s="3" t="s">
        <x:v>485</x:v>
      </x:c>
      <x:c r="D87" s="3" t="s">
        <x:v>232</x:v>
      </x:c>
      <x:c r="E87" s="3" t="s">
        <x:v>258</x:v>
      </x:c>
      <x:c r="F87" s="3" t="s">
        <x:v>318</x:v>
      </x:c>
      <x:c r="G87" s="3" t="s">
        <x:v>319</x:v>
      </x:c>
      <x:c r="H87" s="3" t="s">
        <x:v>319</x:v>
      </x:c>
      <x:c r="I87" s="3" t="s">
        <x:v>319</x:v>
      </x:c>
      <x:c r="J87" s="3" t="s">
        <x:v>320</x:v>
      </x:c>
      <x:c r="K87" s="3" t="s">
        <x:v>150</x:v>
      </x:c>
      <x:c r="L87" s="37" t="s">
        <x:v>319</x:v>
      </x:c>
      <x:c r="M87" s="37" t="s">
        <x:v>486</x:v>
      </x:c>
      <x:c r="N87" s="37" t="s">
        <x:v>319</x:v>
      </x:c>
      <x:c r="O87" s="36" t="s">
        <x:v>486</x:v>
      </x:c>
      <x:c r="P87" s="37" t="s">
        <x:v>151</x:v>
      </x:c>
      <x:c r="Q87" s="37" t="s">
        <x:v>151</x:v>
      </x:c>
      <x:c r="R87" s="37" t="s">
        <x:v>151</x:v>
      </x:c>
      <x:c r="S87" s="37" t="s">
        <x:v>152</x:v>
      </x:c>
      <x:c r="T87" s="36" t="s">
        <x:v>322</x:v>
      </x:c>
      <x:c r="U87" s="36" t="n">
        <x:f>IFERROR(O87*P87*Q87/R87*(1+S87)*T87,"")</x:f>
        <x:v>0.13356164383561642</x:v>
      </x:c>
      <x:c r="V87" s="33" t="s">
        <x:v>323</x:v>
      </x:c>
      <x:c r="W87" s="30">
        <x:v>46236.78357621528</x:v>
      </x:c>
      <x:c r="X87" s="30"/>
      <x:c r="Y87" s="3" t="s">
        <x:v>224</x:v>
      </x:c>
      <x:c r="Z87" s="3" t="s">
        <x:v>182</x:v>
      </x:c>
      <x:c r="AA87" s="17" t="s">
        <x:v>487</x:v>
      </x:c>
      <x:c r="AB87" s="33" t="str">
        <x:f>IF(A87="","",IF(COUNTIF($A$5:$A$1004,A87)&gt;1,"错误:重复成本规则ID",IF(OR(B87="",C87="",D87="",E87="",F87="",K87="",O87&lt;=0,P87&lt;=0,Q87&lt;=0,R87&lt;=0,S87&lt;0,T87&lt;=0,Y87="",Z87=""),"错误:必填项","OK")))</x:f>
        <x:v>OK</x:v>
      </x:c>
    </x:row>
    <x:row r="88" ht="52.79999923706055" hidden="1" customHeight="1">
      <x:c r="A88" s="3" t="s">
        <x:v>488</x:v>
      </x:c>
      <x:c r="B88" s="3" t="s">
        <x:v>179</x:v>
      </x:c>
      <x:c r="C88" s="3" t="s">
        <x:v>485</x:v>
      </x:c>
      <x:c r="D88" s="3" t="s">
        <x:v>232</x:v>
      </x:c>
      <x:c r="E88" s="3" t="s">
        <x:v>264</x:v>
      </x:c>
      <x:c r="F88" s="3" t="s">
        <x:v>318</x:v>
      </x:c>
      <x:c r="G88" s="3" t="s">
        <x:v>319</x:v>
      </x:c>
      <x:c r="H88" s="3" t="s">
        <x:v>319</x:v>
      </x:c>
      <x:c r="I88" s="3" t="s">
        <x:v>319</x:v>
      </x:c>
      <x:c r="J88" s="3" t="s">
        <x:v>320</x:v>
      </x:c>
      <x:c r="K88" s="3" t="s">
        <x:v>150</x:v>
      </x:c>
      <x:c r="L88" s="37" t="s">
        <x:v>319</x:v>
      </x:c>
      <x:c r="M88" s="37" t="s">
        <x:v>486</x:v>
      </x:c>
      <x:c r="N88" s="37" t="s">
        <x:v>319</x:v>
      </x:c>
      <x:c r="O88" s="36" t="s">
        <x:v>486</x:v>
      </x:c>
      <x:c r="P88" s="37" t="s">
        <x:v>151</x:v>
      </x:c>
      <x:c r="Q88" s="37" t="s">
        <x:v>151</x:v>
      </x:c>
      <x:c r="R88" s="37" t="s">
        <x:v>151</x:v>
      </x:c>
      <x:c r="S88" s="37" t="s">
        <x:v>152</x:v>
      </x:c>
      <x:c r="T88" s="36" t="s">
        <x:v>322</x:v>
      </x:c>
      <x:c r="U88" s="36" t="n">
        <x:f>IFERROR(O88*P88*Q88/R88*(1+S88)*T88,"")</x:f>
        <x:v>0.13356164383561642</x:v>
      </x:c>
      <x:c r="V88" s="33" t="s">
        <x:v>323</x:v>
      </x:c>
      <x:c r="W88" s="30">
        <x:v>46236.78357621528</x:v>
      </x:c>
      <x:c r="X88" s="30"/>
      <x:c r="Y88" s="3" t="s">
        <x:v>224</x:v>
      </x:c>
      <x:c r="Z88" s="3" t="s">
        <x:v>182</x:v>
      </x:c>
      <x:c r="AA88" s="17" t="s">
        <x:v>487</x:v>
      </x:c>
      <x:c r="AB88" s="33" t="str">
        <x:f>IF(A88="","",IF(COUNTIF($A$5:$A$1004,A88)&gt;1,"错误:重复成本规则ID",IF(OR(B88="",C88="",D88="",E88="",F88="",K88="",O88&lt;=0,P88&lt;=0,Q88&lt;=0,R88&lt;=0,S88&lt;0,T88&lt;=0,Y88="",Z88=""),"错误:必填项","OK")))</x:f>
        <x:v>OK</x:v>
      </x:c>
    </x:row>
    <x:row r="89" ht="52.79999923706055" hidden="1" customHeight="1">
      <x:c r="A89" s="3" t="s">
        <x:v>489</x:v>
      </x:c>
      <x:c r="B89" s="3" t="s">
        <x:v>179</x:v>
      </x:c>
      <x:c r="C89" s="3" t="s">
        <x:v>235</x:v>
      </x:c>
      <x:c r="D89" s="3" t="s">
        <x:v>234</x:v>
      </x:c>
      <x:c r="E89" s="3" t="s">
        <x:v>258</x:v>
      </x:c>
      <x:c r="F89" s="3" t="s">
        <x:v>331</x:v>
      </x:c>
      <x:c r="G89" s="3" t="s">
        <x:v>319</x:v>
      </x:c>
      <x:c r="H89" s="3" t="s">
        <x:v>319</x:v>
      </x:c>
      <x:c r="I89" s="3" t="s">
        <x:v>319</x:v>
      </x:c>
      <x:c r="J89" s="3" t="s">
        <x:v>320</x:v>
      </x:c>
      <x:c r="K89" s="3" t="s">
        <x:v>150</x:v>
      </x:c>
      <x:c r="L89" s="37" t="s">
        <x:v>363</x:v>
      </x:c>
      <x:c r="M89" s="37" t="s">
        <x:v>319</x:v>
      </x:c>
      <x:c r="N89" s="37" t="s">
        <x:v>319</x:v>
      </x:c>
      <x:c r="O89" s="36" t="s">
        <x:v>363</x:v>
      </x:c>
      <x:c r="P89" s="37" t="s">
        <x:v>151</x:v>
      </x:c>
      <x:c r="Q89" s="37" t="s">
        <x:v>151</x:v>
      </x:c>
      <x:c r="R89" s="37" t="s">
        <x:v>151</x:v>
      </x:c>
      <x:c r="S89" s="37" t="s">
        <x:v>152</x:v>
      </x:c>
      <x:c r="T89" s="36" t="s">
        <x:v>322</x:v>
      </x:c>
      <x:c r="U89" s="36" t="n">
        <x:f>IFERROR(O89*P89*Q89/R89*(1+S89)*T89,"")</x:f>
        <x:v>0.3972602739726027</x:v>
      </x:c>
      <x:c r="V89" s="33" t="s">
        <x:v>333</x:v>
      </x:c>
      <x:c r="W89" s="30">
        <x:v>46236.78357621528</x:v>
      </x:c>
      <x:c r="X89" s="30"/>
      <x:c r="Y89" s="3" t="s">
        <x:v>224</x:v>
      </x:c>
      <x:c r="Z89" s="3" t="s">
        <x:v>182</x:v>
      </x:c>
      <x:c r="AA89" s="17" t="s">
        <x:v>490</x:v>
      </x:c>
      <x:c r="AB89" s="33" t="str">
        <x:f>IF(A89="","",IF(COUNTIF($A$5:$A$1004,A89)&gt;1,"错误:重复成本规则ID",IF(OR(B89="",C89="",D89="",E89="",F89="",K89="",O89&lt;=0,P89&lt;=0,Q89&lt;=0,R89&lt;=0,S89&lt;0,T89&lt;=0,Y89="",Z89=""),"错误:必填项","OK")))</x:f>
        <x:v>OK</x:v>
      </x:c>
    </x:row>
    <x:row r="90" ht="52.79999923706055" hidden="1" customHeight="1">
      <x:c r="A90" s="3" t="s">
        <x:v>491</x:v>
      </x:c>
      <x:c r="B90" s="3" t="s">
        <x:v>179</x:v>
      </x:c>
      <x:c r="C90" s="3" t="s">
        <x:v>235</x:v>
      </x:c>
      <x:c r="D90" s="3" t="s">
        <x:v>234</x:v>
      </x:c>
      <x:c r="E90" s="3" t="s">
        <x:v>264</x:v>
      </x:c>
      <x:c r="F90" s="3" t="s">
        <x:v>331</x:v>
      </x:c>
      <x:c r="G90" s="3" t="s">
        <x:v>319</x:v>
      </x:c>
      <x:c r="H90" s="3" t="s">
        <x:v>319</x:v>
      </x:c>
      <x:c r="I90" s="3" t="s">
        <x:v>319</x:v>
      </x:c>
      <x:c r="J90" s="3" t="s">
        <x:v>320</x:v>
      </x:c>
      <x:c r="K90" s="3" t="s">
        <x:v>150</x:v>
      </x:c>
      <x:c r="L90" s="37" t="s">
        <x:v>363</x:v>
      </x:c>
      <x:c r="M90" s="37" t="s">
        <x:v>319</x:v>
      </x:c>
      <x:c r="N90" s="37" t="s">
        <x:v>319</x:v>
      </x:c>
      <x:c r="O90" s="36" t="s">
        <x:v>363</x:v>
      </x:c>
      <x:c r="P90" s="37" t="s">
        <x:v>151</x:v>
      </x:c>
      <x:c r="Q90" s="37" t="s">
        <x:v>151</x:v>
      </x:c>
      <x:c r="R90" s="37" t="s">
        <x:v>151</x:v>
      </x:c>
      <x:c r="S90" s="37" t="s">
        <x:v>152</x:v>
      </x:c>
      <x:c r="T90" s="36" t="s">
        <x:v>322</x:v>
      </x:c>
      <x:c r="U90" s="36" t="n">
        <x:f>IFERROR(O90*P90*Q90/R90*(1+S90)*T90,"")</x:f>
        <x:v>0.3972602739726027</x:v>
      </x:c>
      <x:c r="V90" s="33" t="s">
        <x:v>333</x:v>
      </x:c>
      <x:c r="W90" s="30">
        <x:v>46236.78357621528</x:v>
      </x:c>
      <x:c r="X90" s="30"/>
      <x:c r="Y90" s="3" t="s">
        <x:v>224</x:v>
      </x:c>
      <x:c r="Z90" s="3" t="s">
        <x:v>182</x:v>
      </x:c>
      <x:c r="AA90" s="17" t="s">
        <x:v>490</x:v>
      </x:c>
      <x:c r="AB90" s="33" t="str">
        <x:f>IF(A90="","",IF(COUNTIF($A$5:$A$1004,A90)&gt;1,"错误:重复成本规则ID",IF(OR(B90="",C90="",D90="",E90="",F90="",K90="",O90&lt;=0,P90&lt;=0,Q90&lt;=0,R90&lt;=0,S90&lt;0,T90&lt;=0,Y90="",Z90=""),"错误:必填项","OK")))</x:f>
        <x:v>OK</x:v>
      </x:c>
    </x:row>
    <x:row r="91" ht="52.79999923706055" hidden="1" customHeight="1">
      <x:c r="A91" s="3" t="s">
        <x:v>492</x:v>
      </x:c>
      <x:c r="B91" s="3" t="s">
        <x:v>179</x:v>
      </x:c>
      <x:c r="C91" s="3" t="s">
        <x:v>235</x:v>
      </x:c>
      <x:c r="D91" s="3" t="s">
        <x:v>238</x:v>
      </x:c>
      <x:c r="E91" s="3" t="s">
        <x:v>258</x:v>
      </x:c>
      <x:c r="F91" s="3" t="s">
        <x:v>331</x:v>
      </x:c>
      <x:c r="G91" s="3" t="s">
        <x:v>319</x:v>
      </x:c>
      <x:c r="H91" s="3" t="s">
        <x:v>319</x:v>
      </x:c>
      <x:c r="I91" s="3" t="s">
        <x:v>319</x:v>
      </x:c>
      <x:c r="J91" s="3" t="s">
        <x:v>320</x:v>
      </x:c>
      <x:c r="K91" s="3" t="s">
        <x:v>150</x:v>
      </x:c>
      <x:c r="L91" s="37" t="s">
        <x:v>363</x:v>
      </x:c>
      <x:c r="M91" s="37" t="s">
        <x:v>319</x:v>
      </x:c>
      <x:c r="N91" s="37" t="s">
        <x:v>319</x:v>
      </x:c>
      <x:c r="O91" s="36" t="s">
        <x:v>363</x:v>
      </x:c>
      <x:c r="P91" s="37" t="s">
        <x:v>151</x:v>
      </x:c>
      <x:c r="Q91" s="37" t="s">
        <x:v>151</x:v>
      </x:c>
      <x:c r="R91" s="37" t="s">
        <x:v>151</x:v>
      </x:c>
      <x:c r="S91" s="37" t="s">
        <x:v>152</x:v>
      </x:c>
      <x:c r="T91" s="36" t="s">
        <x:v>322</x:v>
      </x:c>
      <x:c r="U91" s="36" t="n">
        <x:f>IFERROR(O91*P91*Q91/R91*(1+S91)*T91,"")</x:f>
        <x:v>0.3972602739726027</x:v>
      </x:c>
      <x:c r="V91" s="33" t="s">
        <x:v>333</x:v>
      </x:c>
      <x:c r="W91" s="30">
        <x:v>46236.78357621528</x:v>
      </x:c>
      <x:c r="X91" s="30"/>
      <x:c r="Y91" s="3" t="s">
        <x:v>224</x:v>
      </x:c>
      <x:c r="Z91" s="3" t="s">
        <x:v>182</x:v>
      </x:c>
      <x:c r="AA91" s="17" t="s">
        <x:v>490</x:v>
      </x:c>
      <x:c r="AB91" s="33" t="str">
        <x:f>IF(A91="","",IF(COUNTIF($A$5:$A$1004,A91)&gt;1,"错误:重复成本规则ID",IF(OR(B91="",C91="",D91="",E91="",F91="",K91="",O91&lt;=0,P91&lt;=0,Q91&lt;=0,R91&lt;=0,S91&lt;0,T91&lt;=0,Y91="",Z91=""),"错误:必填项","OK")))</x:f>
        <x:v>OK</x:v>
      </x:c>
    </x:row>
    <x:row r="92" ht="52.79999923706055" hidden="1" customHeight="1">
      <x:c r="A92" s="3" t="s">
        <x:v>493</x:v>
      </x:c>
      <x:c r="B92" s="3" t="s">
        <x:v>179</x:v>
      </x:c>
      <x:c r="C92" s="3" t="s">
        <x:v>235</x:v>
      </x:c>
      <x:c r="D92" s="3" t="s">
        <x:v>238</x:v>
      </x:c>
      <x:c r="E92" s="3" t="s">
        <x:v>264</x:v>
      </x:c>
      <x:c r="F92" s="3" t="s">
        <x:v>331</x:v>
      </x:c>
      <x:c r="G92" s="3" t="s">
        <x:v>319</x:v>
      </x:c>
      <x:c r="H92" s="3" t="s">
        <x:v>319</x:v>
      </x:c>
      <x:c r="I92" s="3" t="s">
        <x:v>319</x:v>
      </x:c>
      <x:c r="J92" s="3" t="s">
        <x:v>320</x:v>
      </x:c>
      <x:c r="K92" s="3" t="s">
        <x:v>150</x:v>
      </x:c>
      <x:c r="L92" s="37" t="s">
        <x:v>363</x:v>
      </x:c>
      <x:c r="M92" s="37" t="s">
        <x:v>319</x:v>
      </x:c>
      <x:c r="N92" s="37" t="s">
        <x:v>319</x:v>
      </x:c>
      <x:c r="O92" s="36" t="s">
        <x:v>363</x:v>
      </x:c>
      <x:c r="P92" s="37" t="s">
        <x:v>151</x:v>
      </x:c>
      <x:c r="Q92" s="37" t="s">
        <x:v>151</x:v>
      </x:c>
      <x:c r="R92" s="37" t="s">
        <x:v>151</x:v>
      </x:c>
      <x:c r="S92" s="37" t="s">
        <x:v>152</x:v>
      </x:c>
      <x:c r="T92" s="36" t="s">
        <x:v>322</x:v>
      </x:c>
      <x:c r="U92" s="36" t="n">
        <x:f>IFERROR(O92*P92*Q92/R92*(1+S92)*T92,"")</x:f>
        <x:v>0.3972602739726027</x:v>
      </x:c>
      <x:c r="V92" s="33" t="s">
        <x:v>333</x:v>
      </x:c>
      <x:c r="W92" s="30">
        <x:v>46236.78357621528</x:v>
      </x:c>
      <x:c r="X92" s="30"/>
      <x:c r="Y92" s="3" t="s">
        <x:v>224</x:v>
      </x:c>
      <x:c r="Z92" s="3" t="s">
        <x:v>182</x:v>
      </x:c>
      <x:c r="AA92" s="17" t="s">
        <x:v>490</x:v>
      </x:c>
      <x:c r="AB92" s="33" t="str">
        <x:f>IF(A92="","",IF(COUNTIF($A$5:$A$1004,A92)&gt;1,"错误:重复成本规则ID",IF(OR(B92="",C92="",D92="",E92="",F92="",K92="",O92&lt;=0,P92&lt;=0,Q92&lt;=0,R92&lt;=0,S92&lt;0,T92&lt;=0,Y92="",Z92=""),"错误:必填项","OK")))</x:f>
        <x:v>OK</x:v>
      </x:c>
    </x:row>
    <x:row r="93" ht="52.79999923706055" hidden="1" customHeight="1">
      <x:c r="A93" s="3" t="s">
        <x:v>494</x:v>
      </x:c>
      <x:c r="B93" s="3" t="s">
        <x:v>179</x:v>
      </x:c>
      <x:c r="C93" s="3" t="s">
        <x:v>241</x:v>
      </x:c>
      <x:c r="D93" s="3" t="s">
        <x:v>240</x:v>
      </x:c>
      <x:c r="E93" s="3" t="s">
        <x:v>258</x:v>
      </x:c>
      <x:c r="F93" s="3" t="s">
        <x:v>331</x:v>
      </x:c>
      <x:c r="G93" s="3" t="s">
        <x:v>319</x:v>
      </x:c>
      <x:c r="H93" s="3" t="s">
        <x:v>319</x:v>
      </x:c>
      <x:c r="I93" s="3" t="s">
        <x:v>319</x:v>
      </x:c>
      <x:c r="J93" s="3" t="s">
        <x:v>320</x:v>
      </x:c>
      <x:c r="K93" s="3" t="s">
        <x:v>150</x:v>
      </x:c>
      <x:c r="L93" s="37" t="s">
        <x:v>495</x:v>
      </x:c>
      <x:c r="M93" s="37" t="s">
        <x:v>319</x:v>
      </x:c>
      <x:c r="N93" s="37" t="s">
        <x:v>319</x:v>
      </x:c>
      <x:c r="O93" s="36" t="s">
        <x:v>495</x:v>
      </x:c>
      <x:c r="P93" s="37" t="s">
        <x:v>151</x:v>
      </x:c>
      <x:c r="Q93" s="37" t="s">
        <x:v>151</x:v>
      </x:c>
      <x:c r="R93" s="37" t="s">
        <x:v>151</x:v>
      </x:c>
      <x:c r="S93" s="37" t="s">
        <x:v>152</x:v>
      </x:c>
      <x:c r="T93" s="36" t="s">
        <x:v>322</x:v>
      </x:c>
      <x:c r="U93" s="36" t="n">
        <x:f>IFERROR(O93*P93*Q93/R93*(1+S93)*T93,"")</x:f>
        <x:v>0.3287671232876712</x:v>
      </x:c>
      <x:c r="V93" s="33" t="s">
        <x:v>333</x:v>
      </x:c>
      <x:c r="W93" s="30">
        <x:v>46236.78357621528</x:v>
      </x:c>
      <x:c r="X93" s="30"/>
      <x:c r="Y93" s="3" t="s">
        <x:v>224</x:v>
      </x:c>
      <x:c r="Z93" s="3" t="s">
        <x:v>182</x:v>
      </x:c>
      <x:c r="AA93" s="17" t="s">
        <x:v>496</x:v>
      </x:c>
      <x:c r="AB93" s="33" t="str">
        <x:f>IF(A93="","",IF(COUNTIF($A$5:$A$1004,A93)&gt;1,"错误:重复成本规则ID",IF(OR(B93="",C93="",D93="",E93="",F93="",K93="",O93&lt;=0,P93&lt;=0,Q93&lt;=0,R93&lt;=0,S93&lt;0,T93&lt;=0,Y93="",Z93=""),"错误:必填项","OK")))</x:f>
        <x:v>OK</x:v>
      </x:c>
    </x:row>
    <x:row r="94" ht="52.79999923706055" hidden="1" customHeight="1">
      <x:c r="A94" s="3" t="s">
        <x:v>497</x:v>
      </x:c>
      <x:c r="B94" s="3" t="s">
        <x:v>179</x:v>
      </x:c>
      <x:c r="C94" s="3" t="s">
        <x:v>241</x:v>
      </x:c>
      <x:c r="D94" s="3" t="s">
        <x:v>240</x:v>
      </x:c>
      <x:c r="E94" s="3" t="s">
        <x:v>264</x:v>
      </x:c>
      <x:c r="F94" s="3" t="s">
        <x:v>331</x:v>
      </x:c>
      <x:c r="G94" s="3" t="s">
        <x:v>319</x:v>
      </x:c>
      <x:c r="H94" s="3" t="s">
        <x:v>319</x:v>
      </x:c>
      <x:c r="I94" s="3" t="s">
        <x:v>319</x:v>
      </x:c>
      <x:c r="J94" s="3" t="s">
        <x:v>320</x:v>
      </x:c>
      <x:c r="K94" s="3" t="s">
        <x:v>150</x:v>
      </x:c>
      <x:c r="L94" s="37" t="s">
        <x:v>495</x:v>
      </x:c>
      <x:c r="M94" s="37" t="s">
        <x:v>319</x:v>
      </x:c>
      <x:c r="N94" s="37" t="s">
        <x:v>319</x:v>
      </x:c>
      <x:c r="O94" s="36" t="s">
        <x:v>495</x:v>
      </x:c>
      <x:c r="P94" s="37" t="s">
        <x:v>151</x:v>
      </x:c>
      <x:c r="Q94" s="37" t="s">
        <x:v>151</x:v>
      </x:c>
      <x:c r="R94" s="37" t="s">
        <x:v>151</x:v>
      </x:c>
      <x:c r="S94" s="37" t="s">
        <x:v>152</x:v>
      </x:c>
      <x:c r="T94" s="36" t="s">
        <x:v>322</x:v>
      </x:c>
      <x:c r="U94" s="36" t="n">
        <x:f>IFERROR(O94*P94*Q94/R94*(1+S94)*T94,"")</x:f>
        <x:v>0.3287671232876712</x:v>
      </x:c>
      <x:c r="V94" s="33" t="s">
        <x:v>333</x:v>
      </x:c>
      <x:c r="W94" s="30">
        <x:v>46236.78357621528</x:v>
      </x:c>
      <x:c r="X94" s="30"/>
      <x:c r="Y94" s="3" t="s">
        <x:v>224</x:v>
      </x:c>
      <x:c r="Z94" s="3" t="s">
        <x:v>182</x:v>
      </x:c>
      <x:c r="AA94" s="17" t="s">
        <x:v>496</x:v>
      </x:c>
      <x:c r="AB94" s="33" t="str">
        <x:f>IF(A94="","",IF(COUNTIF($A$5:$A$1004,A94)&gt;1,"错误:重复成本规则ID",IF(OR(B94="",C94="",D94="",E94="",F94="",K94="",O94&lt;=0,P94&lt;=0,Q94&lt;=0,R94&lt;=0,S94&lt;0,T94&lt;=0,Y94="",Z94=""),"错误:必填项","OK")))</x:f>
        <x:v>OK</x:v>
      </x:c>
    </x:row>
    <x:row r="95" ht="52.79999923706055" hidden="1" customHeight="1">
      <x:c r="A95" s="3" t="s">
        <x:v>498</x:v>
      </x:c>
      <x:c r="B95" s="3" t="s">
        <x:v>179</x:v>
      </x:c>
      <x:c r="C95" s="3" t="s">
        <x:v>241</x:v>
      </x:c>
      <x:c r="D95" s="3" t="s">
        <x:v>244</x:v>
      </x:c>
      <x:c r="E95" s="3" t="s">
        <x:v>258</x:v>
      </x:c>
      <x:c r="F95" s="3" t="s">
        <x:v>331</x:v>
      </x:c>
      <x:c r="G95" s="3" t="s">
        <x:v>319</x:v>
      </x:c>
      <x:c r="H95" s="3" t="s">
        <x:v>319</x:v>
      </x:c>
      <x:c r="I95" s="3" t="s">
        <x:v>319</x:v>
      </x:c>
      <x:c r="J95" s="3" t="s">
        <x:v>320</x:v>
      </x:c>
      <x:c r="K95" s="3" t="s">
        <x:v>150</x:v>
      </x:c>
      <x:c r="L95" s="37" t="s">
        <x:v>495</x:v>
      </x:c>
      <x:c r="M95" s="37" t="s">
        <x:v>319</x:v>
      </x:c>
      <x:c r="N95" s="37" t="s">
        <x:v>319</x:v>
      </x:c>
      <x:c r="O95" s="36" t="s">
        <x:v>495</x:v>
      </x:c>
      <x:c r="P95" s="37" t="s">
        <x:v>151</x:v>
      </x:c>
      <x:c r="Q95" s="37" t="s">
        <x:v>151</x:v>
      </x:c>
      <x:c r="R95" s="37" t="s">
        <x:v>151</x:v>
      </x:c>
      <x:c r="S95" s="37" t="s">
        <x:v>152</x:v>
      </x:c>
      <x:c r="T95" s="36" t="s">
        <x:v>322</x:v>
      </x:c>
      <x:c r="U95" s="36" t="n">
        <x:f>IFERROR(O95*P95*Q95/R95*(1+S95)*T95,"")</x:f>
        <x:v>0.3287671232876712</x:v>
      </x:c>
      <x:c r="V95" s="33" t="s">
        <x:v>333</x:v>
      </x:c>
      <x:c r="W95" s="30">
        <x:v>46236.78357621528</x:v>
      </x:c>
      <x:c r="X95" s="30"/>
      <x:c r="Y95" s="3" t="s">
        <x:v>224</x:v>
      </x:c>
      <x:c r="Z95" s="3" t="s">
        <x:v>182</x:v>
      </x:c>
      <x:c r="AA95" s="17" t="s">
        <x:v>496</x:v>
      </x:c>
      <x:c r="AB95" s="33" t="str">
        <x:f>IF(A95="","",IF(COUNTIF($A$5:$A$1004,A95)&gt;1,"错误:重复成本规则ID",IF(OR(B95="",C95="",D95="",E95="",F95="",K95="",O95&lt;=0,P95&lt;=0,Q95&lt;=0,R95&lt;=0,S95&lt;0,T95&lt;=0,Y95="",Z95=""),"错误:必填项","OK")))</x:f>
        <x:v>OK</x:v>
      </x:c>
    </x:row>
    <x:row r="96" ht="52.79999923706055" hidden="1" customHeight="1">
      <x:c r="A96" s="3" t="s">
        <x:v>499</x:v>
      </x:c>
      <x:c r="B96" s="3" t="s">
        <x:v>179</x:v>
      </x:c>
      <x:c r="C96" s="3" t="s">
        <x:v>241</x:v>
      </x:c>
      <x:c r="D96" s="3" t="s">
        <x:v>244</x:v>
      </x:c>
      <x:c r="E96" s="3" t="s">
        <x:v>264</x:v>
      </x:c>
      <x:c r="F96" s="3" t="s">
        <x:v>331</x:v>
      </x:c>
      <x:c r="G96" s="3" t="s">
        <x:v>319</x:v>
      </x:c>
      <x:c r="H96" s="3" t="s">
        <x:v>319</x:v>
      </x:c>
      <x:c r="I96" s="3" t="s">
        <x:v>319</x:v>
      </x:c>
      <x:c r="J96" s="3" t="s">
        <x:v>320</x:v>
      </x:c>
      <x:c r="K96" s="3" t="s">
        <x:v>150</x:v>
      </x:c>
      <x:c r="L96" s="37" t="s">
        <x:v>495</x:v>
      </x:c>
      <x:c r="M96" s="37" t="s">
        <x:v>319</x:v>
      </x:c>
      <x:c r="N96" s="37" t="s">
        <x:v>319</x:v>
      </x:c>
      <x:c r="O96" s="36" t="s">
        <x:v>495</x:v>
      </x:c>
      <x:c r="P96" s="37" t="s">
        <x:v>151</x:v>
      </x:c>
      <x:c r="Q96" s="37" t="s">
        <x:v>151</x:v>
      </x:c>
      <x:c r="R96" s="37" t="s">
        <x:v>151</x:v>
      </x:c>
      <x:c r="S96" s="37" t="s">
        <x:v>152</x:v>
      </x:c>
      <x:c r="T96" s="36" t="s">
        <x:v>322</x:v>
      </x:c>
      <x:c r="U96" s="36" t="n">
        <x:f>IFERROR(O96*P96*Q96/R96*(1+S96)*T96,"")</x:f>
        <x:v>0.3287671232876712</x:v>
      </x:c>
      <x:c r="V96" s="33" t="s">
        <x:v>333</x:v>
      </x:c>
      <x:c r="W96" s="30">
        <x:v>46236.78357621528</x:v>
      </x:c>
      <x:c r="X96" s="30"/>
      <x:c r="Y96" s="3" t="s">
        <x:v>224</x:v>
      </x:c>
      <x:c r="Z96" s="3" t="s">
        <x:v>182</x:v>
      </x:c>
      <x:c r="AA96" s="17" t="s">
        <x:v>496</x:v>
      </x:c>
      <x:c r="AB96" s="33" t="str">
        <x:f>IF(A96="","",IF(COUNTIF($A$5:$A$1004,A96)&gt;1,"错误:重复成本规则ID",IF(OR(B96="",C96="",D96="",E96="",F96="",K96="",O96&lt;=0,P96&lt;=0,Q96&lt;=0,R96&lt;=0,S96&lt;0,T96&lt;=0,Y96="",Z96=""),"错误:必填项","OK")))</x:f>
        <x:v>OK</x:v>
      </x:c>
    </x:row>
    <x:row r="97" ht="52.79999923706055" hidden="1" customHeight="1">
      <x:c r="A97" s="3" t="s">
        <x:v>500</x:v>
      </x:c>
      <x:c r="B97" s="3" t="s">
        <x:v>179</x:v>
      </x:c>
      <x:c r="C97" s="3" t="s">
        <x:v>501</x:v>
      </x:c>
      <x:c r="D97" s="3" t="s">
        <x:v>234</x:v>
      </x:c>
      <x:c r="E97" s="3" t="s">
        <x:v>258</x:v>
      </x:c>
      <x:c r="F97" s="3" t="s">
        <x:v>318</x:v>
      </x:c>
      <x:c r="G97" s="3" t="s">
        <x:v>319</x:v>
      </x:c>
      <x:c r="H97" s="3" t="s">
        <x:v>319</x:v>
      </x:c>
      <x:c r="I97" s="3" t="s">
        <x:v>319</x:v>
      </x:c>
      <x:c r="J97" s="3" t="s">
        <x:v>320</x:v>
      </x:c>
      <x:c r="K97" s="3" t="s">
        <x:v>150</x:v>
      </x:c>
      <x:c r="L97" s="37" t="s">
        <x:v>319</x:v>
      </x:c>
      <x:c r="M97" s="37" t="s">
        <x:v>502</x:v>
      </x:c>
      <x:c r="N97" s="37" t="s">
        <x:v>319</x:v>
      </x:c>
      <x:c r="O97" s="36" t="s">
        <x:v>502</x:v>
      </x:c>
      <x:c r="P97" s="37" t="s">
        <x:v>151</x:v>
      </x:c>
      <x:c r="Q97" s="37" t="s">
        <x:v>151</x:v>
      </x:c>
      <x:c r="R97" s="37" t="s">
        <x:v>151</x:v>
      </x:c>
      <x:c r="S97" s="37" t="s">
        <x:v>152</x:v>
      </x:c>
      <x:c r="T97" s="36" t="s">
        <x:v>322</x:v>
      </x:c>
      <x:c r="U97" s="36" t="n">
        <x:f>IFERROR(O97*P97*Q97/R97*(1+S97)*T97,"")</x:f>
        <x:v>0.03424657534246575</x:v>
      </x:c>
      <x:c r="V97" s="33" t="s">
        <x:v>323</x:v>
      </x:c>
      <x:c r="W97" s="30">
        <x:v>46236.78357621528</x:v>
      </x:c>
      <x:c r="X97" s="30"/>
      <x:c r="Y97" s="3" t="s">
        <x:v>224</x:v>
      </x:c>
      <x:c r="Z97" s="3" t="s">
        <x:v>182</x:v>
      </x:c>
      <x:c r="AA97" s="17" t="s">
        <x:v>503</x:v>
      </x:c>
      <x:c r="AB97" s="33" t="str">
        <x:f>IF(A97="","",IF(COUNTIF($A$5:$A$1004,A97)&gt;1,"错误:重复成本规则ID",IF(OR(B97="",C97="",D97="",E97="",F97="",K97="",O97&lt;=0,P97&lt;=0,Q97&lt;=0,R97&lt;=0,S97&lt;0,T97&lt;=0,Y97="",Z97=""),"错误:必填项","OK")))</x:f>
        <x:v>OK</x:v>
      </x:c>
    </x:row>
    <x:row r="98" ht="52.79999923706055" hidden="1" customHeight="1">
      <x:c r="A98" s="3" t="s">
        <x:v>504</x:v>
      </x:c>
      <x:c r="B98" s="3" t="s">
        <x:v>179</x:v>
      </x:c>
      <x:c r="C98" s="3" t="s">
        <x:v>501</x:v>
      </x:c>
      <x:c r="D98" s="3" t="s">
        <x:v>234</x:v>
      </x:c>
      <x:c r="E98" s="3" t="s">
        <x:v>264</x:v>
      </x:c>
      <x:c r="F98" s="3" t="s">
        <x:v>318</x:v>
      </x:c>
      <x:c r="G98" s="3" t="s">
        <x:v>319</x:v>
      </x:c>
      <x:c r="H98" s="3" t="s">
        <x:v>319</x:v>
      </x:c>
      <x:c r="I98" s="3" t="s">
        <x:v>319</x:v>
      </x:c>
      <x:c r="J98" s="3" t="s">
        <x:v>320</x:v>
      </x:c>
      <x:c r="K98" s="3" t="s">
        <x:v>150</x:v>
      </x:c>
      <x:c r="L98" s="37" t="s">
        <x:v>319</x:v>
      </x:c>
      <x:c r="M98" s="37" t="s">
        <x:v>502</x:v>
      </x:c>
      <x:c r="N98" s="37" t="s">
        <x:v>319</x:v>
      </x:c>
      <x:c r="O98" s="36" t="s">
        <x:v>502</x:v>
      </x:c>
      <x:c r="P98" s="37" t="s">
        <x:v>151</x:v>
      </x:c>
      <x:c r="Q98" s="37" t="s">
        <x:v>151</x:v>
      </x:c>
      <x:c r="R98" s="37" t="s">
        <x:v>151</x:v>
      </x:c>
      <x:c r="S98" s="37" t="s">
        <x:v>152</x:v>
      </x:c>
      <x:c r="T98" s="36" t="s">
        <x:v>322</x:v>
      </x:c>
      <x:c r="U98" s="36" t="n">
        <x:f>IFERROR(O98*P98*Q98/R98*(1+S98)*T98,"")</x:f>
        <x:v>0.03424657534246575</x:v>
      </x:c>
      <x:c r="V98" s="33" t="s">
        <x:v>323</x:v>
      </x:c>
      <x:c r="W98" s="30">
        <x:v>46236.78357621528</x:v>
      </x:c>
      <x:c r="X98" s="30"/>
      <x:c r="Y98" s="3" t="s">
        <x:v>224</x:v>
      </x:c>
      <x:c r="Z98" s="3" t="s">
        <x:v>182</x:v>
      </x:c>
      <x:c r="AA98" s="17" t="s">
        <x:v>503</x:v>
      </x:c>
      <x:c r="AB98" s="33" t="str">
        <x:f>IF(A98="","",IF(COUNTIF($A$5:$A$1004,A98)&gt;1,"错误:重复成本规则ID",IF(OR(B98="",C98="",D98="",E98="",F98="",K98="",O98&lt;=0,P98&lt;=0,Q98&lt;=0,R98&lt;=0,S98&lt;0,T98&lt;=0,Y98="",Z98=""),"错误:必填项","OK")))</x:f>
        <x:v>OK</x:v>
      </x:c>
    </x:row>
    <x:row r="99" ht="52.79999923706055" hidden="1" customHeight="1">
      <x:c r="A99" s="3" t="s">
        <x:v>505</x:v>
      </x:c>
      <x:c r="B99" s="3" t="s">
        <x:v>179</x:v>
      </x:c>
      <x:c r="C99" s="3" t="s">
        <x:v>506</x:v>
      </x:c>
      <x:c r="D99" s="3" t="s">
        <x:v>238</x:v>
      </x:c>
      <x:c r="E99" s="3" t="s">
        <x:v>258</x:v>
      </x:c>
      <x:c r="F99" s="3" t="s">
        <x:v>318</x:v>
      </x:c>
      <x:c r="G99" s="3" t="s">
        <x:v>319</x:v>
      </x:c>
      <x:c r="H99" s="3" t="s">
        <x:v>319</x:v>
      </x:c>
      <x:c r="I99" s="3" t="s">
        <x:v>319</x:v>
      </x:c>
      <x:c r="J99" s="3" t="s">
        <x:v>320</x:v>
      </x:c>
      <x:c r="K99" s="3" t="s">
        <x:v>150</x:v>
      </x:c>
      <x:c r="L99" s="37" t="s">
        <x:v>319</x:v>
      </x:c>
      <x:c r="M99" s="37" t="s">
        <x:v>507</x:v>
      </x:c>
      <x:c r="N99" s="37" t="s">
        <x:v>319</x:v>
      </x:c>
      <x:c r="O99" s="36" t="s">
        <x:v>507</x:v>
      </x:c>
      <x:c r="P99" s="37" t="s">
        <x:v>151</x:v>
      </x:c>
      <x:c r="Q99" s="37" t="s">
        <x:v>151</x:v>
      </x:c>
      <x:c r="R99" s="37" t="s">
        <x:v>151</x:v>
      </x:c>
      <x:c r="S99" s="37" t="s">
        <x:v>152</x:v>
      </x:c>
      <x:c r="T99" s="36" t="s">
        <x:v>322</x:v>
      </x:c>
      <x:c r="U99" s="36" t="n">
        <x:f>IFERROR(O99*P99*Q99/R99*(1+S99)*T99,"")</x:f>
        <x:v>0.10273972602739725</x:v>
      </x:c>
      <x:c r="V99" s="33" t="s">
        <x:v>323</x:v>
      </x:c>
      <x:c r="W99" s="30">
        <x:v>46236.78357621528</x:v>
      </x:c>
      <x:c r="X99" s="30"/>
      <x:c r="Y99" s="3" t="s">
        <x:v>224</x:v>
      </x:c>
      <x:c r="Z99" s="3" t="s">
        <x:v>182</x:v>
      </x:c>
      <x:c r="AA99" s="17" t="s">
        <x:v>508</x:v>
      </x:c>
      <x:c r="AB99" s="33" t="str">
        <x:f>IF(A99="","",IF(COUNTIF($A$5:$A$1004,A99)&gt;1,"错误:重复成本规则ID",IF(OR(B99="",C99="",D99="",E99="",F99="",K99="",O99&lt;=0,P99&lt;=0,Q99&lt;=0,R99&lt;=0,S99&lt;0,T99&lt;=0,Y99="",Z99=""),"错误:必填项","OK")))</x:f>
        <x:v>OK</x:v>
      </x:c>
    </x:row>
    <x:row r="100" ht="52.79999923706055" hidden="1" customHeight="1">
      <x:c r="A100" s="3" t="s">
        <x:v>509</x:v>
      </x:c>
      <x:c r="B100" s="3" t="s">
        <x:v>179</x:v>
      </x:c>
      <x:c r="C100" s="3" t="s">
        <x:v>506</x:v>
      </x:c>
      <x:c r="D100" s="3" t="s">
        <x:v>238</x:v>
      </x:c>
      <x:c r="E100" s="3" t="s">
        <x:v>264</x:v>
      </x:c>
      <x:c r="F100" s="3" t="s">
        <x:v>318</x:v>
      </x:c>
      <x:c r="G100" s="3" t="s">
        <x:v>319</x:v>
      </x:c>
      <x:c r="H100" s="3" t="s">
        <x:v>319</x:v>
      </x:c>
      <x:c r="I100" s="3" t="s">
        <x:v>319</x:v>
      </x:c>
      <x:c r="J100" s="3" t="s">
        <x:v>320</x:v>
      </x:c>
      <x:c r="K100" s="3" t="s">
        <x:v>150</x:v>
      </x:c>
      <x:c r="L100" s="37" t="s">
        <x:v>319</x:v>
      </x:c>
      <x:c r="M100" s="37" t="s">
        <x:v>507</x:v>
      </x:c>
      <x:c r="N100" s="37" t="s">
        <x:v>319</x:v>
      </x:c>
      <x:c r="O100" s="36" t="s">
        <x:v>507</x:v>
      </x:c>
      <x:c r="P100" s="37" t="s">
        <x:v>151</x:v>
      </x:c>
      <x:c r="Q100" s="37" t="s">
        <x:v>151</x:v>
      </x:c>
      <x:c r="R100" s="37" t="s">
        <x:v>151</x:v>
      </x:c>
      <x:c r="S100" s="37" t="s">
        <x:v>152</x:v>
      </x:c>
      <x:c r="T100" s="36" t="s">
        <x:v>322</x:v>
      </x:c>
      <x:c r="U100" s="36" t="n">
        <x:f>IFERROR(O100*P100*Q100/R100*(1+S100)*T100,"")</x:f>
        <x:v>0.10273972602739725</x:v>
      </x:c>
      <x:c r="V100" s="33" t="s">
        <x:v>323</x:v>
      </x:c>
      <x:c r="W100" s="30">
        <x:v>46236.78357621528</x:v>
      </x:c>
      <x:c r="X100" s="30"/>
      <x:c r="Y100" s="3" t="s">
        <x:v>224</x:v>
      </x:c>
      <x:c r="Z100" s="3" t="s">
        <x:v>182</x:v>
      </x:c>
      <x:c r="AA100" s="17" t="s">
        <x:v>508</x:v>
      </x:c>
      <x:c r="AB100" s="33" t="str">
        <x:f>IF(A100="","",IF(COUNTIF($A$5:$A$1004,A100)&gt;1,"错误:重复成本规则ID",IF(OR(B100="",C100="",D100="",E100="",F100="",K100="",O100&lt;=0,P100&lt;=0,Q100&lt;=0,R100&lt;=0,S100&lt;0,T100&lt;=0,Y100="",Z100=""),"错误:必填项","OK")))</x:f>
        <x:v>OK</x:v>
      </x:c>
    </x:row>
    <x:row r="101" ht="52.79999923706055" hidden="1" customHeight="1">
      <x:c r="A101" s="3" t="s">
        <x:v>510</x:v>
      </x:c>
      <x:c r="B101" s="3" t="s">
        <x:v>179</x:v>
      </x:c>
      <x:c r="C101" s="3" t="s">
        <x:v>511</x:v>
      </x:c>
      <x:c r="D101" s="3" t="s">
        <x:v>240</x:v>
      </x:c>
      <x:c r="E101" s="3" t="s">
        <x:v>258</x:v>
      </x:c>
      <x:c r="F101" s="3" t="s">
        <x:v>318</x:v>
      </x:c>
      <x:c r="G101" s="3" t="s">
        <x:v>319</x:v>
      </x:c>
      <x:c r="H101" s="3" t="s">
        <x:v>319</x:v>
      </x:c>
      <x:c r="I101" s="3" t="s">
        <x:v>319</x:v>
      </x:c>
      <x:c r="J101" s="3" t="s">
        <x:v>320</x:v>
      </x:c>
      <x:c r="K101" s="3" t="s">
        <x:v>150</x:v>
      </x:c>
      <x:c r="L101" s="37" t="s">
        <x:v>319</x:v>
      </x:c>
      <x:c r="M101" s="37" t="s">
        <x:v>512</x:v>
      </x:c>
      <x:c r="N101" s="37" t="s">
        <x:v>319</x:v>
      </x:c>
      <x:c r="O101" s="36" t="s">
        <x:v>512</x:v>
      </x:c>
      <x:c r="P101" s="37" t="s">
        <x:v>151</x:v>
      </x:c>
      <x:c r="Q101" s="37" t="s">
        <x:v>151</x:v>
      </x:c>
      <x:c r="R101" s="37" t="s">
        <x:v>151</x:v>
      </x:c>
      <x:c r="S101" s="37" t="s">
        <x:v>152</x:v>
      </x:c>
      <x:c r="T101" s="36" t="s">
        <x:v>322</x:v>
      </x:c>
      <x:c r="U101" s="36" t="n">
        <x:f>IFERROR(O101*P101*Q101/R101*(1+S101)*T101,"")</x:f>
        <x:v>0.0410958904109589</x:v>
      </x:c>
      <x:c r="V101" s="33" t="s">
        <x:v>323</x:v>
      </x:c>
      <x:c r="W101" s="30">
        <x:v>46236.78357621528</x:v>
      </x:c>
      <x:c r="X101" s="30"/>
      <x:c r="Y101" s="3" t="s">
        <x:v>224</x:v>
      </x:c>
      <x:c r="Z101" s="3" t="s">
        <x:v>182</x:v>
      </x:c>
      <x:c r="AA101" s="17" t="s">
        <x:v>513</x:v>
      </x:c>
      <x:c r="AB101" s="33" t="str">
        <x:f>IF(A101="","",IF(COUNTIF($A$5:$A$1004,A101)&gt;1,"错误:重复成本规则ID",IF(OR(B101="",C101="",D101="",E101="",F101="",K101="",O101&lt;=0,P101&lt;=0,Q101&lt;=0,R101&lt;=0,S101&lt;0,T101&lt;=0,Y101="",Z101=""),"错误:必填项","OK")))</x:f>
        <x:v>OK</x:v>
      </x:c>
    </x:row>
    <x:row r="102" ht="66" hidden="1" customHeight="1">
      <x:c r="A102" s="3" t="s">
        <x:v>514</x:v>
      </x:c>
      <x:c r="B102" s="3" t="s">
        <x:v>179</x:v>
      </x:c>
      <x:c r="C102" s="3" t="s">
        <x:v>511</x:v>
      </x:c>
      <x:c r="D102" s="3" t="s">
        <x:v>240</x:v>
      </x:c>
      <x:c r="E102" s="3" t="s">
        <x:v>264</x:v>
      </x:c>
      <x:c r="F102" s="3" t="s">
        <x:v>318</x:v>
      </x:c>
      <x:c r="G102" s="3" t="s">
        <x:v>319</x:v>
      </x:c>
      <x:c r="H102" s="3" t="s">
        <x:v>319</x:v>
      </x:c>
      <x:c r="I102" s="3" t="s">
        <x:v>319</x:v>
      </x:c>
      <x:c r="J102" s="3" t="s">
        <x:v>320</x:v>
      </x:c>
      <x:c r="K102" s="3" t="s">
        <x:v>150</x:v>
      </x:c>
      <x:c r="L102" s="37" t="s">
        <x:v>319</x:v>
      </x:c>
      <x:c r="M102" s="37" t="s">
        <x:v>512</x:v>
      </x:c>
      <x:c r="N102" s="37" t="s">
        <x:v>319</x:v>
      </x:c>
      <x:c r="O102" s="36" t="s">
        <x:v>512</x:v>
      </x:c>
      <x:c r="P102" s="37" t="s">
        <x:v>151</x:v>
      </x:c>
      <x:c r="Q102" s="37" t="s">
        <x:v>151</x:v>
      </x:c>
      <x:c r="R102" s="37" t="s">
        <x:v>151</x:v>
      </x:c>
      <x:c r="S102" s="37" t="s">
        <x:v>152</x:v>
      </x:c>
      <x:c r="T102" s="36" t="s">
        <x:v>322</x:v>
      </x:c>
      <x:c r="U102" s="36" t="n">
        <x:f>IFERROR(O102*P102*Q102/R102*(1+S102)*T102,"")</x:f>
        <x:v>0.0410958904109589</x:v>
      </x:c>
      <x:c r="V102" s="33" t="s">
        <x:v>323</x:v>
      </x:c>
      <x:c r="W102" s="30">
        <x:v>46236.78357621528</x:v>
      </x:c>
      <x:c r="X102" s="30"/>
      <x:c r="Y102" s="3" t="s">
        <x:v>224</x:v>
      </x:c>
      <x:c r="Z102" s="3" t="s">
        <x:v>182</x:v>
      </x:c>
      <x:c r="AA102" s="17" t="s">
        <x:v>513</x:v>
      </x:c>
      <x:c r="AB102" s="33" t="str">
        <x:f>IF(A102="","",IF(COUNTIF($A$5:$A$1004,A102)&gt;1,"错误:重复成本规则ID",IF(OR(B102="",C102="",D102="",E102="",F102="",K102="",O102&lt;=0,P102&lt;=0,Q102&lt;=0,R102&lt;=0,S102&lt;0,T102&lt;=0,Y102="",Z102=""),"错误:必填项","OK")))</x:f>
        <x:v>OK</x:v>
      </x:c>
    </x:row>
    <x:row r="103" ht="66" hidden="1" customHeight="1">
      <x:c r="A103" s="3" t="s">
        <x:v>515</x:v>
      </x:c>
      <x:c r="B103" s="3" t="s">
        <x:v>179</x:v>
      </x:c>
      <x:c r="C103" s="3" t="s">
        <x:v>516</x:v>
      </x:c>
      <x:c r="D103" s="3" t="s">
        <x:v>244</x:v>
      </x:c>
      <x:c r="E103" s="3" t="s">
        <x:v>258</x:v>
      </x:c>
      <x:c r="F103" s="3" t="s">
        <x:v>318</x:v>
      </x:c>
      <x:c r="G103" s="3" t="s">
        <x:v>319</x:v>
      </x:c>
      <x:c r="H103" s="3" t="s">
        <x:v>319</x:v>
      </x:c>
      <x:c r="I103" s="3" t="s">
        <x:v>319</x:v>
      </x:c>
      <x:c r="J103" s="3" t="s">
        <x:v>320</x:v>
      </x:c>
      <x:c r="K103" s="3" t="s">
        <x:v>150</x:v>
      </x:c>
      <x:c r="L103" s="37" t="s">
        <x:v>319</x:v>
      </x:c>
      <x:c r="M103" s="37" t="s">
        <x:v>517</x:v>
      </x:c>
      <x:c r="N103" s="37" t="s">
        <x:v>319</x:v>
      </x:c>
      <x:c r="O103" s="36" t="s">
        <x:v>517</x:v>
      </x:c>
      <x:c r="P103" s="37" t="s">
        <x:v>151</x:v>
      </x:c>
      <x:c r="Q103" s="37" t="s">
        <x:v>151</x:v>
      </x:c>
      <x:c r="R103" s="37" t="s">
        <x:v>151</x:v>
      </x:c>
      <x:c r="S103" s="37" t="s">
        <x:v>152</x:v>
      </x:c>
      <x:c r="T103" s="36" t="s">
        <x:v>322</x:v>
      </x:c>
      <x:c r="U103" s="36" t="n">
        <x:f>IFERROR(O103*P103*Q103/R103*(1+S103)*T103,"")</x:f>
        <x:v>0.07191780821917808</x:v>
      </x:c>
      <x:c r="V103" s="33" t="s">
        <x:v>323</x:v>
      </x:c>
      <x:c r="W103" s="30">
        <x:v>46236.78357621528</x:v>
      </x:c>
      <x:c r="X103" s="30"/>
      <x:c r="Y103" s="3" t="s">
        <x:v>224</x:v>
      </x:c>
      <x:c r="Z103" s="3" t="s">
        <x:v>182</x:v>
      </x:c>
      <x:c r="AA103" s="17" t="s">
        <x:v>518</x:v>
      </x:c>
      <x:c r="AB103" s="33" t="str">
        <x:f>IF(A103="","",IF(COUNTIF($A$5:$A$1004,A103)&gt;1,"错误:重复成本规则ID",IF(OR(B103="",C103="",D103="",E103="",F103="",K103="",O103&lt;=0,P103&lt;=0,Q103&lt;=0,R103&lt;=0,S103&lt;0,T103&lt;=0,Y103="",Z103=""),"错误:必填项","OK")))</x:f>
        <x:v>OK</x:v>
      </x:c>
    </x:row>
    <x:row r="104" ht="66" hidden="1" customHeight="1">
      <x:c r="A104" s="3" t="s">
        <x:v>519</x:v>
      </x:c>
      <x:c r="B104" s="3" t="s">
        <x:v>179</x:v>
      </x:c>
      <x:c r="C104" s="3" t="s">
        <x:v>516</x:v>
      </x:c>
      <x:c r="D104" s="3" t="s">
        <x:v>244</x:v>
      </x:c>
      <x:c r="E104" s="3" t="s">
        <x:v>264</x:v>
      </x:c>
      <x:c r="F104" s="3" t="s">
        <x:v>318</x:v>
      </x:c>
      <x:c r="G104" s="3" t="s">
        <x:v>319</x:v>
      </x:c>
      <x:c r="H104" s="3" t="s">
        <x:v>319</x:v>
      </x:c>
      <x:c r="I104" s="3" t="s">
        <x:v>319</x:v>
      </x:c>
      <x:c r="J104" s="3" t="s">
        <x:v>320</x:v>
      </x:c>
      <x:c r="K104" s="3" t="s">
        <x:v>150</x:v>
      </x:c>
      <x:c r="L104" s="37" t="s">
        <x:v>319</x:v>
      </x:c>
      <x:c r="M104" s="37" t="s">
        <x:v>517</x:v>
      </x:c>
      <x:c r="N104" s="37" t="s">
        <x:v>319</x:v>
      </x:c>
      <x:c r="O104" s="36" t="s">
        <x:v>517</x:v>
      </x:c>
      <x:c r="P104" s="37" t="s">
        <x:v>151</x:v>
      </x:c>
      <x:c r="Q104" s="37" t="s">
        <x:v>151</x:v>
      </x:c>
      <x:c r="R104" s="37" t="s">
        <x:v>151</x:v>
      </x:c>
      <x:c r="S104" s="37" t="s">
        <x:v>152</x:v>
      </x:c>
      <x:c r="T104" s="36" t="s">
        <x:v>322</x:v>
      </x:c>
      <x:c r="U104" s="36" t="n">
        <x:f>IFERROR(O104*P104*Q104/R104*(1+S104)*T104,"")</x:f>
        <x:v>0.07191780821917808</x:v>
      </x:c>
      <x:c r="V104" s="33" t="s">
        <x:v>323</x:v>
      </x:c>
      <x:c r="W104" s="30">
        <x:v>46236.78357621528</x:v>
      </x:c>
      <x:c r="X104" s="30"/>
      <x:c r="Y104" s="3" t="s">
        <x:v>224</x:v>
      </x:c>
      <x:c r="Z104" s="3" t="s">
        <x:v>182</x:v>
      </x:c>
      <x:c r="AA104" s="17" t="s">
        <x:v>518</x:v>
      </x:c>
      <x:c r="AB104" s="33" t="str">
        <x:f>IF(A104="","",IF(COUNTIF($A$5:$A$1004,A104)&gt;1,"错误:重复成本规则ID",IF(OR(B104="",C104="",D104="",E104="",F104="",K104="",O104&lt;=0,P104&lt;=0,Q104&lt;=0,R104&lt;=0,S104&lt;0,T104&lt;=0,Y104="",Z104=""),"错误:必填项","OK")))</x:f>
        <x:v>OK</x:v>
      </x:c>
    </x:row>
    <x:row r="105" ht="66" hidden="1" customHeight="1">
      <x:c r="A105" s="3" t="s">
        <x:v>520</x:v>
      </x:c>
      <x:c r="B105" s="3" t="s">
        <x:v>147</x:v>
      </x:c>
      <x:c r="C105" s="3" t="s">
        <x:v>521</x:v>
      </x:c>
      <x:c r="D105" s="3" t="s">
        <x:v>234</x:v>
      </x:c>
      <x:c r="E105" s="3" t="s">
        <x:v>258</x:v>
      </x:c>
      <x:c r="F105" s="3" t="s">
        <x:v>331</x:v>
      </x:c>
      <x:c r="G105" s="3" t="s">
        <x:v>319</x:v>
      </x:c>
      <x:c r="H105" s="3" t="s">
        <x:v>319</x:v>
      </x:c>
      <x:c r="I105" s="3" t="s">
        <x:v>319</x:v>
      </x:c>
      <x:c r="J105" s="3" t="s">
        <x:v>320</x:v>
      </x:c>
      <x:c r="K105" s="3" t="s">
        <x:v>150</x:v>
      </x:c>
      <x:c r="L105" s="37" t="s">
        <x:v>522</x:v>
      </x:c>
      <x:c r="M105" s="37" t="s">
        <x:v>319</x:v>
      </x:c>
      <x:c r="N105" s="37" t="s">
        <x:v>319</x:v>
      </x:c>
      <x:c r="O105" s="36" t="s">
        <x:v>522</x:v>
      </x:c>
      <x:c r="P105" s="37" t="s">
        <x:v>151</x:v>
      </x:c>
      <x:c r="Q105" s="37" t="s">
        <x:v>151</x:v>
      </x:c>
      <x:c r="R105" s="37" t="s">
        <x:v>151</x:v>
      </x:c>
      <x:c r="S105" s="37" t="s">
        <x:v>152</x:v>
      </x:c>
      <x:c r="T105" s="36" t="s">
        <x:v>322</x:v>
      </x:c>
      <x:c r="U105" s="36" t="n">
        <x:f>IFERROR(O105*P105*Q105/R105*(1+S105)*T105,"")</x:f>
        <x:v>0.6136986301369863</x:v>
      </x:c>
      <x:c r="V105" s="33" t="s">
        <x:v>333</x:v>
      </x:c>
      <x:c r="W105" s="30">
        <x:v>46236.78357621528</x:v>
      </x:c>
      <x:c r="X105" s="30"/>
      <x:c r="Y105" s="3" t="s">
        <x:v>224</x:v>
      </x:c>
      <x:c r="Z105" s="3" t="s">
        <x:v>155</x:v>
      </x:c>
      <x:c r="AA105" s="17" t="s">
        <x:v>523</x:v>
      </x:c>
      <x:c r="AB105" s="33" t="str">
        <x:f>IF(A105="","",IF(COUNTIF($A$5:$A$1004,A105)&gt;1,"错误:重复成本规则ID",IF(OR(B105="",C105="",D105="",E105="",F105="",K105="",O105&lt;=0,P105&lt;=0,Q105&lt;=0,R105&lt;=0,S105&lt;0,T105&lt;=0,Y105="",Z105=""),"错误:必填项","OK")))</x:f>
        <x:v>OK</x:v>
      </x:c>
    </x:row>
    <x:row r="106" ht="66" hidden="1" customHeight="1">
      <x:c r="A106" s="3" t="s">
        <x:v>524</x:v>
      </x:c>
      <x:c r="B106" s="3" t="s">
        <x:v>147</x:v>
      </x:c>
      <x:c r="C106" s="3" t="s">
        <x:v>521</x:v>
      </x:c>
      <x:c r="D106" s="3" t="s">
        <x:v>234</x:v>
      </x:c>
      <x:c r="E106" s="3" t="s">
        <x:v>264</x:v>
      </x:c>
      <x:c r="F106" s="3" t="s">
        <x:v>331</x:v>
      </x:c>
      <x:c r="G106" s="3" t="s">
        <x:v>319</x:v>
      </x:c>
      <x:c r="H106" s="3" t="s">
        <x:v>319</x:v>
      </x:c>
      <x:c r="I106" s="3" t="s">
        <x:v>319</x:v>
      </x:c>
      <x:c r="J106" s="3" t="s">
        <x:v>320</x:v>
      </x:c>
      <x:c r="K106" s="3" t="s">
        <x:v>150</x:v>
      </x:c>
      <x:c r="L106" s="37" t="s">
        <x:v>522</x:v>
      </x:c>
      <x:c r="M106" s="37" t="s">
        <x:v>319</x:v>
      </x:c>
      <x:c r="N106" s="37" t="s">
        <x:v>319</x:v>
      </x:c>
      <x:c r="O106" s="36" t="s">
        <x:v>522</x:v>
      </x:c>
      <x:c r="P106" s="37" t="s">
        <x:v>151</x:v>
      </x:c>
      <x:c r="Q106" s="37" t="s">
        <x:v>151</x:v>
      </x:c>
      <x:c r="R106" s="37" t="s">
        <x:v>151</x:v>
      </x:c>
      <x:c r="S106" s="37" t="s">
        <x:v>152</x:v>
      </x:c>
      <x:c r="T106" s="36" t="s">
        <x:v>322</x:v>
      </x:c>
      <x:c r="U106" s="36" t="n">
        <x:f>IFERROR(O106*P106*Q106/R106*(1+S106)*T106,"")</x:f>
        <x:v>0.6136986301369863</x:v>
      </x:c>
      <x:c r="V106" s="33" t="s">
        <x:v>333</x:v>
      </x:c>
      <x:c r="W106" s="30">
        <x:v>46236.78357621528</x:v>
      </x:c>
      <x:c r="X106" s="30"/>
      <x:c r="Y106" s="3" t="s">
        <x:v>224</x:v>
      </x:c>
      <x:c r="Z106" s="3" t="s">
        <x:v>155</x:v>
      </x:c>
      <x:c r="AA106" s="17" t="s">
        <x:v>523</x:v>
      </x:c>
      <x:c r="AB106" s="33" t="str">
        <x:f>IF(A106="","",IF(COUNTIF($A$5:$A$1004,A106)&gt;1,"错误:重复成本规则ID",IF(OR(B106="",C106="",D106="",E106="",F106="",K106="",O106&lt;=0,P106&lt;=0,Q106&lt;=0,R106&lt;=0,S106&lt;0,T106&lt;=0,Y106="",Z106=""),"错误:必填项","OK")))</x:f>
        <x:v>OK</x:v>
      </x:c>
    </x:row>
    <x:row r="107" ht="66" hidden="1" customHeight="1">
      <x:c r="A107" s="3" t="s">
        <x:v>525</x:v>
      </x:c>
      <x:c r="B107" s="3" t="s">
        <x:v>147</x:v>
      </x:c>
      <x:c r="C107" s="3" t="s">
        <x:v>526</x:v>
      </x:c>
      <x:c r="D107" s="3" t="s">
        <x:v>227</x:v>
      </x:c>
      <x:c r="E107" s="3" t="s">
        <x:v>258</x:v>
      </x:c>
      <x:c r="F107" s="3" t="s">
        <x:v>331</x:v>
      </x:c>
      <x:c r="G107" s="3" t="s">
        <x:v>319</x:v>
      </x:c>
      <x:c r="H107" s="3" t="s">
        <x:v>319</x:v>
      </x:c>
      <x:c r="I107" s="3" t="s">
        <x:v>319</x:v>
      </x:c>
      <x:c r="J107" s="3" t="s">
        <x:v>320</x:v>
      </x:c>
      <x:c r="K107" s="3" t="s">
        <x:v>150</x:v>
      </x:c>
      <x:c r="L107" s="37" t="s">
        <x:v>527</x:v>
      </x:c>
      <x:c r="M107" s="37" t="s">
        <x:v>319</x:v>
      </x:c>
      <x:c r="N107" s="37" t="s">
        <x:v>319</x:v>
      </x:c>
      <x:c r="O107" s="36" t="s">
        <x:v>527</x:v>
      </x:c>
      <x:c r="P107" s="37" t="s">
        <x:v>151</x:v>
      </x:c>
      <x:c r="Q107" s="37" t="s">
        <x:v>151</x:v>
      </x:c>
      <x:c r="R107" s="37" t="s">
        <x:v>151</x:v>
      </x:c>
      <x:c r="S107" s="37" t="s">
        <x:v>152</x:v>
      </x:c>
      <x:c r="T107" s="36" t="s">
        <x:v>322</x:v>
      </x:c>
      <x:c r="U107" s="36" t="n">
        <x:f>IFERROR(O107*P107*Q107/R107*(1+S107)*T107,"")</x:f>
        <x:v>0.6821917808219178</x:v>
      </x:c>
      <x:c r="V107" s="33" t="s">
        <x:v>333</x:v>
      </x:c>
      <x:c r="W107" s="30">
        <x:v>46236.78357621528</x:v>
      </x:c>
      <x:c r="X107" s="30"/>
      <x:c r="Y107" s="3" t="s">
        <x:v>224</x:v>
      </x:c>
      <x:c r="Z107" s="3" t="s">
        <x:v>155</x:v>
      </x:c>
      <x:c r="AA107" s="17" t="s">
        <x:v>528</x:v>
      </x:c>
      <x:c r="AB107" s="33" t="str">
        <x:f>IF(A107="","",IF(COUNTIF($A$5:$A$1004,A107)&gt;1,"错误:重复成本规则ID",IF(OR(B107="",C107="",D107="",E107="",F107="",K107="",O107&lt;=0,P107&lt;=0,Q107&lt;=0,R107&lt;=0,S107&lt;0,T107&lt;=0,Y107="",Z107=""),"错误:必填项","OK")))</x:f>
        <x:v>OK</x:v>
      </x:c>
    </x:row>
    <x:row r="108" ht="39.599998474121094" hidden="1" customHeight="1">
      <x:c r="A108" s="3" t="s">
        <x:v>529</x:v>
      </x:c>
      <x:c r="B108" s="3" t="s">
        <x:v>147</x:v>
      </x:c>
      <x:c r="C108" s="3" t="s">
        <x:v>526</x:v>
      </x:c>
      <x:c r="D108" s="3" t="s">
        <x:v>227</x:v>
      </x:c>
      <x:c r="E108" s="3" t="s">
        <x:v>264</x:v>
      </x:c>
      <x:c r="F108" s="3" t="s">
        <x:v>331</x:v>
      </x:c>
      <x:c r="G108" s="3" t="s">
        <x:v>319</x:v>
      </x:c>
      <x:c r="H108" s="3" t="s">
        <x:v>319</x:v>
      </x:c>
      <x:c r="I108" s="3" t="s">
        <x:v>319</x:v>
      </x:c>
      <x:c r="J108" s="3" t="s">
        <x:v>320</x:v>
      </x:c>
      <x:c r="K108" s="3" t="s">
        <x:v>150</x:v>
      </x:c>
      <x:c r="L108" s="37" t="s">
        <x:v>527</x:v>
      </x:c>
      <x:c r="M108" s="37" t="s">
        <x:v>319</x:v>
      </x:c>
      <x:c r="N108" s="37" t="s">
        <x:v>319</x:v>
      </x:c>
      <x:c r="O108" s="36" t="s">
        <x:v>527</x:v>
      </x:c>
      <x:c r="P108" s="37" t="s">
        <x:v>151</x:v>
      </x:c>
      <x:c r="Q108" s="37" t="s">
        <x:v>151</x:v>
      </x:c>
      <x:c r="R108" s="37" t="s">
        <x:v>151</x:v>
      </x:c>
      <x:c r="S108" s="37" t="s">
        <x:v>152</x:v>
      </x:c>
      <x:c r="T108" s="36" t="s">
        <x:v>322</x:v>
      </x:c>
      <x:c r="U108" s="36" t="n">
        <x:f>IFERROR(O108*P108*Q108/R108*(1+S108)*T108,"")</x:f>
        <x:v>0.6821917808219178</x:v>
      </x:c>
      <x:c r="V108" s="33" t="s">
        <x:v>333</x:v>
      </x:c>
      <x:c r="W108" s="30">
        <x:v>46236.78357621528</x:v>
      </x:c>
      <x:c r="X108" s="30"/>
      <x:c r="Y108" s="3" t="s">
        <x:v>224</x:v>
      </x:c>
      <x:c r="Z108" s="3" t="s">
        <x:v>155</x:v>
      </x:c>
      <x:c r="AA108" s="17" t="s">
        <x:v>528</x:v>
      </x:c>
      <x:c r="AB108" s="33" t="str">
        <x:f>IF(A108="","",IF(COUNTIF($A$5:$A$1004,A108)&gt;1,"错误:重复成本规则ID",IF(OR(B108="",C108="",D108="",E108="",F108="",K108="",O108&lt;=0,P108&lt;=0,Q108&lt;=0,R108&lt;=0,S108&lt;0,T108&lt;=0,Y108="",Z108=""),"错误:必填项","OK")))</x:f>
        <x:v>OK</x:v>
      </x:c>
    </x:row>
    <x:row r="109" ht="39.599998474121094" hidden="1" customHeight="1">
      <x:c r="A109" s="3" t="s">
        <x:v>530</x:v>
      </x:c>
      <x:c r="B109" s="3" t="s">
        <x:v>147</x:v>
      </x:c>
      <x:c r="C109" s="3" t="s">
        <x:v>531</x:v>
      </x:c>
      <x:c r="D109" s="3" t="s">
        <x:v>238</x:v>
      </x:c>
      <x:c r="E109" s="3" t="s">
        <x:v>258</x:v>
      </x:c>
      <x:c r="F109" s="3" t="s">
        <x:v>331</x:v>
      </x:c>
      <x:c r="G109" s="3" t="s">
        <x:v>319</x:v>
      </x:c>
      <x:c r="H109" s="3" t="s">
        <x:v>319</x:v>
      </x:c>
      <x:c r="I109" s="3" t="s">
        <x:v>319</x:v>
      </x:c>
      <x:c r="J109" s="3" t="s">
        <x:v>320</x:v>
      </x:c>
      <x:c r="K109" s="3" t="s">
        <x:v>150</x:v>
      </x:c>
      <x:c r="L109" s="37" t="s">
        <x:v>532</x:v>
      </x:c>
      <x:c r="M109" s="37" t="s">
        <x:v>319</x:v>
      </x:c>
      <x:c r="N109" s="37" t="s">
        <x:v>319</x:v>
      </x:c>
      <x:c r="O109" s="36" t="s">
        <x:v>532</x:v>
      </x:c>
      <x:c r="P109" s="37" t="s">
        <x:v>151</x:v>
      </x:c>
      <x:c r="Q109" s="37" t="s">
        <x:v>151</x:v>
      </x:c>
      <x:c r="R109" s="37" t="s">
        <x:v>151</x:v>
      </x:c>
      <x:c r="S109" s="37" t="s">
        <x:v>152</x:v>
      </x:c>
      <x:c r="T109" s="36" t="s">
        <x:v>322</x:v>
      </x:c>
      <x:c r="U109" s="36" t="n">
        <x:f>IFERROR(O109*P109*Q109/R109*(1+S109)*T109,"")</x:f>
        <x:v>0.6410958904109588</x:v>
      </x:c>
      <x:c r="V109" s="33" t="s">
        <x:v>333</x:v>
      </x:c>
      <x:c r="W109" s="30">
        <x:v>46236.78357621528</x:v>
      </x:c>
      <x:c r="X109" s="30"/>
      <x:c r="Y109" s="3" t="s">
        <x:v>224</x:v>
      </x:c>
      <x:c r="Z109" s="3" t="s">
        <x:v>155</x:v>
      </x:c>
      <x:c r="AA109" s="17" t="s">
        <x:v>533</x:v>
      </x:c>
      <x:c r="AB109" s="33" t="str">
        <x:f>IF(A109="","",IF(COUNTIF($A$5:$A$1004,A109)&gt;1,"错误:重复成本规则ID",IF(OR(B109="",C109="",D109="",E109="",F109="",K109="",O109&lt;=0,P109&lt;=0,Q109&lt;=0,R109&lt;=0,S109&lt;0,T109&lt;=0,Y109="",Z109=""),"错误:必填项","OK")))</x:f>
        <x:v>OK</x:v>
      </x:c>
    </x:row>
    <x:row r="110" ht="39.599998474121094" hidden="1" customHeight="1">
      <x:c r="A110" s="3" t="s">
        <x:v>534</x:v>
      </x:c>
      <x:c r="B110" s="3" t="s">
        <x:v>147</x:v>
      </x:c>
      <x:c r="C110" s="3" t="s">
        <x:v>531</x:v>
      </x:c>
      <x:c r="D110" s="3" t="s">
        <x:v>238</x:v>
      </x:c>
      <x:c r="E110" s="3" t="s">
        <x:v>264</x:v>
      </x:c>
      <x:c r="F110" s="3" t="s">
        <x:v>331</x:v>
      </x:c>
      <x:c r="G110" s="3" t="s">
        <x:v>319</x:v>
      </x:c>
      <x:c r="H110" s="3" t="s">
        <x:v>319</x:v>
      </x:c>
      <x:c r="I110" s="3" t="s">
        <x:v>319</x:v>
      </x:c>
      <x:c r="J110" s="3" t="s">
        <x:v>320</x:v>
      </x:c>
      <x:c r="K110" s="3" t="s">
        <x:v>150</x:v>
      </x:c>
      <x:c r="L110" s="37" t="s">
        <x:v>532</x:v>
      </x:c>
      <x:c r="M110" s="37" t="s">
        <x:v>319</x:v>
      </x:c>
      <x:c r="N110" s="37" t="s">
        <x:v>319</x:v>
      </x:c>
      <x:c r="O110" s="36" t="s">
        <x:v>532</x:v>
      </x:c>
      <x:c r="P110" s="37" t="s">
        <x:v>151</x:v>
      </x:c>
      <x:c r="Q110" s="37" t="s">
        <x:v>151</x:v>
      </x:c>
      <x:c r="R110" s="37" t="s">
        <x:v>151</x:v>
      </x:c>
      <x:c r="S110" s="37" t="s">
        <x:v>152</x:v>
      </x:c>
      <x:c r="T110" s="36" t="s">
        <x:v>322</x:v>
      </x:c>
      <x:c r="U110" s="36" t="n">
        <x:f>IFERROR(O110*P110*Q110/R110*(1+S110)*T110,"")</x:f>
        <x:v>0.6410958904109588</x:v>
      </x:c>
      <x:c r="V110" s="33" t="s">
        <x:v>333</x:v>
      </x:c>
      <x:c r="W110" s="30">
        <x:v>46236.78357621528</x:v>
      </x:c>
      <x:c r="X110" s="30"/>
      <x:c r="Y110" s="3" t="s">
        <x:v>224</x:v>
      </x:c>
      <x:c r="Z110" s="3" t="s">
        <x:v>155</x:v>
      </x:c>
      <x:c r="AA110" s="17" t="s">
        <x:v>533</x:v>
      </x:c>
      <x:c r="AB110" s="33" t="str">
        <x:f>IF(A110="","",IF(COUNTIF($A$5:$A$1004,A110)&gt;1,"错误:重复成本规则ID",IF(OR(B110="",C110="",D110="",E110="",F110="",K110="",O110&lt;=0,P110&lt;=0,Q110&lt;=0,R110&lt;=0,S110&lt;0,T110&lt;=0,Y110="",Z110=""),"错误:必填项","OK")))</x:f>
        <x:v>OK</x:v>
      </x:c>
    </x:row>
    <x:row r="111" ht="39.599998474121094" hidden="1" customHeight="1">
      <x:c r="A111" s="3" t="s">
        <x:v>535</x:v>
      </x:c>
      <x:c r="B111" s="3" t="s">
        <x:v>147</x:v>
      </x:c>
      <x:c r="C111" s="3" t="s">
        <x:v>536</x:v>
      </x:c>
      <x:c r="D111" s="3" t="s">
        <x:v>244</x:v>
      </x:c>
      <x:c r="E111" s="3" t="s">
        <x:v>258</x:v>
      </x:c>
      <x:c r="F111" s="3" t="s">
        <x:v>331</x:v>
      </x:c>
      <x:c r="G111" s="3" t="s">
        <x:v>319</x:v>
      </x:c>
      <x:c r="H111" s="3" t="s">
        <x:v>319</x:v>
      </x:c>
      <x:c r="I111" s="3" t="s">
        <x:v>319</x:v>
      </x:c>
      <x:c r="J111" s="3" t="s">
        <x:v>320</x:v>
      </x:c>
      <x:c r="K111" s="3" t="s">
        <x:v>150</x:v>
      </x:c>
      <x:c r="L111" s="37" t="s">
        <x:v>537</x:v>
      </x:c>
      <x:c r="M111" s="37" t="s">
        <x:v>319</x:v>
      </x:c>
      <x:c r="N111" s="37" t="s">
        <x:v>319</x:v>
      </x:c>
      <x:c r="O111" s="36" t="s">
        <x:v>537</x:v>
      </x:c>
      <x:c r="P111" s="37" t="s">
        <x:v>151</x:v>
      </x:c>
      <x:c r="Q111" s="37" t="s">
        <x:v>151</x:v>
      </x:c>
      <x:c r="R111" s="37" t="s">
        <x:v>151</x:v>
      </x:c>
      <x:c r="S111" s="37" t="s">
        <x:v>152</x:v>
      </x:c>
      <x:c r="T111" s="36" t="s">
        <x:v>322</x:v>
      </x:c>
      <x:c r="U111" s="36" t="n">
        <x:f>IFERROR(O111*P111*Q111/R111*(1+S111)*T111,"")</x:f>
        <x:v>0.5452054794520548</x:v>
      </x:c>
      <x:c r="V111" s="33" t="s">
        <x:v>333</x:v>
      </x:c>
      <x:c r="W111" s="30">
        <x:v>46236.78357621528</x:v>
      </x:c>
      <x:c r="X111" s="30"/>
      <x:c r="Y111" s="3" t="s">
        <x:v>224</x:v>
      </x:c>
      <x:c r="Z111" s="3" t="s">
        <x:v>155</x:v>
      </x:c>
      <x:c r="AA111" s="17" t="s">
        <x:v>538</x:v>
      </x:c>
      <x:c r="AB111" s="33" t="str">
        <x:f>IF(A111="","",IF(COUNTIF($A$5:$A$1004,A111)&gt;1,"错误:重复成本规则ID",IF(OR(B111="",C111="",D111="",E111="",F111="",K111="",O111&lt;=0,P111&lt;=0,Q111&lt;=0,R111&lt;=0,S111&lt;0,T111&lt;=0,Y111="",Z111=""),"错误:必填项","OK")))</x:f>
        <x:v>OK</x:v>
      </x:c>
    </x:row>
    <x:row r="112" ht="52.79999923706055" hidden="1" customHeight="1">
      <x:c r="A112" s="3" t="s">
        <x:v>539</x:v>
      </x:c>
      <x:c r="B112" s="3" t="s">
        <x:v>147</x:v>
      </x:c>
      <x:c r="C112" s="3" t="s">
        <x:v>536</x:v>
      </x:c>
      <x:c r="D112" s="3" t="s">
        <x:v>244</x:v>
      </x:c>
      <x:c r="E112" s="3" t="s">
        <x:v>264</x:v>
      </x:c>
      <x:c r="F112" s="3" t="s">
        <x:v>331</x:v>
      </x:c>
      <x:c r="G112" s="3" t="s">
        <x:v>319</x:v>
      </x:c>
      <x:c r="H112" s="3" t="s">
        <x:v>319</x:v>
      </x:c>
      <x:c r="I112" s="3" t="s">
        <x:v>319</x:v>
      </x:c>
      <x:c r="J112" s="3" t="s">
        <x:v>320</x:v>
      </x:c>
      <x:c r="K112" s="3" t="s">
        <x:v>150</x:v>
      </x:c>
      <x:c r="L112" s="37" t="s">
        <x:v>537</x:v>
      </x:c>
      <x:c r="M112" s="37" t="s">
        <x:v>319</x:v>
      </x:c>
      <x:c r="N112" s="37" t="s">
        <x:v>319</x:v>
      </x:c>
      <x:c r="O112" s="36" t="s">
        <x:v>537</x:v>
      </x:c>
      <x:c r="P112" s="37" t="s">
        <x:v>151</x:v>
      </x:c>
      <x:c r="Q112" s="37" t="s">
        <x:v>151</x:v>
      </x:c>
      <x:c r="R112" s="37" t="s">
        <x:v>151</x:v>
      </x:c>
      <x:c r="S112" s="37" t="s">
        <x:v>152</x:v>
      </x:c>
      <x:c r="T112" s="36" t="s">
        <x:v>322</x:v>
      </x:c>
      <x:c r="U112" s="36" t="n">
        <x:f>IFERROR(O112*P112*Q112/R112*(1+S112)*T112,"")</x:f>
        <x:v>0.5452054794520548</x:v>
      </x:c>
      <x:c r="V112" s="33" t="s">
        <x:v>333</x:v>
      </x:c>
      <x:c r="W112" s="30">
        <x:v>46236.78357621528</x:v>
      </x:c>
      <x:c r="X112" s="30"/>
      <x:c r="Y112" s="3" t="s">
        <x:v>224</x:v>
      </x:c>
      <x:c r="Z112" s="3" t="s">
        <x:v>155</x:v>
      </x:c>
      <x:c r="AA112" s="17" t="s">
        <x:v>538</x:v>
      </x:c>
      <x:c r="AB112" s="33" t="str">
        <x:f>IF(A112="","",IF(COUNTIF($A$5:$A$1004,A112)&gt;1,"错误:重复成本规则ID",IF(OR(B112="",C112="",D112="",E112="",F112="",K112="",O112&lt;=0,P112&lt;=0,Q112&lt;=0,R112&lt;=0,S112&lt;0,T112&lt;=0,Y112="",Z112=""),"错误:必填项","OK")))</x:f>
        <x:v>OK</x:v>
      </x:c>
    </x:row>
    <x:row r="113" ht="52.79999923706055" hidden="1" customHeight="1">
      <x:c r="A113" s="3" t="s">
        <x:v>540</x:v>
      </x:c>
      <x:c r="B113" s="3" t="s">
        <x:v>147</x:v>
      </x:c>
      <x:c r="C113" s="3" t="s">
        <x:v>541</x:v>
      </x:c>
      <x:c r="D113" s="3" t="s">
        <x:v>238</x:v>
      </x:c>
      <x:c r="E113" s="3" t="s">
        <x:v>258</x:v>
      </x:c>
      <x:c r="F113" s="3" t="s">
        <x:v>331</x:v>
      </x:c>
      <x:c r="G113" s="3" t="s">
        <x:v>319</x:v>
      </x:c>
      <x:c r="H113" s="3" t="s">
        <x:v>319</x:v>
      </x:c>
      <x:c r="I113" s="3" t="s">
        <x:v>319</x:v>
      </x:c>
      <x:c r="J113" s="3" t="s">
        <x:v>320</x:v>
      </x:c>
      <x:c r="K113" s="3" t="s">
        <x:v>150</x:v>
      </x:c>
      <x:c r="L113" s="37" t="s">
        <x:v>537</x:v>
      </x:c>
      <x:c r="M113" s="37" t="s">
        <x:v>319</x:v>
      </x:c>
      <x:c r="N113" s="37" t="s">
        <x:v>319</x:v>
      </x:c>
      <x:c r="O113" s="36" t="s">
        <x:v>537</x:v>
      </x:c>
      <x:c r="P113" s="37" t="s">
        <x:v>151</x:v>
      </x:c>
      <x:c r="Q113" s="37" t="s">
        <x:v>151</x:v>
      </x:c>
      <x:c r="R113" s="37" t="s">
        <x:v>151</x:v>
      </x:c>
      <x:c r="S113" s="37" t="s">
        <x:v>152</x:v>
      </x:c>
      <x:c r="T113" s="36" t="s">
        <x:v>322</x:v>
      </x:c>
      <x:c r="U113" s="36" t="n">
        <x:f>IFERROR(O113*P113*Q113/R113*(1+S113)*T113,"")</x:f>
        <x:v>0.5452054794520548</x:v>
      </x:c>
      <x:c r="V113" s="33" t="s">
        <x:v>333</x:v>
      </x:c>
      <x:c r="W113" s="30">
        <x:v>46236.78357621528</x:v>
      </x:c>
      <x:c r="X113" s="30"/>
      <x:c r="Y113" s="3" t="s">
        <x:v>224</x:v>
      </x:c>
      <x:c r="Z113" s="3" t="s">
        <x:v>155</x:v>
      </x:c>
      <x:c r="AA113" s="17" t="s">
        <x:v>542</x:v>
      </x:c>
      <x:c r="AB113" s="33" t="str">
        <x:f>IF(A113="","",IF(COUNTIF($A$5:$A$1004,A113)&gt;1,"错误:重复成本规则ID",IF(OR(B113="",C113="",D113="",E113="",F113="",K113="",O113&lt;=0,P113&lt;=0,Q113&lt;=0,R113&lt;=0,S113&lt;0,T113&lt;=0,Y113="",Z113=""),"错误:必填项","OK")))</x:f>
        <x:v>OK</x:v>
      </x:c>
    </x:row>
    <x:row r="114" ht="52.79999923706055" hidden="1" customHeight="1">
      <x:c r="A114" s="3" t="s">
        <x:v>543</x:v>
      </x:c>
      <x:c r="B114" s="3" t="s">
        <x:v>147</x:v>
      </x:c>
      <x:c r="C114" s="3" t="s">
        <x:v>541</x:v>
      </x:c>
      <x:c r="D114" s="3" t="s">
        <x:v>238</x:v>
      </x:c>
      <x:c r="E114" s="3" t="s">
        <x:v>264</x:v>
      </x:c>
      <x:c r="F114" s="3" t="s">
        <x:v>331</x:v>
      </x:c>
      <x:c r="G114" s="3" t="s">
        <x:v>319</x:v>
      </x:c>
      <x:c r="H114" s="3" t="s">
        <x:v>319</x:v>
      </x:c>
      <x:c r="I114" s="3" t="s">
        <x:v>319</x:v>
      </x:c>
      <x:c r="J114" s="3" t="s">
        <x:v>320</x:v>
      </x:c>
      <x:c r="K114" s="3" t="s">
        <x:v>150</x:v>
      </x:c>
      <x:c r="L114" s="37" t="s">
        <x:v>537</x:v>
      </x:c>
      <x:c r="M114" s="37" t="s">
        <x:v>319</x:v>
      </x:c>
      <x:c r="N114" s="37" t="s">
        <x:v>319</x:v>
      </x:c>
      <x:c r="O114" s="36" t="s">
        <x:v>537</x:v>
      </x:c>
      <x:c r="P114" s="37" t="s">
        <x:v>151</x:v>
      </x:c>
      <x:c r="Q114" s="37" t="s">
        <x:v>151</x:v>
      </x:c>
      <x:c r="R114" s="37" t="s">
        <x:v>151</x:v>
      </x:c>
      <x:c r="S114" s="37" t="s">
        <x:v>152</x:v>
      </x:c>
      <x:c r="T114" s="36" t="s">
        <x:v>322</x:v>
      </x:c>
      <x:c r="U114" s="36" t="n">
        <x:f>IFERROR(O114*P114*Q114/R114*(1+S114)*T114,"")</x:f>
        <x:v>0.5452054794520548</x:v>
      </x:c>
      <x:c r="V114" s="33" t="s">
        <x:v>333</x:v>
      </x:c>
      <x:c r="W114" s="30">
        <x:v>46236.78357621528</x:v>
      </x:c>
      <x:c r="X114" s="30"/>
      <x:c r="Y114" s="3" t="s">
        <x:v>224</x:v>
      </x:c>
      <x:c r="Z114" s="3" t="s">
        <x:v>155</x:v>
      </x:c>
      <x:c r="AA114" s="17" t="s">
        <x:v>542</x:v>
      </x:c>
      <x:c r="AB114" s="33" t="str">
        <x:f>IF(A114="","",IF(COUNTIF($A$5:$A$1004,A114)&gt;1,"错误:重复成本规则ID",IF(OR(B114="",C114="",D114="",E114="",F114="",K114="",O114&lt;=0,P114&lt;=0,Q114&lt;=0,R114&lt;=0,S114&lt;0,T114&lt;=0,Y114="",Z114=""),"错误:必填项","OK")))</x:f>
        <x:v>OK</x:v>
      </x:c>
    </x:row>
    <x:row r="115" ht="52.79999923706055" hidden="1" customHeight="1">
      <x:c r="A115" s="3" t="s">
        <x:v>544</x:v>
      </x:c>
      <x:c r="B115" s="3" t="s">
        <x:v>147</x:v>
      </x:c>
      <x:c r="C115" s="3" t="s">
        <x:v>545</x:v>
      </x:c>
      <x:c r="D115" s="3" t="s">
        <x:v>232</x:v>
      </x:c>
      <x:c r="E115" s="3" t="s">
        <x:v>258</x:v>
      </x:c>
      <x:c r="F115" s="3" t="s">
        <x:v>331</x:v>
      </x:c>
      <x:c r="G115" s="3" t="s">
        <x:v>319</x:v>
      </x:c>
      <x:c r="H115" s="3" t="s">
        <x:v>319</x:v>
      </x:c>
      <x:c r="I115" s="3" t="s">
        <x:v>319</x:v>
      </x:c>
      <x:c r="J115" s="3" t="s">
        <x:v>320</x:v>
      </x:c>
      <x:c r="K115" s="3" t="s">
        <x:v>150</x:v>
      </x:c>
      <x:c r="L115" s="37" t="s">
        <x:v>527</x:v>
      </x:c>
      <x:c r="M115" s="37" t="s">
        <x:v>319</x:v>
      </x:c>
      <x:c r="N115" s="37" t="s">
        <x:v>319</x:v>
      </x:c>
      <x:c r="O115" s="36" t="s">
        <x:v>527</x:v>
      </x:c>
      <x:c r="P115" s="37" t="s">
        <x:v>151</x:v>
      </x:c>
      <x:c r="Q115" s="37" t="s">
        <x:v>151</x:v>
      </x:c>
      <x:c r="R115" s="37" t="s">
        <x:v>151</x:v>
      </x:c>
      <x:c r="S115" s="37" t="s">
        <x:v>152</x:v>
      </x:c>
      <x:c r="T115" s="36" t="s">
        <x:v>322</x:v>
      </x:c>
      <x:c r="U115" s="36" t="n">
        <x:f>IFERROR(O115*P115*Q115/R115*(1+S115)*T115,"")</x:f>
        <x:v>0.6821917808219178</x:v>
      </x:c>
      <x:c r="V115" s="33" t="s">
        <x:v>333</x:v>
      </x:c>
      <x:c r="W115" s="30">
        <x:v>46236.78357621528</x:v>
      </x:c>
      <x:c r="X115" s="30"/>
      <x:c r="Y115" s="3" t="s">
        <x:v>224</x:v>
      </x:c>
      <x:c r="Z115" s="3" t="s">
        <x:v>155</x:v>
      </x:c>
      <x:c r="AA115" s="17" t="s">
        <x:v>546</x:v>
      </x:c>
      <x:c r="AB115" s="33" t="str">
        <x:f>IF(A115="","",IF(COUNTIF($A$5:$A$1004,A115)&gt;1,"错误:重复成本规则ID",IF(OR(B115="",C115="",D115="",E115="",F115="",K115="",O115&lt;=0,P115&lt;=0,Q115&lt;=0,R115&lt;=0,S115&lt;0,T115&lt;=0,Y115="",Z115=""),"错误:必填项","OK")))</x:f>
        <x:v>OK</x:v>
      </x:c>
    </x:row>
    <x:row r="116" ht="52.79999923706055" hidden="1" customHeight="1">
      <x:c r="A116" s="3" t="s">
        <x:v>547</x:v>
      </x:c>
      <x:c r="B116" s="3" t="s">
        <x:v>147</x:v>
      </x:c>
      <x:c r="C116" s="3" t="s">
        <x:v>545</x:v>
      </x:c>
      <x:c r="D116" s="3" t="s">
        <x:v>232</x:v>
      </x:c>
      <x:c r="E116" s="3" t="s">
        <x:v>264</x:v>
      </x:c>
      <x:c r="F116" s="3" t="s">
        <x:v>331</x:v>
      </x:c>
      <x:c r="G116" s="3" t="s">
        <x:v>319</x:v>
      </x:c>
      <x:c r="H116" s="3" t="s">
        <x:v>319</x:v>
      </x:c>
      <x:c r="I116" s="3" t="s">
        <x:v>319</x:v>
      </x:c>
      <x:c r="J116" s="3" t="s">
        <x:v>320</x:v>
      </x:c>
      <x:c r="K116" s="3" t="s">
        <x:v>150</x:v>
      </x:c>
      <x:c r="L116" s="37" t="s">
        <x:v>527</x:v>
      </x:c>
      <x:c r="M116" s="37" t="s">
        <x:v>319</x:v>
      </x:c>
      <x:c r="N116" s="37" t="s">
        <x:v>319</x:v>
      </x:c>
      <x:c r="O116" s="36" t="s">
        <x:v>527</x:v>
      </x:c>
      <x:c r="P116" s="37" t="s">
        <x:v>151</x:v>
      </x:c>
      <x:c r="Q116" s="37" t="s">
        <x:v>151</x:v>
      </x:c>
      <x:c r="R116" s="37" t="s">
        <x:v>151</x:v>
      </x:c>
      <x:c r="S116" s="37" t="s">
        <x:v>152</x:v>
      </x:c>
      <x:c r="T116" s="36" t="s">
        <x:v>322</x:v>
      </x:c>
      <x:c r="U116" s="36" t="n">
        <x:f>IFERROR(O116*P116*Q116/R116*(1+S116)*T116,"")</x:f>
        <x:v>0.6821917808219178</x:v>
      </x:c>
      <x:c r="V116" s="33" t="s">
        <x:v>333</x:v>
      </x:c>
      <x:c r="W116" s="30">
        <x:v>46236.78357621528</x:v>
      </x:c>
      <x:c r="X116" s="30"/>
      <x:c r="Y116" s="3" t="s">
        <x:v>224</x:v>
      </x:c>
      <x:c r="Z116" s="3" t="s">
        <x:v>155</x:v>
      </x:c>
      <x:c r="AA116" s="17" t="s">
        <x:v>546</x:v>
      </x:c>
      <x:c r="AB116" s="33" t="str">
        <x:f>IF(A116="","",IF(COUNTIF($A$5:$A$1004,A116)&gt;1,"错误:重复成本规则ID",IF(OR(B116="",C116="",D116="",E116="",F116="",K116="",O116&lt;=0,P116&lt;=0,Q116&lt;=0,R116&lt;=0,S116&lt;0,T116&lt;=0,Y116="",Z116=""),"错误:必填项","OK")))</x:f>
        <x:v>OK</x:v>
      </x:c>
    </x:row>
    <x:row r="117" ht="52.79999923706055" hidden="1" customHeight="1">
      <x:c r="A117" s="3" t="s">
        <x:v>548</x:v>
      </x:c>
      <x:c r="B117" s="3" t="s">
        <x:v>147</x:v>
      </x:c>
      <x:c r="C117" s="3" t="s">
        <x:v>549</x:v>
      </x:c>
      <x:c r="D117" s="3" t="s">
        <x:v>234</x:v>
      </x:c>
      <x:c r="E117" s="3" t="s">
        <x:v>258</x:v>
      </x:c>
      <x:c r="F117" s="3" t="s">
        <x:v>318</x:v>
      </x:c>
      <x:c r="G117" s="3" t="s">
        <x:v>319</x:v>
      </x:c>
      <x:c r="H117" s="3" t="s">
        <x:v>319</x:v>
      </x:c>
      <x:c r="I117" s="3" t="s">
        <x:v>319</x:v>
      </x:c>
      <x:c r="J117" s="3" t="s">
        <x:v>320</x:v>
      </x:c>
      <x:c r="K117" s="3" t="s">
        <x:v>150</x:v>
      </x:c>
      <x:c r="L117" s="37" t="s">
        <x:v>319</x:v>
      </x:c>
      <x:c r="M117" s="37" t="s">
        <x:v>550</x:v>
      </x:c>
      <x:c r="N117" s="37" t="s">
        <x:v>319</x:v>
      </x:c>
      <x:c r="O117" s="36" t="s">
        <x:v>550</x:v>
      </x:c>
      <x:c r="P117" s="37" t="s">
        <x:v>151</x:v>
      </x:c>
      <x:c r="Q117" s="37" t="s">
        <x:v>151</x:v>
      </x:c>
      <x:c r="R117" s="37" t="s">
        <x:v>151</x:v>
      </x:c>
      <x:c r="S117" s="37" t="s">
        <x:v>152</x:v>
      </x:c>
      <x:c r="T117" s="36" t="s">
        <x:v>322</x:v>
      </x:c>
      <x:c r="U117" s="36" t="n">
        <x:f>IFERROR(O117*P117*Q117/R117*(1+S117)*T117,"")</x:f>
        <x:v>0.04082191780821917</x:v>
      </x:c>
      <x:c r="V117" s="33" t="s">
        <x:v>323</x:v>
      </x:c>
      <x:c r="W117" s="30">
        <x:v>46236.78357621528</x:v>
      </x:c>
      <x:c r="X117" s="30"/>
      <x:c r="Y117" s="3" t="s">
        <x:v>224</x:v>
      </x:c>
      <x:c r="Z117" s="3" t="s">
        <x:v>155</x:v>
      </x:c>
      <x:c r="AA117" s="17" t="s">
        <x:v>551</x:v>
      </x:c>
      <x:c r="AB117" s="33" t="str">
        <x:f>IF(A117="","",IF(COUNTIF($A$5:$A$1004,A117)&gt;1,"错误:重复成本规则ID",IF(OR(B117="",C117="",D117="",E117="",F117="",K117="",O117&lt;=0,P117&lt;=0,Q117&lt;=0,R117&lt;=0,S117&lt;0,T117&lt;=0,Y117="",Z117=""),"错误:必填项","OK")))</x:f>
        <x:v>OK</x:v>
      </x:c>
    </x:row>
    <x:row r="118" ht="52.79999923706055" hidden="1" customHeight="1">
      <x:c r="A118" s="3" t="s">
        <x:v>552</x:v>
      </x:c>
      <x:c r="B118" s="3" t="s">
        <x:v>147</x:v>
      </x:c>
      <x:c r="C118" s="3" t="s">
        <x:v>549</x:v>
      </x:c>
      <x:c r="D118" s="3" t="s">
        <x:v>234</x:v>
      </x:c>
      <x:c r="E118" s="3" t="s">
        <x:v>264</x:v>
      </x:c>
      <x:c r="F118" s="3" t="s">
        <x:v>318</x:v>
      </x:c>
      <x:c r="G118" s="3" t="s">
        <x:v>319</x:v>
      </x:c>
      <x:c r="H118" s="3" t="s">
        <x:v>319</x:v>
      </x:c>
      <x:c r="I118" s="3" t="s">
        <x:v>319</x:v>
      </x:c>
      <x:c r="J118" s="3" t="s">
        <x:v>320</x:v>
      </x:c>
      <x:c r="K118" s="3" t="s">
        <x:v>150</x:v>
      </x:c>
      <x:c r="L118" s="37" t="s">
        <x:v>319</x:v>
      </x:c>
      <x:c r="M118" s="37" t="s">
        <x:v>550</x:v>
      </x:c>
      <x:c r="N118" s="37" t="s">
        <x:v>319</x:v>
      </x:c>
      <x:c r="O118" s="36" t="s">
        <x:v>550</x:v>
      </x:c>
      <x:c r="P118" s="37" t="s">
        <x:v>151</x:v>
      </x:c>
      <x:c r="Q118" s="37" t="s">
        <x:v>151</x:v>
      </x:c>
      <x:c r="R118" s="37" t="s">
        <x:v>151</x:v>
      </x:c>
      <x:c r="S118" s="37" t="s">
        <x:v>152</x:v>
      </x:c>
      <x:c r="T118" s="36" t="s">
        <x:v>322</x:v>
      </x:c>
      <x:c r="U118" s="36" t="n">
        <x:f>IFERROR(O118*P118*Q118/R118*(1+S118)*T118,"")</x:f>
        <x:v>0.04082191780821917</x:v>
      </x:c>
      <x:c r="V118" s="33" t="s">
        <x:v>323</x:v>
      </x:c>
      <x:c r="W118" s="30">
        <x:v>46236.78357621528</x:v>
      </x:c>
      <x:c r="X118" s="30"/>
      <x:c r="Y118" s="3" t="s">
        <x:v>224</x:v>
      </x:c>
      <x:c r="Z118" s="3" t="s">
        <x:v>155</x:v>
      </x:c>
      <x:c r="AA118" s="17" t="s">
        <x:v>551</x:v>
      </x:c>
      <x:c r="AB118" s="33" t="str">
        <x:f>IF(A118="","",IF(COUNTIF($A$5:$A$1004,A118)&gt;1,"错误:重复成本规则ID",IF(OR(B118="",C118="",D118="",E118="",F118="",K118="",O118&lt;=0,P118&lt;=0,Q118&lt;=0,R118&lt;=0,S118&lt;0,T118&lt;=0,Y118="",Z118=""),"错误:必填项","OK")))</x:f>
        <x:v>OK</x:v>
      </x:c>
    </x:row>
    <x:row r="119" ht="52.79999923706055" hidden="1" customHeight="1">
      <x:c r="A119" s="3" t="s">
        <x:v>553</x:v>
      </x:c>
      <x:c r="B119" s="3" t="s">
        <x:v>147</x:v>
      </x:c>
      <x:c r="C119" s="3" t="s">
        <x:v>554</x:v>
      </x:c>
      <x:c r="D119" s="3" t="s">
        <x:v>227</x:v>
      </x:c>
      <x:c r="E119" s="3" t="s">
        <x:v>258</x:v>
      </x:c>
      <x:c r="F119" s="3" t="s">
        <x:v>318</x:v>
      </x:c>
      <x:c r="G119" s="3" t="s">
        <x:v>319</x:v>
      </x:c>
      <x:c r="H119" s="3" t="s">
        <x:v>319</x:v>
      </x:c>
      <x:c r="I119" s="3" t="s">
        <x:v>319</x:v>
      </x:c>
      <x:c r="J119" s="3" t="s">
        <x:v>320</x:v>
      </x:c>
      <x:c r="K119" s="3" t="s">
        <x:v>150</x:v>
      </x:c>
      <x:c r="L119" s="37" t="s">
        <x:v>319</x:v>
      </x:c>
      <x:c r="M119" s="37" t="s">
        <x:v>555</x:v>
      </x:c>
      <x:c r="N119" s="37" t="s">
        <x:v>319</x:v>
      </x:c>
      <x:c r="O119" s="36" t="s">
        <x:v>555</x:v>
      </x:c>
      <x:c r="P119" s="37" t="s">
        <x:v>151</x:v>
      </x:c>
      <x:c r="Q119" s="37" t="s">
        <x:v>151</x:v>
      </x:c>
      <x:c r="R119" s="37" t="s">
        <x:v>151</x:v>
      </x:c>
      <x:c r="S119" s="37" t="s">
        <x:v>152</x:v>
      </x:c>
      <x:c r="T119" s="36" t="s">
        <x:v>322</x:v>
      </x:c>
      <x:c r="U119" s="36" t="n">
        <x:f>IFERROR(O119*P119*Q119/R119*(1+S119)*T119,"")</x:f>
        <x:v>0.0463013698630137</x:v>
      </x:c>
      <x:c r="V119" s="33" t="s">
        <x:v>323</x:v>
      </x:c>
      <x:c r="W119" s="30">
        <x:v>46236.78357621528</x:v>
      </x:c>
      <x:c r="X119" s="30"/>
      <x:c r="Y119" s="3" t="s">
        <x:v>224</x:v>
      </x:c>
      <x:c r="Z119" s="3" t="s">
        <x:v>155</x:v>
      </x:c>
      <x:c r="AA119" s="17" t="s">
        <x:v>556</x:v>
      </x:c>
      <x:c r="AB119" s="33" t="str">
        <x:f>IF(A119="","",IF(COUNTIF($A$5:$A$1004,A119)&gt;1,"错误:重复成本规则ID",IF(OR(B119="",C119="",D119="",E119="",F119="",K119="",O119&lt;=0,P119&lt;=0,Q119&lt;=0,R119&lt;=0,S119&lt;0,T119&lt;=0,Y119="",Z119=""),"错误:必填项","OK")))</x:f>
        <x:v>OK</x:v>
      </x:c>
    </x:row>
    <x:row r="120" ht="66" hidden="1" customHeight="1">
      <x:c r="A120" s="3" t="s">
        <x:v>557</x:v>
      </x:c>
      <x:c r="B120" s="3" t="s">
        <x:v>147</x:v>
      </x:c>
      <x:c r="C120" s="3" t="s">
        <x:v>554</x:v>
      </x:c>
      <x:c r="D120" s="3" t="s">
        <x:v>227</x:v>
      </x:c>
      <x:c r="E120" s="3" t="s">
        <x:v>264</x:v>
      </x:c>
      <x:c r="F120" s="3" t="s">
        <x:v>318</x:v>
      </x:c>
      <x:c r="G120" s="3" t="s">
        <x:v>319</x:v>
      </x:c>
      <x:c r="H120" s="3" t="s">
        <x:v>319</x:v>
      </x:c>
      <x:c r="I120" s="3" t="s">
        <x:v>319</x:v>
      </x:c>
      <x:c r="J120" s="3" t="s">
        <x:v>320</x:v>
      </x:c>
      <x:c r="K120" s="3" t="s">
        <x:v>150</x:v>
      </x:c>
      <x:c r="L120" s="37" t="s">
        <x:v>319</x:v>
      </x:c>
      <x:c r="M120" s="37" t="s">
        <x:v>555</x:v>
      </x:c>
      <x:c r="N120" s="37" t="s">
        <x:v>319</x:v>
      </x:c>
      <x:c r="O120" s="36" t="s">
        <x:v>555</x:v>
      </x:c>
      <x:c r="P120" s="37" t="s">
        <x:v>151</x:v>
      </x:c>
      <x:c r="Q120" s="37" t="s">
        <x:v>151</x:v>
      </x:c>
      <x:c r="R120" s="37" t="s">
        <x:v>151</x:v>
      </x:c>
      <x:c r="S120" s="37" t="s">
        <x:v>152</x:v>
      </x:c>
      <x:c r="T120" s="36" t="s">
        <x:v>322</x:v>
      </x:c>
      <x:c r="U120" s="36" t="n">
        <x:f>IFERROR(O120*P120*Q120/R120*(1+S120)*T120,"")</x:f>
        <x:v>0.0463013698630137</x:v>
      </x:c>
      <x:c r="V120" s="33" t="s">
        <x:v>323</x:v>
      </x:c>
      <x:c r="W120" s="30">
        <x:v>46236.78357621528</x:v>
      </x:c>
      <x:c r="X120" s="30"/>
      <x:c r="Y120" s="3" t="s">
        <x:v>224</x:v>
      </x:c>
      <x:c r="Z120" s="3" t="s">
        <x:v>155</x:v>
      </x:c>
      <x:c r="AA120" s="17" t="s">
        <x:v>556</x:v>
      </x:c>
      <x:c r="AB120" s="33" t="str">
        <x:f>IF(A120="","",IF(COUNTIF($A$5:$A$1004,A120)&gt;1,"错误:重复成本规则ID",IF(OR(B120="",C120="",D120="",E120="",F120="",K120="",O120&lt;=0,P120&lt;=0,Q120&lt;=0,R120&lt;=0,S120&lt;0,T120&lt;=0,Y120="",Z120=""),"错误:必填项","OK")))</x:f>
        <x:v>OK</x:v>
      </x:c>
    </x:row>
    <x:row r="121" ht="39.599998474121094" hidden="1" customHeight="1">
      <x:c r="A121" s="3" t="s">
        <x:v>558</x:v>
      </x:c>
      <x:c r="B121" s="3" t="s">
        <x:v>147</x:v>
      </x:c>
      <x:c r="C121" s="3" t="s">
        <x:v>559</x:v>
      </x:c>
      <x:c r="D121" s="3" t="s">
        <x:v>238</x:v>
      </x:c>
      <x:c r="E121" s="3" t="s">
        <x:v>258</x:v>
      </x:c>
      <x:c r="F121" s="3" t="s">
        <x:v>318</x:v>
      </x:c>
      <x:c r="G121" s="3" t="s">
        <x:v>319</x:v>
      </x:c>
      <x:c r="H121" s="3" t="s">
        <x:v>319</x:v>
      </x:c>
      <x:c r="I121" s="3" t="s">
        <x:v>319</x:v>
      </x:c>
      <x:c r="J121" s="3" t="s">
        <x:v>320</x:v>
      </x:c>
      <x:c r="K121" s="3" t="s">
        <x:v>150</x:v>
      </x:c>
      <x:c r="L121" s="37" t="s">
        <x:v>319</x:v>
      </x:c>
      <x:c r="M121" s="37" t="s">
        <x:v>560</x:v>
      </x:c>
      <x:c r="N121" s="37" t="s">
        <x:v>319</x:v>
      </x:c>
      <x:c r="O121" s="36" t="s">
        <x:v>560</x:v>
      </x:c>
      <x:c r="P121" s="37" t="s">
        <x:v>151</x:v>
      </x:c>
      <x:c r="Q121" s="37" t="s">
        <x:v>151</x:v>
      </x:c>
      <x:c r="R121" s="37" t="s">
        <x:v>151</x:v>
      </x:c>
      <x:c r="S121" s="37" t="s">
        <x:v>152</x:v>
      </x:c>
      <x:c r="T121" s="36" t="s">
        <x:v>322</x:v>
      </x:c>
      <x:c r="U121" s="36" t="n">
        <x:f>IFERROR(O121*P121*Q121/R121*(1+S121)*T121,"")</x:f>
        <x:v>0.07643835616438356</x:v>
      </x:c>
      <x:c r="V121" s="33" t="s">
        <x:v>323</x:v>
      </x:c>
      <x:c r="W121" s="30">
        <x:v>46236.78357621528</x:v>
      </x:c>
      <x:c r="X121" s="30"/>
      <x:c r="Y121" s="3" t="s">
        <x:v>224</x:v>
      </x:c>
      <x:c r="Z121" s="3" t="s">
        <x:v>155</x:v>
      </x:c>
      <x:c r="AA121" s="17" t="s">
        <x:v>561</x:v>
      </x:c>
      <x:c r="AB121" s="33" t="str">
        <x:f>IF(A121="","",IF(COUNTIF($A$5:$A$1004,A121)&gt;1,"错误:重复成本规则ID",IF(OR(B121="",C121="",D121="",E121="",F121="",K121="",O121&lt;=0,P121&lt;=0,Q121&lt;=0,R121&lt;=0,S121&lt;0,T121&lt;=0,Y121="",Z121=""),"错误:必填项","OK")))</x:f>
        <x:v>OK</x:v>
      </x:c>
    </x:row>
    <x:row r="122" ht="39.599998474121094" hidden="1" customHeight="1">
      <x:c r="A122" s="3" t="s">
        <x:v>562</x:v>
      </x:c>
      <x:c r="B122" s="3" t="s">
        <x:v>147</x:v>
      </x:c>
      <x:c r="C122" s="3" t="s">
        <x:v>559</x:v>
      </x:c>
      <x:c r="D122" s="3" t="s">
        <x:v>238</x:v>
      </x:c>
      <x:c r="E122" s="3" t="s">
        <x:v>264</x:v>
      </x:c>
      <x:c r="F122" s="3" t="s">
        <x:v>318</x:v>
      </x:c>
      <x:c r="G122" s="3" t="s">
        <x:v>319</x:v>
      </x:c>
      <x:c r="H122" s="3" t="s">
        <x:v>319</x:v>
      </x:c>
      <x:c r="I122" s="3" t="s">
        <x:v>319</x:v>
      </x:c>
      <x:c r="J122" s="3" t="s">
        <x:v>320</x:v>
      </x:c>
      <x:c r="K122" s="3" t="s">
        <x:v>150</x:v>
      </x:c>
      <x:c r="L122" s="37" t="s">
        <x:v>319</x:v>
      </x:c>
      <x:c r="M122" s="37" t="s">
        <x:v>560</x:v>
      </x:c>
      <x:c r="N122" s="37" t="s">
        <x:v>319</x:v>
      </x:c>
      <x:c r="O122" s="36" t="s">
        <x:v>560</x:v>
      </x:c>
      <x:c r="P122" s="37" t="s">
        <x:v>151</x:v>
      </x:c>
      <x:c r="Q122" s="37" t="s">
        <x:v>151</x:v>
      </x:c>
      <x:c r="R122" s="37" t="s">
        <x:v>151</x:v>
      </x:c>
      <x:c r="S122" s="37" t="s">
        <x:v>152</x:v>
      </x:c>
      <x:c r="T122" s="36" t="s">
        <x:v>322</x:v>
      </x:c>
      <x:c r="U122" s="36" t="n">
        <x:f>IFERROR(O122*P122*Q122/R122*(1+S122)*T122,"")</x:f>
        <x:v>0.07643835616438356</x:v>
      </x:c>
      <x:c r="V122" s="33" t="s">
        <x:v>323</x:v>
      </x:c>
      <x:c r="W122" s="30">
        <x:v>46236.78357621528</x:v>
      </x:c>
      <x:c r="X122" s="30"/>
      <x:c r="Y122" s="3" t="s">
        <x:v>224</x:v>
      </x:c>
      <x:c r="Z122" s="3" t="s">
        <x:v>155</x:v>
      </x:c>
      <x:c r="AA122" s="17" t="s">
        <x:v>561</x:v>
      </x:c>
      <x:c r="AB122" s="33" t="str">
        <x:f>IF(A122="","",IF(COUNTIF($A$5:$A$1004,A122)&gt;1,"错误:重复成本规则ID",IF(OR(B122="",C122="",D122="",E122="",F122="",K122="",O122&lt;=0,P122&lt;=0,Q122&lt;=0,R122&lt;=0,S122&lt;0,T122&lt;=0,Y122="",Z122=""),"错误:必填项","OK")))</x:f>
        <x:v>OK</x:v>
      </x:c>
    </x:row>
    <x:row r="123" ht="39.599998474121094" hidden="1" customHeight="1">
      <x:c r="A123" s="3" t="s">
        <x:v>563</x:v>
      </x:c>
      <x:c r="B123" s="3" t="s">
        <x:v>147</x:v>
      </x:c>
      <x:c r="C123" s="3" t="s">
        <x:v>564</x:v>
      </x:c>
      <x:c r="D123" s="3" t="s">
        <x:v>238</x:v>
      </x:c>
      <x:c r="E123" s="3" t="s">
        <x:v>258</x:v>
      </x:c>
      <x:c r="F123" s="3" t="s">
        <x:v>318</x:v>
      </x:c>
      <x:c r="G123" s="3" t="s">
        <x:v>319</x:v>
      </x:c>
      <x:c r="H123" s="3" t="s">
        <x:v>319</x:v>
      </x:c>
      <x:c r="I123" s="3" t="s">
        <x:v>319</x:v>
      </x:c>
      <x:c r="J123" s="3" t="s">
        <x:v>320</x:v>
      </x:c>
      <x:c r="K123" s="3" t="s">
        <x:v>150</x:v>
      </x:c>
      <x:c r="L123" s="37" t="s">
        <x:v>319</x:v>
      </x:c>
      <x:c r="M123" s="37" t="s">
        <x:v>565</x:v>
      </x:c>
      <x:c r="N123" s="37" t="s">
        <x:v>319</x:v>
      </x:c>
      <x:c r="O123" s="36" t="s">
        <x:v>565</x:v>
      </x:c>
      <x:c r="P123" s="37" t="s">
        <x:v>151</x:v>
      </x:c>
      <x:c r="Q123" s="37" t="s">
        <x:v>151</x:v>
      </x:c>
      <x:c r="R123" s="37" t="s">
        <x:v>151</x:v>
      </x:c>
      <x:c r="S123" s="37" t="s">
        <x:v>152</x:v>
      </x:c>
      <x:c r="T123" s="36" t="s">
        <x:v>322</x:v>
      </x:c>
      <x:c r="U123" s="36" t="n">
        <x:f>IFERROR(O123*P123*Q123/R123*(1+S123)*T123,"")</x:f>
        <x:v>0.08904109589041095</x:v>
      </x:c>
      <x:c r="V123" s="33" t="s">
        <x:v>323</x:v>
      </x:c>
      <x:c r="W123" s="30">
        <x:v>46236.78357621528</x:v>
      </x:c>
      <x:c r="X123" s="30"/>
      <x:c r="Y123" s="3" t="s">
        <x:v>224</x:v>
      </x:c>
      <x:c r="Z123" s="3" t="s">
        <x:v>155</x:v>
      </x:c>
      <x:c r="AA123" s="17" t="s">
        <x:v>566</x:v>
      </x:c>
      <x:c r="AB123" s="33" t="str">
        <x:f>IF(A123="","",IF(COUNTIF($A$5:$A$1004,A123)&gt;1,"错误:重复成本规则ID",IF(OR(B123="",C123="",D123="",E123="",F123="",K123="",O123&lt;=0,P123&lt;=0,Q123&lt;=0,R123&lt;=0,S123&lt;0,T123&lt;=0,Y123="",Z123=""),"错误:必填项","OK")))</x:f>
        <x:v>OK</x:v>
      </x:c>
    </x:row>
    <x:row r="124" ht="39.599998474121094" hidden="1" customHeight="1">
      <x:c r="A124" s="3" t="s">
        <x:v>567</x:v>
      </x:c>
      <x:c r="B124" s="3" t="s">
        <x:v>147</x:v>
      </x:c>
      <x:c r="C124" s="3" t="s">
        <x:v>564</x:v>
      </x:c>
      <x:c r="D124" s="3" t="s">
        <x:v>238</x:v>
      </x:c>
      <x:c r="E124" s="3" t="s">
        <x:v>264</x:v>
      </x:c>
      <x:c r="F124" s="3" t="s">
        <x:v>318</x:v>
      </x:c>
      <x:c r="G124" s="3" t="s">
        <x:v>319</x:v>
      </x:c>
      <x:c r="H124" s="3" t="s">
        <x:v>319</x:v>
      </x:c>
      <x:c r="I124" s="3" t="s">
        <x:v>319</x:v>
      </x:c>
      <x:c r="J124" s="3" t="s">
        <x:v>320</x:v>
      </x:c>
      <x:c r="K124" s="3" t="s">
        <x:v>150</x:v>
      </x:c>
      <x:c r="L124" s="37" t="s">
        <x:v>319</x:v>
      </x:c>
      <x:c r="M124" s="37" t="s">
        <x:v>565</x:v>
      </x:c>
      <x:c r="N124" s="37" t="s">
        <x:v>319</x:v>
      </x:c>
      <x:c r="O124" s="36" t="s">
        <x:v>565</x:v>
      </x:c>
      <x:c r="P124" s="37" t="s">
        <x:v>151</x:v>
      </x:c>
      <x:c r="Q124" s="37" t="s">
        <x:v>151</x:v>
      </x:c>
      <x:c r="R124" s="37" t="s">
        <x:v>151</x:v>
      </x:c>
      <x:c r="S124" s="37" t="s">
        <x:v>152</x:v>
      </x:c>
      <x:c r="T124" s="36" t="s">
        <x:v>322</x:v>
      </x:c>
      <x:c r="U124" s="36" t="n">
        <x:f>IFERROR(O124*P124*Q124/R124*(1+S124)*T124,"")</x:f>
        <x:v>0.08904109589041095</x:v>
      </x:c>
      <x:c r="V124" s="33" t="s">
        <x:v>323</x:v>
      </x:c>
      <x:c r="W124" s="30">
        <x:v>46236.78357621528</x:v>
      </x:c>
      <x:c r="X124" s="30"/>
      <x:c r="Y124" s="3" t="s">
        <x:v>224</x:v>
      </x:c>
      <x:c r="Z124" s="3" t="s">
        <x:v>155</x:v>
      </x:c>
      <x:c r="AA124" s="17" t="s">
        <x:v>566</x:v>
      </x:c>
      <x:c r="AB124" s="33" t="str">
        <x:f>IF(A124="","",IF(COUNTIF($A$5:$A$1004,A124)&gt;1,"错误:重复成本规则ID",IF(OR(B124="",C124="",D124="",E124="",F124="",K124="",O124&lt;=0,P124&lt;=0,Q124&lt;=0,R124&lt;=0,S124&lt;0,T124&lt;=0,Y124="",Z124=""),"错误:必填项","OK")))</x:f>
        <x:v>OK</x:v>
      </x:c>
    </x:row>
    <x:row r="125" ht="39.599998474121094" hidden="1" customHeight="1">
      <x:c r="A125" s="3" t="s">
        <x:v>568</x:v>
      </x:c>
      <x:c r="B125" s="3" t="s">
        <x:v>147</x:v>
      </x:c>
      <x:c r="C125" s="3" t="s">
        <x:v>569</x:v>
      </x:c>
      <x:c r="D125" s="3" t="s">
        <x:v>232</x:v>
      </x:c>
      <x:c r="E125" s="3" t="s">
        <x:v>258</x:v>
      </x:c>
      <x:c r="F125" s="3" t="s">
        <x:v>318</x:v>
      </x:c>
      <x:c r="G125" s="3" t="s">
        <x:v>319</x:v>
      </x:c>
      <x:c r="H125" s="3" t="s">
        <x:v>319</x:v>
      </x:c>
      <x:c r="I125" s="3" t="s">
        <x:v>319</x:v>
      </x:c>
      <x:c r="J125" s="3" t="s">
        <x:v>320</x:v>
      </x:c>
      <x:c r="K125" s="3" t="s">
        <x:v>150</x:v>
      </x:c>
      <x:c r="L125" s="37" t="s">
        <x:v>319</x:v>
      </x:c>
      <x:c r="M125" s="37" t="s">
        <x:v>507</x:v>
      </x:c>
      <x:c r="N125" s="37" t="s">
        <x:v>319</x:v>
      </x:c>
      <x:c r="O125" s="36" t="s">
        <x:v>507</x:v>
      </x:c>
      <x:c r="P125" s="37" t="s">
        <x:v>151</x:v>
      </x:c>
      <x:c r="Q125" s="37" t="s">
        <x:v>151</x:v>
      </x:c>
      <x:c r="R125" s="37" t="s">
        <x:v>151</x:v>
      </x:c>
      <x:c r="S125" s="37" t="s">
        <x:v>152</x:v>
      </x:c>
      <x:c r="T125" s="36" t="s">
        <x:v>322</x:v>
      </x:c>
      <x:c r="U125" s="36" t="n">
        <x:f>IFERROR(O125*P125*Q125/R125*(1+S125)*T125,"")</x:f>
        <x:v>0.10273972602739725</x:v>
      </x:c>
      <x:c r="V125" s="33" t="s">
        <x:v>323</x:v>
      </x:c>
      <x:c r="W125" s="30">
        <x:v>46236.78357621528</x:v>
      </x:c>
      <x:c r="X125" s="30"/>
      <x:c r="Y125" s="3" t="s">
        <x:v>224</x:v>
      </x:c>
      <x:c r="Z125" s="3" t="s">
        <x:v>155</x:v>
      </x:c>
      <x:c r="AA125" s="17" t="s">
        <x:v>570</x:v>
      </x:c>
      <x:c r="AB125" s="33" t="str">
        <x:f>IF(A125="","",IF(COUNTIF($A$5:$A$1004,A125)&gt;1,"错误:重复成本规则ID",IF(OR(B125="",C125="",D125="",E125="",F125="",K125="",O125&lt;=0,P125&lt;=0,Q125&lt;=0,R125&lt;=0,S125&lt;0,T125&lt;=0,Y125="",Z125=""),"错误:必填项","OK")))</x:f>
        <x:v>OK</x:v>
      </x:c>
    </x:row>
    <x:row r="126" ht="39.599998474121094" hidden="1" customHeight="1">
      <x:c r="A126" s="3" t="s">
        <x:v>571</x:v>
      </x:c>
      <x:c r="B126" s="3" t="s">
        <x:v>147</x:v>
      </x:c>
      <x:c r="C126" s="3" t="s">
        <x:v>569</x:v>
      </x:c>
      <x:c r="D126" s="3" t="s">
        <x:v>232</x:v>
      </x:c>
      <x:c r="E126" s="3" t="s">
        <x:v>264</x:v>
      </x:c>
      <x:c r="F126" s="3" t="s">
        <x:v>318</x:v>
      </x:c>
      <x:c r="G126" s="3" t="s">
        <x:v>319</x:v>
      </x:c>
      <x:c r="H126" s="3" t="s">
        <x:v>319</x:v>
      </x:c>
      <x:c r="I126" s="3" t="s">
        <x:v>319</x:v>
      </x:c>
      <x:c r="J126" s="3" t="s">
        <x:v>320</x:v>
      </x:c>
      <x:c r="K126" s="3" t="s">
        <x:v>150</x:v>
      </x:c>
      <x:c r="L126" s="37" t="s">
        <x:v>319</x:v>
      </x:c>
      <x:c r="M126" s="37" t="s">
        <x:v>507</x:v>
      </x:c>
      <x:c r="N126" s="37" t="s">
        <x:v>319</x:v>
      </x:c>
      <x:c r="O126" s="36" t="s">
        <x:v>507</x:v>
      </x:c>
      <x:c r="P126" s="37" t="s">
        <x:v>151</x:v>
      </x:c>
      <x:c r="Q126" s="37" t="s">
        <x:v>151</x:v>
      </x:c>
      <x:c r="R126" s="37" t="s">
        <x:v>151</x:v>
      </x:c>
      <x:c r="S126" s="37" t="s">
        <x:v>152</x:v>
      </x:c>
      <x:c r="T126" s="36" t="s">
        <x:v>322</x:v>
      </x:c>
      <x:c r="U126" s="36" t="n">
        <x:f>IFERROR(O126*P126*Q126/R126*(1+S126)*T126,"")</x:f>
        <x:v>0.10273972602739725</x:v>
      </x:c>
      <x:c r="V126" s="33" t="s">
        <x:v>323</x:v>
      </x:c>
      <x:c r="W126" s="30">
        <x:v>46236.78357621528</x:v>
      </x:c>
      <x:c r="X126" s="30"/>
      <x:c r="Y126" s="3" t="s">
        <x:v>224</x:v>
      </x:c>
      <x:c r="Z126" s="3" t="s">
        <x:v>155</x:v>
      </x:c>
      <x:c r="AA126" s="17" t="s">
        <x:v>570</x:v>
      </x:c>
      <x:c r="AB126" s="33" t="str">
        <x:f>IF(A126="","",IF(COUNTIF($A$5:$A$1004,A126)&gt;1,"错误:重复成本规则ID",IF(OR(B126="",C126="",D126="",E126="",F126="",K126="",O126&lt;=0,P126&lt;=0,Q126&lt;=0,R126&lt;=0,S126&lt;0,T126&lt;=0,Y126="",Z126=""),"错误:必填项","OK")))</x:f>
        <x:v>OK</x:v>
      </x:c>
    </x:row>
    <x:row r="127" ht="39.599998474121094" hidden="1" customHeight="1">
      <x:c r="A127" s="3" t="s">
        <x:v>572</x:v>
      </x:c>
      <x:c r="B127" s="3" t="s">
        <x:v>147</x:v>
      </x:c>
      <x:c r="C127" s="3" t="s">
        <x:v>573</x:v>
      </x:c>
      <x:c r="D127" s="3" t="s">
        <x:v>238</x:v>
      </x:c>
      <x:c r="E127" s="3" t="s">
        <x:v>258</x:v>
      </x:c>
      <x:c r="F127" s="3" t="s">
        <x:v>318</x:v>
      </x:c>
      <x:c r="G127" s="3" t="s">
        <x:v>319</x:v>
      </x:c>
      <x:c r="H127" s="3" t="s">
        <x:v>319</x:v>
      </x:c>
      <x:c r="I127" s="3" t="s">
        <x:v>319</x:v>
      </x:c>
      <x:c r="J127" s="3" t="s">
        <x:v>320</x:v>
      </x:c>
      <x:c r="K127" s="3" t="s">
        <x:v>150</x:v>
      </x:c>
      <x:c r="L127" s="37" t="s">
        <x:v>319</x:v>
      </x:c>
      <x:c r="M127" s="37" t="s">
        <x:v>574</x:v>
      </x:c>
      <x:c r="N127" s="37" t="s">
        <x:v>319</x:v>
      </x:c>
      <x:c r="O127" s="36" t="s">
        <x:v>574</x:v>
      </x:c>
      <x:c r="P127" s="37" t="s">
        <x:v>151</x:v>
      </x:c>
      <x:c r="Q127" s="37" t="s">
        <x:v>151</x:v>
      </x:c>
      <x:c r="R127" s="37" t="s">
        <x:v>151</x:v>
      </x:c>
      <x:c r="S127" s="37" t="s">
        <x:v>152</x:v>
      </x:c>
      <x:c r="T127" s="36" t="s">
        <x:v>322</x:v>
      </x:c>
      <x:c r="U127" s="36" t="n">
        <x:f>IFERROR(O127*P127*Q127/R127*(1+S127)*T127,"")</x:f>
        <x:v>0.18904109589041093</x:v>
      </x:c>
      <x:c r="V127" s="33" t="s">
        <x:v>323</x:v>
      </x:c>
      <x:c r="W127" s="30">
        <x:v>46236.78357621528</x:v>
      </x:c>
      <x:c r="X127" s="30"/>
      <x:c r="Y127" s="3" t="s">
        <x:v>224</x:v>
      </x:c>
      <x:c r="Z127" s="3" t="s">
        <x:v>155</x:v>
      </x:c>
      <x:c r="AA127" s="17" t="s">
        <x:v>575</x:v>
      </x:c>
      <x:c r="AB127" s="33" t="str">
        <x:f>IF(A127="","",IF(COUNTIF($A$5:$A$1004,A127)&gt;1,"错误:重复成本规则ID",IF(OR(B127="",C127="",D127="",E127="",F127="",K127="",O127&lt;=0,P127&lt;=0,Q127&lt;=0,R127&lt;=0,S127&lt;0,T127&lt;=0,Y127="",Z127=""),"错误:必填项","OK")))</x:f>
        <x:v>OK</x:v>
      </x:c>
    </x:row>
    <x:row r="128" ht="66" hidden="1" customHeight="1">
      <x:c r="A128" s="3" t="s">
        <x:v>576</x:v>
      </x:c>
      <x:c r="B128" s="3" t="s">
        <x:v>147</x:v>
      </x:c>
      <x:c r="C128" s="3" t="s">
        <x:v>573</x:v>
      </x:c>
      <x:c r="D128" s="3" t="s">
        <x:v>238</x:v>
      </x:c>
      <x:c r="E128" s="3" t="s">
        <x:v>264</x:v>
      </x:c>
      <x:c r="F128" s="3" t="s">
        <x:v>318</x:v>
      </x:c>
      <x:c r="G128" s="3" t="s">
        <x:v>319</x:v>
      </x:c>
      <x:c r="H128" s="3" t="s">
        <x:v>319</x:v>
      </x:c>
      <x:c r="I128" s="3" t="s">
        <x:v>319</x:v>
      </x:c>
      <x:c r="J128" s="3" t="s">
        <x:v>320</x:v>
      </x:c>
      <x:c r="K128" s="3" t="s">
        <x:v>150</x:v>
      </x:c>
      <x:c r="L128" s="37" t="s">
        <x:v>319</x:v>
      </x:c>
      <x:c r="M128" s="37" t="s">
        <x:v>574</x:v>
      </x:c>
      <x:c r="N128" s="37" t="s">
        <x:v>319</x:v>
      </x:c>
      <x:c r="O128" s="36" t="s">
        <x:v>574</x:v>
      </x:c>
      <x:c r="P128" s="37" t="s">
        <x:v>151</x:v>
      </x:c>
      <x:c r="Q128" s="37" t="s">
        <x:v>151</x:v>
      </x:c>
      <x:c r="R128" s="37" t="s">
        <x:v>151</x:v>
      </x:c>
      <x:c r="S128" s="37" t="s">
        <x:v>152</x:v>
      </x:c>
      <x:c r="T128" s="36" t="s">
        <x:v>322</x:v>
      </x:c>
      <x:c r="U128" s="36" t="n">
        <x:f>IFERROR(O128*P128*Q128/R128*(1+S128)*T128,"")</x:f>
        <x:v>0.18904109589041093</x:v>
      </x:c>
      <x:c r="V128" s="33" t="s">
        <x:v>323</x:v>
      </x:c>
      <x:c r="W128" s="30">
        <x:v>46236.78357621528</x:v>
      </x:c>
      <x:c r="X128" s="30"/>
      <x:c r="Y128" s="3" t="s">
        <x:v>224</x:v>
      </x:c>
      <x:c r="Z128" s="3" t="s">
        <x:v>155</x:v>
      </x:c>
      <x:c r="AA128" s="17" t="s">
        <x:v>575</x:v>
      </x:c>
      <x:c r="AB128" s="33" t="str">
        <x:f>IF(A128="","",IF(COUNTIF($A$5:$A$1004,A128)&gt;1,"错误:重复成本规则ID",IF(OR(B128="",C128="",D128="",E128="",F128="",K128="",O128&lt;=0,P128&lt;=0,Q128&lt;=0,R128&lt;=0,S128&lt;0,T128&lt;=0,Y128="",Z128=""),"错误:必填项","OK")))</x:f>
        <x:v>OK</x:v>
      </x:c>
    </x:row>
    <x:row r="129" ht="66" hidden="1" customHeight="1">
      <x:c r="A129" s="3" t="s">
        <x:v>577</x:v>
      </x:c>
      <x:c r="B129" s="3" t="s">
        <x:v>147</x:v>
      </x:c>
      <x:c r="C129" s="3" t="s">
        <x:v>578</x:v>
      </x:c>
      <x:c r="D129" s="3" t="s">
        <x:v>227</x:v>
      </x:c>
      <x:c r="E129" s="3" t="s">
        <x:v>258</x:v>
      </x:c>
      <x:c r="F129" s="3" t="s">
        <x:v>318</x:v>
      </x:c>
      <x:c r="G129" s="3" t="s">
        <x:v>319</x:v>
      </x:c>
      <x:c r="H129" s="3" t="s">
        <x:v>319</x:v>
      </x:c>
      <x:c r="I129" s="3" t="s">
        <x:v>319</x:v>
      </x:c>
      <x:c r="J129" s="3" t="s">
        <x:v>320</x:v>
      </x:c>
      <x:c r="K129" s="3" t="s">
        <x:v>150</x:v>
      </x:c>
      <x:c r="L129" s="37" t="s">
        <x:v>319</x:v>
      </x:c>
      <x:c r="M129" s="37" t="s">
        <x:v>579</x:v>
      </x:c>
      <x:c r="N129" s="37" t="s">
        <x:v>319</x:v>
      </x:c>
      <x:c r="O129" s="36" t="s">
        <x:v>579</x:v>
      </x:c>
      <x:c r="P129" s="37" t="s">
        <x:v>151</x:v>
      </x:c>
      <x:c r="Q129" s="37" t="s">
        <x:v>151</x:v>
      </x:c>
      <x:c r="R129" s="37" t="s">
        <x:v>151</x:v>
      </x:c>
      <x:c r="S129" s="37" t="s">
        <x:v>152</x:v>
      </x:c>
      <x:c r="T129" s="36" t="s">
        <x:v>322</x:v>
      </x:c>
      <x:c r="U129" s="36" t="n">
        <x:f>IFERROR(O129*P129*Q129/R129*(1+S129)*T129,"")</x:f>
        <x:v>0.03671232876712329</x:v>
      </x:c>
      <x:c r="V129" s="33" t="s">
        <x:v>323</x:v>
      </x:c>
      <x:c r="W129" s="30">
        <x:v>46236.78357621528</x:v>
      </x:c>
      <x:c r="X129" s="30"/>
      <x:c r="Y129" s="3" t="s">
        <x:v>224</x:v>
      </x:c>
      <x:c r="Z129" s="3" t="s">
        <x:v>155</x:v>
      </x:c>
      <x:c r="AA129" s="17" t="s">
        <x:v>580</x:v>
      </x:c>
      <x:c r="AB129" s="33" t="str">
        <x:f>IF(A129="","",IF(COUNTIF($A$5:$A$1004,A129)&gt;1,"错误:重复成本规则ID",IF(OR(B129="",C129="",D129="",E129="",F129="",K129="",O129&lt;=0,P129&lt;=0,Q129&lt;=0,R129&lt;=0,S129&lt;0,T129&lt;=0,Y129="",Z129=""),"错误:必填项","OK")))</x:f>
        <x:v>OK</x:v>
      </x:c>
    </x:row>
    <x:row r="130" ht="66" hidden="1" customHeight="1">
      <x:c r="A130" s="3" t="s">
        <x:v>581</x:v>
      </x:c>
      <x:c r="B130" s="3" t="s">
        <x:v>147</x:v>
      </x:c>
      <x:c r="C130" s="3" t="s">
        <x:v>578</x:v>
      </x:c>
      <x:c r="D130" s="3" t="s">
        <x:v>227</x:v>
      </x:c>
      <x:c r="E130" s="3" t="s">
        <x:v>264</x:v>
      </x:c>
      <x:c r="F130" s="3" t="s">
        <x:v>318</x:v>
      </x:c>
      <x:c r="G130" s="3" t="s">
        <x:v>319</x:v>
      </x:c>
      <x:c r="H130" s="3" t="s">
        <x:v>319</x:v>
      </x:c>
      <x:c r="I130" s="3" t="s">
        <x:v>319</x:v>
      </x:c>
      <x:c r="J130" s="3" t="s">
        <x:v>320</x:v>
      </x:c>
      <x:c r="K130" s="3" t="s">
        <x:v>150</x:v>
      </x:c>
      <x:c r="L130" s="37" t="s">
        <x:v>319</x:v>
      </x:c>
      <x:c r="M130" s="37" t="s">
        <x:v>579</x:v>
      </x:c>
      <x:c r="N130" s="37" t="s">
        <x:v>319</x:v>
      </x:c>
      <x:c r="O130" s="36" t="s">
        <x:v>579</x:v>
      </x:c>
      <x:c r="P130" s="37" t="s">
        <x:v>151</x:v>
      </x:c>
      <x:c r="Q130" s="37" t="s">
        <x:v>151</x:v>
      </x:c>
      <x:c r="R130" s="37" t="s">
        <x:v>151</x:v>
      </x:c>
      <x:c r="S130" s="37" t="s">
        <x:v>152</x:v>
      </x:c>
      <x:c r="T130" s="36" t="s">
        <x:v>322</x:v>
      </x:c>
      <x:c r="U130" s="36" t="n">
        <x:f>IFERROR(O130*P130*Q130/R130*(1+S130)*T130,"")</x:f>
        <x:v>0.03671232876712329</x:v>
      </x:c>
      <x:c r="V130" s="33" t="s">
        <x:v>323</x:v>
      </x:c>
      <x:c r="W130" s="30">
        <x:v>46236.78357621528</x:v>
      </x:c>
      <x:c r="X130" s="30"/>
      <x:c r="Y130" s="3" t="s">
        <x:v>224</x:v>
      </x:c>
      <x:c r="Z130" s="3" t="s">
        <x:v>155</x:v>
      </x:c>
      <x:c r="AA130" s="17" t="s">
        <x:v>580</x:v>
      </x:c>
      <x:c r="AB130" s="33" t="str">
        <x:f>IF(A130="","",IF(COUNTIF($A$5:$A$1004,A130)&gt;1,"错误:重复成本规则ID",IF(OR(B130="",C130="",D130="",E130="",F130="",K130="",O130&lt;=0,P130&lt;=0,Q130&lt;=0,R130&lt;=0,S130&lt;0,T130&lt;=0,Y130="",Z130=""),"错误:必填项","OK")))</x:f>
        <x:v>OK</x:v>
      </x:c>
    </x:row>
    <x:row r="131" ht="66" hidden="1" customHeight="1">
      <x:c r="A131" s="3" t="s">
        <x:v>582</x:v>
      </x:c>
      <x:c r="B131" s="3" t="s">
        <x:v>147</x:v>
      </x:c>
      <x:c r="C131" s="3" t="s">
        <x:v>583</x:v>
      </x:c>
      <x:c r="D131" s="3" t="s">
        <x:v>234</x:v>
      </x:c>
      <x:c r="E131" s="3" t="s">
        <x:v>258</x:v>
      </x:c>
      <x:c r="F131" s="3" t="s">
        <x:v>318</x:v>
      </x:c>
      <x:c r="G131" s="3" t="s">
        <x:v>319</x:v>
      </x:c>
      <x:c r="H131" s="3" t="s">
        <x:v>319</x:v>
      </x:c>
      <x:c r="I131" s="3" t="s">
        <x:v>319</x:v>
      </x:c>
      <x:c r="J131" s="3" t="s">
        <x:v>320</x:v>
      </x:c>
      <x:c r="K131" s="3" t="s">
        <x:v>150</x:v>
      </x:c>
      <x:c r="L131" s="37" t="s">
        <x:v>319</x:v>
      </x:c>
      <x:c r="M131" s="37" t="s">
        <x:v>584</x:v>
      </x:c>
      <x:c r="N131" s="37" t="s">
        <x:v>319</x:v>
      </x:c>
      <x:c r="O131" s="36" t="s">
        <x:v>584</x:v>
      </x:c>
      <x:c r="P131" s="37" t="s">
        <x:v>151</x:v>
      </x:c>
      <x:c r="Q131" s="37" t="s">
        <x:v>151</x:v>
      </x:c>
      <x:c r="R131" s="37" t="s">
        <x:v>151</x:v>
      </x:c>
      <x:c r="S131" s="37" t="s">
        <x:v>152</x:v>
      </x:c>
      <x:c r="T131" s="36" t="s">
        <x:v>322</x:v>
      </x:c>
      <x:c r="U131" s="36" t="n">
        <x:f>IFERROR(O131*P131*Q131/R131*(1+S131)*T131,"")</x:f>
        <x:v>0.022602739726027398</x:v>
      </x:c>
      <x:c r="V131" s="33" t="s">
        <x:v>323</x:v>
      </x:c>
      <x:c r="W131" s="30">
        <x:v>46236.78357621528</x:v>
      </x:c>
      <x:c r="X131" s="30"/>
      <x:c r="Y131" s="3" t="s">
        <x:v>224</x:v>
      </x:c>
      <x:c r="Z131" s="3" t="s">
        <x:v>155</x:v>
      </x:c>
      <x:c r="AA131" s="17" t="s">
        <x:v>585</x:v>
      </x:c>
      <x:c r="AB131" s="33" t="str">
        <x:f>IF(A131="","",IF(COUNTIF($A$5:$A$1004,A131)&gt;1,"错误:重复成本规则ID",IF(OR(B131="",C131="",D131="",E131="",F131="",K131="",O131&lt;=0,P131&lt;=0,Q131&lt;=0,R131&lt;=0,S131&lt;0,T131&lt;=0,Y131="",Z131=""),"错误:必填项","OK")))</x:f>
        <x:v>OK</x:v>
      </x:c>
    </x:row>
    <x:row r="132" ht="66" hidden="1" customHeight="1">
      <x:c r="A132" s="3" t="s">
        <x:v>586</x:v>
      </x:c>
      <x:c r="B132" s="3" t="s">
        <x:v>147</x:v>
      </x:c>
      <x:c r="C132" s="3" t="s">
        <x:v>583</x:v>
      </x:c>
      <x:c r="D132" s="3" t="s">
        <x:v>234</x:v>
      </x:c>
      <x:c r="E132" s="3" t="s">
        <x:v>264</x:v>
      </x:c>
      <x:c r="F132" s="3" t="s">
        <x:v>318</x:v>
      </x:c>
      <x:c r="G132" s="3" t="s">
        <x:v>319</x:v>
      </x:c>
      <x:c r="H132" s="3" t="s">
        <x:v>319</x:v>
      </x:c>
      <x:c r="I132" s="3" t="s">
        <x:v>319</x:v>
      </x:c>
      <x:c r="J132" s="3" t="s">
        <x:v>320</x:v>
      </x:c>
      <x:c r="K132" s="3" t="s">
        <x:v>150</x:v>
      </x:c>
      <x:c r="L132" s="37" t="s">
        <x:v>319</x:v>
      </x:c>
      <x:c r="M132" s="37" t="s">
        <x:v>584</x:v>
      </x:c>
      <x:c r="N132" s="37" t="s">
        <x:v>319</x:v>
      </x:c>
      <x:c r="O132" s="36" t="s">
        <x:v>584</x:v>
      </x:c>
      <x:c r="P132" s="37" t="s">
        <x:v>151</x:v>
      </x:c>
      <x:c r="Q132" s="37" t="s">
        <x:v>151</x:v>
      </x:c>
      <x:c r="R132" s="37" t="s">
        <x:v>151</x:v>
      </x:c>
      <x:c r="S132" s="37" t="s">
        <x:v>152</x:v>
      </x:c>
      <x:c r="T132" s="36" t="s">
        <x:v>322</x:v>
      </x:c>
      <x:c r="U132" s="36" t="n">
        <x:f>IFERROR(O132*P132*Q132/R132*(1+S132)*T132,"")</x:f>
        <x:v>0.022602739726027398</x:v>
      </x:c>
      <x:c r="V132" s="33" t="s">
        <x:v>323</x:v>
      </x:c>
      <x:c r="W132" s="30">
        <x:v>46236.78357621528</x:v>
      </x:c>
      <x:c r="X132" s="30"/>
      <x:c r="Y132" s="3" t="s">
        <x:v>224</x:v>
      </x:c>
      <x:c r="Z132" s="3" t="s">
        <x:v>155</x:v>
      </x:c>
      <x:c r="AA132" s="17" t="s">
        <x:v>585</x:v>
      </x:c>
      <x:c r="AB132" s="33" t="str">
        <x:f>IF(A132="","",IF(COUNTIF($A$5:$A$1004,A132)&gt;1,"错误:重复成本规则ID",IF(OR(B132="",C132="",D132="",E132="",F132="",K132="",O132&lt;=0,P132&lt;=0,Q132&lt;=0,R132&lt;=0,S132&lt;0,T132&lt;=0,Y132="",Z132=""),"错误:必填项","OK")))</x:f>
        <x:v>OK</x:v>
      </x:c>
    </x:row>
    <x:row r="133" ht="66" hidden="1" customHeight="1">
      <x:c r="A133" s="3" t="s">
        <x:v>587</x:v>
      </x:c>
      <x:c r="B133" s="3" t="s">
        <x:v>147</x:v>
      </x:c>
      <x:c r="C133" s="3" t="s">
        <x:v>588</x:v>
      </x:c>
      <x:c r="D133" s="3" t="s">
        <x:v>240</x:v>
      </x:c>
      <x:c r="E133" s="3" t="s">
        <x:v>258</x:v>
      </x:c>
      <x:c r="F133" s="3" t="s">
        <x:v>318</x:v>
      </x:c>
      <x:c r="G133" s="3" t="s">
        <x:v>319</x:v>
      </x:c>
      <x:c r="H133" s="3" t="s">
        <x:v>319</x:v>
      </x:c>
      <x:c r="I133" s="3" t="s">
        <x:v>319</x:v>
      </x:c>
      <x:c r="J133" s="3" t="s">
        <x:v>320</x:v>
      </x:c>
      <x:c r="K133" s="3" t="s">
        <x:v>150</x:v>
      </x:c>
      <x:c r="L133" s="37" t="s">
        <x:v>319</x:v>
      </x:c>
      <x:c r="M133" s="37" t="s">
        <x:v>589</x:v>
      </x:c>
      <x:c r="N133" s="37" t="s">
        <x:v>319</x:v>
      </x:c>
      <x:c r="O133" s="36" t="s">
        <x:v>589</x:v>
      </x:c>
      <x:c r="P133" s="37" t="s">
        <x:v>151</x:v>
      </x:c>
      <x:c r="Q133" s="37" t="s">
        <x:v>151</x:v>
      </x:c>
      <x:c r="R133" s="37" t="s">
        <x:v>151</x:v>
      </x:c>
      <x:c r="S133" s="37" t="s">
        <x:v>152</x:v>
      </x:c>
      <x:c r="T133" s="36" t="s">
        <x:v>322</x:v>
      </x:c>
      <x:c r="U133" s="36" t="n">
        <x:f>IFERROR(O133*P133*Q133/R133*(1+S133)*T133,"")</x:f>
        <x:v>0.017534246575342465</x:v>
      </x:c>
      <x:c r="V133" s="33" t="s">
        <x:v>323</x:v>
      </x:c>
      <x:c r="W133" s="30">
        <x:v>46236.78357621528</x:v>
      </x:c>
      <x:c r="X133" s="30"/>
      <x:c r="Y133" s="3" t="s">
        <x:v>224</x:v>
      </x:c>
      <x:c r="Z133" s="3" t="s">
        <x:v>155</x:v>
      </x:c>
      <x:c r="AA133" s="17" t="s">
        <x:v>590</x:v>
      </x:c>
      <x:c r="AB133" s="33" t="str">
        <x:f>IF(A133="","",IF(COUNTIF($A$5:$A$1004,A133)&gt;1,"错误:重复成本规则ID",IF(OR(B133="",C133="",D133="",E133="",F133="",K133="",O133&lt;=0,P133&lt;=0,Q133&lt;=0,R133&lt;=0,S133&lt;0,T133&lt;=0,Y133="",Z133=""),"错误:必填项","OK")))</x:f>
        <x:v>OK</x:v>
      </x:c>
    </x:row>
    <x:row r="134" ht="39.599998474121094" hidden="1" customHeight="1">
      <x:c r="A134" s="3" t="s">
        <x:v>591</x:v>
      </x:c>
      <x:c r="B134" s="3" t="s">
        <x:v>147</x:v>
      </x:c>
      <x:c r="C134" s="3" t="s">
        <x:v>588</x:v>
      </x:c>
      <x:c r="D134" s="3" t="s">
        <x:v>240</x:v>
      </x:c>
      <x:c r="E134" s="3" t="s">
        <x:v>264</x:v>
      </x:c>
      <x:c r="F134" s="3" t="s">
        <x:v>318</x:v>
      </x:c>
      <x:c r="G134" s="3" t="s">
        <x:v>319</x:v>
      </x:c>
      <x:c r="H134" s="3" t="s">
        <x:v>319</x:v>
      </x:c>
      <x:c r="I134" s="3" t="s">
        <x:v>319</x:v>
      </x:c>
      <x:c r="J134" s="3" t="s">
        <x:v>320</x:v>
      </x:c>
      <x:c r="K134" s="3" t="s">
        <x:v>150</x:v>
      </x:c>
      <x:c r="L134" s="37" t="s">
        <x:v>319</x:v>
      </x:c>
      <x:c r="M134" s="37" t="s">
        <x:v>589</x:v>
      </x:c>
      <x:c r="N134" s="37" t="s">
        <x:v>319</x:v>
      </x:c>
      <x:c r="O134" s="36" t="s">
        <x:v>589</x:v>
      </x:c>
      <x:c r="P134" s="37" t="s">
        <x:v>151</x:v>
      </x:c>
      <x:c r="Q134" s="37" t="s">
        <x:v>151</x:v>
      </x:c>
      <x:c r="R134" s="37" t="s">
        <x:v>151</x:v>
      </x:c>
      <x:c r="S134" s="37" t="s">
        <x:v>152</x:v>
      </x:c>
      <x:c r="T134" s="36" t="s">
        <x:v>322</x:v>
      </x:c>
      <x:c r="U134" s="36" t="n">
        <x:f>IFERROR(O134*P134*Q134/R134*(1+S134)*T134,"")</x:f>
        <x:v>0.017534246575342465</x:v>
      </x:c>
      <x:c r="V134" s="33" t="s">
        <x:v>323</x:v>
      </x:c>
      <x:c r="W134" s="30">
        <x:v>46236.78357621528</x:v>
      </x:c>
      <x:c r="X134" s="30"/>
      <x:c r="Y134" s="3" t="s">
        <x:v>224</x:v>
      </x:c>
      <x:c r="Z134" s="3" t="s">
        <x:v>155</x:v>
      </x:c>
      <x:c r="AA134" s="17" t="s">
        <x:v>590</x:v>
      </x:c>
      <x:c r="AB134" s="33" t="str">
        <x:f>IF(A134="","",IF(COUNTIF($A$5:$A$1004,A134)&gt;1,"错误:重复成本规则ID",IF(OR(B134="",C134="",D134="",E134="",F134="",K134="",O134&lt;=0,P134&lt;=0,Q134&lt;=0,R134&lt;=0,S134&lt;0,T134&lt;=0,Y134="",Z134=""),"错误:必填项","OK")))</x:f>
        <x:v>OK</x:v>
      </x:c>
    </x:row>
    <x:row r="135" ht="39.599998474121094" hidden="1" customHeight="1">
      <x:c r="A135" s="3" t="s">
        <x:v>592</x:v>
      </x:c>
      <x:c r="B135" s="3" t="s">
        <x:v>147</x:v>
      </x:c>
      <x:c r="C135" s="3" t="s">
        <x:v>593</x:v>
      </x:c>
      <x:c r="D135" s="3" t="s">
        <x:v>238</x:v>
      </x:c>
      <x:c r="E135" s="3" t="s">
        <x:v>258</x:v>
      </x:c>
      <x:c r="F135" s="3" t="s">
        <x:v>318</x:v>
      </x:c>
      <x:c r="G135" s="3" t="s">
        <x:v>319</x:v>
      </x:c>
      <x:c r="H135" s="3" t="s">
        <x:v>319</x:v>
      </x:c>
      <x:c r="I135" s="3" t="s">
        <x:v>319</x:v>
      </x:c>
      <x:c r="J135" s="3" t="s">
        <x:v>320</x:v>
      </x:c>
      <x:c r="K135" s="3" t="s">
        <x:v>150</x:v>
      </x:c>
      <x:c r="L135" s="37" t="s">
        <x:v>319</x:v>
      </x:c>
      <x:c r="M135" s="37" t="s">
        <x:v>579</x:v>
      </x:c>
      <x:c r="N135" s="37" t="s">
        <x:v>319</x:v>
      </x:c>
      <x:c r="O135" s="36" t="s">
        <x:v>579</x:v>
      </x:c>
      <x:c r="P135" s="37" t="s">
        <x:v>151</x:v>
      </x:c>
      <x:c r="Q135" s="37" t="s">
        <x:v>151</x:v>
      </x:c>
      <x:c r="R135" s="37" t="s">
        <x:v>151</x:v>
      </x:c>
      <x:c r="S135" s="37" t="s">
        <x:v>152</x:v>
      </x:c>
      <x:c r="T135" s="36" t="s">
        <x:v>322</x:v>
      </x:c>
      <x:c r="U135" s="36" t="n">
        <x:f>IFERROR(O135*P135*Q135/R135*(1+S135)*T135,"")</x:f>
        <x:v>0.03671232876712329</x:v>
      </x:c>
      <x:c r="V135" s="33" t="s">
        <x:v>323</x:v>
      </x:c>
      <x:c r="W135" s="30">
        <x:v>46236.78357621528</x:v>
      </x:c>
      <x:c r="X135" s="30"/>
      <x:c r="Y135" s="3" t="s">
        <x:v>224</x:v>
      </x:c>
      <x:c r="Z135" s="3" t="s">
        <x:v>155</x:v>
      </x:c>
      <x:c r="AA135" s="17" t="s">
        <x:v>594</x:v>
      </x:c>
      <x:c r="AB135" s="33" t="str">
        <x:f>IF(A135="","",IF(COUNTIF($A$5:$A$1004,A135)&gt;1,"错误:重复成本规则ID",IF(OR(B135="",C135="",D135="",E135="",F135="",K135="",O135&lt;=0,P135&lt;=0,Q135&lt;=0,R135&lt;=0,S135&lt;0,T135&lt;=0,Y135="",Z135=""),"错误:必填项","OK")))</x:f>
        <x:v>OK</x:v>
      </x:c>
    </x:row>
    <x:row r="136" ht="39.599998474121094" hidden="1" customHeight="1">
      <x:c r="A136" s="3" t="s">
        <x:v>595</x:v>
      </x:c>
      <x:c r="B136" s="3" t="s">
        <x:v>147</x:v>
      </x:c>
      <x:c r="C136" s="3" t="s">
        <x:v>593</x:v>
      </x:c>
      <x:c r="D136" s="3" t="s">
        <x:v>238</x:v>
      </x:c>
      <x:c r="E136" s="3" t="s">
        <x:v>264</x:v>
      </x:c>
      <x:c r="F136" s="3" t="s">
        <x:v>318</x:v>
      </x:c>
      <x:c r="G136" s="3" t="s">
        <x:v>319</x:v>
      </x:c>
      <x:c r="H136" s="3" t="s">
        <x:v>319</x:v>
      </x:c>
      <x:c r="I136" s="3" t="s">
        <x:v>319</x:v>
      </x:c>
      <x:c r="J136" s="3" t="s">
        <x:v>320</x:v>
      </x:c>
      <x:c r="K136" s="3" t="s">
        <x:v>150</x:v>
      </x:c>
      <x:c r="L136" s="37" t="s">
        <x:v>319</x:v>
      </x:c>
      <x:c r="M136" s="37" t="s">
        <x:v>579</x:v>
      </x:c>
      <x:c r="N136" s="37" t="s">
        <x:v>319</x:v>
      </x:c>
      <x:c r="O136" s="36" t="s">
        <x:v>579</x:v>
      </x:c>
      <x:c r="P136" s="37" t="s">
        <x:v>151</x:v>
      </x:c>
      <x:c r="Q136" s="37" t="s">
        <x:v>151</x:v>
      </x:c>
      <x:c r="R136" s="37" t="s">
        <x:v>151</x:v>
      </x:c>
      <x:c r="S136" s="37" t="s">
        <x:v>152</x:v>
      </x:c>
      <x:c r="T136" s="36" t="s">
        <x:v>322</x:v>
      </x:c>
      <x:c r="U136" s="36" t="n">
        <x:f>IFERROR(O136*P136*Q136/R136*(1+S136)*T136,"")</x:f>
        <x:v>0.03671232876712329</x:v>
      </x:c>
      <x:c r="V136" s="33" t="s">
        <x:v>323</x:v>
      </x:c>
      <x:c r="W136" s="30">
        <x:v>46236.78357621528</x:v>
      </x:c>
      <x:c r="X136" s="30"/>
      <x:c r="Y136" s="3" t="s">
        <x:v>224</x:v>
      </x:c>
      <x:c r="Z136" s="3" t="s">
        <x:v>155</x:v>
      </x:c>
      <x:c r="AA136" s="17" t="s">
        <x:v>594</x:v>
      </x:c>
      <x:c r="AB136" s="33" t="str">
        <x:f>IF(A136="","",IF(COUNTIF($A$5:$A$1004,A136)&gt;1,"错误:重复成本规则ID",IF(OR(B136="",C136="",D136="",E136="",F136="",K136="",O136&lt;=0,P136&lt;=0,Q136&lt;=0,R136&lt;=0,S136&lt;0,T136&lt;=0,Y136="",Z136=""),"错误:必填项","OK")))</x:f>
        <x:v>OK</x:v>
      </x:c>
    </x:row>
    <x:row r="137" ht="39.599998474121094" hidden="1" customHeight="1">
      <x:c r="A137" s="3" t="s">
        <x:v>596</x:v>
      </x:c>
      <x:c r="B137" s="3" t="s">
        <x:v>147</x:v>
      </x:c>
      <x:c r="C137" s="3" t="s">
        <x:v>597</x:v>
      </x:c>
      <x:c r="D137" s="3" t="s">
        <x:v>244</x:v>
      </x:c>
      <x:c r="E137" s="3" t="s">
        <x:v>258</x:v>
      </x:c>
      <x:c r="F137" s="3" t="s">
        <x:v>318</x:v>
      </x:c>
      <x:c r="G137" s="3" t="s">
        <x:v>319</x:v>
      </x:c>
      <x:c r="H137" s="3" t="s">
        <x:v>319</x:v>
      </x:c>
      <x:c r="I137" s="3" t="s">
        <x:v>319</x:v>
      </x:c>
      <x:c r="J137" s="3" t="s">
        <x:v>320</x:v>
      </x:c>
      <x:c r="K137" s="3" t="s">
        <x:v>150</x:v>
      </x:c>
      <x:c r="L137" s="37" t="s">
        <x:v>319</x:v>
      </x:c>
      <x:c r="M137" s="37" t="s">
        <x:v>598</x:v>
      </x:c>
      <x:c r="N137" s="37" t="s">
        <x:v>319</x:v>
      </x:c>
      <x:c r="O137" s="36" t="s">
        <x:v>598</x:v>
      </x:c>
      <x:c r="P137" s="37" t="s">
        <x:v>151</x:v>
      </x:c>
      <x:c r="Q137" s="37" t="s">
        <x:v>151</x:v>
      </x:c>
      <x:c r="R137" s="37" t="s">
        <x:v>151</x:v>
      </x:c>
      <x:c r="S137" s="37" t="s">
        <x:v>152</x:v>
      </x:c>
      <x:c r="T137" s="36" t="s">
        <x:v>322</x:v>
      </x:c>
      <x:c r="U137" s="36" t="n">
        <x:f>IFERROR(O137*P137*Q137/R137*(1+S137)*T137,"")</x:f>
        <x:v>0.027123287671232878</x:v>
      </x:c>
      <x:c r="V137" s="33" t="s">
        <x:v>323</x:v>
      </x:c>
      <x:c r="W137" s="30">
        <x:v>46236.78357621528</x:v>
      </x:c>
      <x:c r="X137" s="30"/>
      <x:c r="Y137" s="3" t="s">
        <x:v>224</x:v>
      </x:c>
      <x:c r="Z137" s="3" t="s">
        <x:v>155</x:v>
      </x:c>
      <x:c r="AA137" s="17" t="s">
        <x:v>599</x:v>
      </x:c>
      <x:c r="AB137" s="33" t="str">
        <x:f>IF(A137="","",IF(COUNTIF($A$5:$A$1004,A137)&gt;1,"错误:重复成本规则ID",IF(OR(B137="",C137="",D137="",E137="",F137="",K137="",O137&lt;=0,P137&lt;=0,Q137&lt;=0,R137&lt;=0,S137&lt;0,T137&lt;=0,Y137="",Z137=""),"错误:必填项","OK")))</x:f>
        <x:v>OK</x:v>
      </x:c>
    </x:row>
    <x:row r="138" ht="39.599998474121094" hidden="1" customHeight="1">
      <x:c r="A138" s="3" t="s">
        <x:v>600</x:v>
      </x:c>
      <x:c r="B138" s="3" t="s">
        <x:v>147</x:v>
      </x:c>
      <x:c r="C138" s="3" t="s">
        <x:v>597</x:v>
      </x:c>
      <x:c r="D138" s="3" t="s">
        <x:v>244</x:v>
      </x:c>
      <x:c r="E138" s="3" t="s">
        <x:v>264</x:v>
      </x:c>
      <x:c r="F138" s="3" t="s">
        <x:v>318</x:v>
      </x:c>
      <x:c r="G138" s="3" t="s">
        <x:v>319</x:v>
      </x:c>
      <x:c r="H138" s="3" t="s">
        <x:v>319</x:v>
      </x:c>
      <x:c r="I138" s="3" t="s">
        <x:v>319</x:v>
      </x:c>
      <x:c r="J138" s="3" t="s">
        <x:v>320</x:v>
      </x:c>
      <x:c r="K138" s="3" t="s">
        <x:v>150</x:v>
      </x:c>
      <x:c r="L138" s="37" t="s">
        <x:v>319</x:v>
      </x:c>
      <x:c r="M138" s="37" t="s">
        <x:v>598</x:v>
      </x:c>
      <x:c r="N138" s="37" t="s">
        <x:v>319</x:v>
      </x:c>
      <x:c r="O138" s="36" t="s">
        <x:v>598</x:v>
      </x:c>
      <x:c r="P138" s="37" t="s">
        <x:v>151</x:v>
      </x:c>
      <x:c r="Q138" s="37" t="s">
        <x:v>151</x:v>
      </x:c>
      <x:c r="R138" s="37" t="s">
        <x:v>151</x:v>
      </x:c>
      <x:c r="S138" s="37" t="s">
        <x:v>152</x:v>
      </x:c>
      <x:c r="T138" s="36" t="s">
        <x:v>322</x:v>
      </x:c>
      <x:c r="U138" s="36" t="n">
        <x:f>IFERROR(O138*P138*Q138/R138*(1+S138)*T138,"")</x:f>
        <x:v>0.027123287671232878</x:v>
      </x:c>
      <x:c r="V138" s="33" t="s">
        <x:v>323</x:v>
      </x:c>
      <x:c r="W138" s="30">
        <x:v>46236.78357621528</x:v>
      </x:c>
      <x:c r="X138" s="30"/>
      <x:c r="Y138" s="3" t="s">
        <x:v>224</x:v>
      </x:c>
      <x:c r="Z138" s="3" t="s">
        <x:v>155</x:v>
      </x:c>
      <x:c r="AA138" s="17" t="s">
        <x:v>599</x:v>
      </x:c>
      <x:c r="AB138" s="33" t="str">
        <x:f>IF(A138="","",IF(COUNTIF($A$5:$A$1004,A138)&gt;1,"错误:重复成本规则ID",IF(OR(B138="",C138="",D138="",E138="",F138="",K138="",O138&lt;=0,P138&lt;=0,Q138&lt;=0,R138&lt;=0,S138&lt;0,T138&lt;=0,Y138="",Z138=""),"错误:必填项","OK")))</x:f>
        <x:v>OK</x:v>
      </x:c>
    </x:row>
    <x:row r="139" ht="39.599998474121094" hidden="1" customHeight="1">
      <x:c r="A139" s="3" t="s">
        <x:v>601</x:v>
      </x:c>
      <x:c r="B139" s="3" t="s">
        <x:v>147</x:v>
      </x:c>
      <x:c r="C139" s="3" t="s">
        <x:v>602</x:v>
      </x:c>
      <x:c r="D139" s="3" t="s">
        <x:v>232</x:v>
      </x:c>
      <x:c r="E139" s="3" t="s">
        <x:v>258</x:v>
      </x:c>
      <x:c r="F139" s="3" t="s">
        <x:v>318</x:v>
      </x:c>
      <x:c r="G139" s="3" t="s">
        <x:v>319</x:v>
      </x:c>
      <x:c r="H139" s="3" t="s">
        <x:v>319</x:v>
      </x:c>
      <x:c r="I139" s="3" t="s">
        <x:v>319</x:v>
      </x:c>
      <x:c r="J139" s="3" t="s">
        <x:v>320</x:v>
      </x:c>
      <x:c r="K139" s="3" t="s">
        <x:v>150</x:v>
      </x:c>
      <x:c r="L139" s="37" t="s">
        <x:v>319</x:v>
      </x:c>
      <x:c r="M139" s="37" t="s">
        <x:v>603</x:v>
      </x:c>
      <x:c r="N139" s="37" t="s">
        <x:v>319</x:v>
      </x:c>
      <x:c r="O139" s="36" t="s">
        <x:v>603</x:v>
      </x:c>
      <x:c r="P139" s="37" t="s">
        <x:v>151</x:v>
      </x:c>
      <x:c r="Q139" s="37" t="s">
        <x:v>151</x:v>
      </x:c>
      <x:c r="R139" s="37" t="s">
        <x:v>151</x:v>
      </x:c>
      <x:c r="S139" s="37" t="s">
        <x:v>152</x:v>
      </x:c>
      <x:c r="T139" s="36" t="s">
        <x:v>322</x:v>
      </x:c>
      <x:c r="U139" s="36" t="n">
        <x:f>IFERROR(O139*P139*Q139/R139*(1+S139)*T139,"")</x:f>
        <x:v>0.050410958904109585</x:v>
      </x:c>
      <x:c r="V139" s="33" t="s">
        <x:v>323</x:v>
      </x:c>
      <x:c r="W139" s="30">
        <x:v>46236.78357621528</x:v>
      </x:c>
      <x:c r="X139" s="30"/>
      <x:c r="Y139" s="3" t="s">
        <x:v>224</x:v>
      </x:c>
      <x:c r="Z139" s="3" t="s">
        <x:v>155</x:v>
      </x:c>
      <x:c r="AA139" s="17" t="s">
        <x:v>604</x:v>
      </x:c>
      <x:c r="AB139" s="33" t="str">
        <x:f>IF(A139="","",IF(COUNTIF($A$5:$A$1004,A139)&gt;1,"错误:重复成本规则ID",IF(OR(B139="",C139="",D139="",E139="",F139="",K139="",O139&lt;=0,P139&lt;=0,Q139&lt;=0,R139&lt;=0,S139&lt;0,T139&lt;=0,Y139="",Z139=""),"错误:必填项","OK")))</x:f>
        <x:v>OK</x:v>
      </x:c>
    </x:row>
    <x:row r="140" ht="39.599998474121094" hidden="1" customHeight="1">
      <x:c r="A140" s="3" t="s">
        <x:v>605</x:v>
      </x:c>
      <x:c r="B140" s="3" t="s">
        <x:v>147</x:v>
      </x:c>
      <x:c r="C140" s="3" t="s">
        <x:v>602</x:v>
      </x:c>
      <x:c r="D140" s="3" t="s">
        <x:v>232</x:v>
      </x:c>
      <x:c r="E140" s="3" t="s">
        <x:v>264</x:v>
      </x:c>
      <x:c r="F140" s="3" t="s">
        <x:v>318</x:v>
      </x:c>
      <x:c r="G140" s="3" t="s">
        <x:v>319</x:v>
      </x:c>
      <x:c r="H140" s="3" t="s">
        <x:v>319</x:v>
      </x:c>
      <x:c r="I140" s="3" t="s">
        <x:v>319</x:v>
      </x:c>
      <x:c r="J140" s="3" t="s">
        <x:v>320</x:v>
      </x:c>
      <x:c r="K140" s="3" t="s">
        <x:v>150</x:v>
      </x:c>
      <x:c r="L140" s="37" t="s">
        <x:v>319</x:v>
      </x:c>
      <x:c r="M140" s="37" t="s">
        <x:v>603</x:v>
      </x:c>
      <x:c r="N140" s="37" t="s">
        <x:v>319</x:v>
      </x:c>
      <x:c r="O140" s="36" t="s">
        <x:v>603</x:v>
      </x:c>
      <x:c r="P140" s="37" t="s">
        <x:v>151</x:v>
      </x:c>
      <x:c r="Q140" s="37" t="s">
        <x:v>151</x:v>
      </x:c>
      <x:c r="R140" s="37" t="s">
        <x:v>151</x:v>
      </x:c>
      <x:c r="S140" s="37" t="s">
        <x:v>152</x:v>
      </x:c>
      <x:c r="T140" s="36" t="s">
        <x:v>322</x:v>
      </x:c>
      <x:c r="U140" s="36" t="n">
        <x:f>IFERROR(O140*P140*Q140/R140*(1+S140)*T140,"")</x:f>
        <x:v>0.050410958904109585</x:v>
      </x:c>
      <x:c r="V140" s="33" t="s">
        <x:v>323</x:v>
      </x:c>
      <x:c r="W140" s="30">
        <x:v>46236.78357621528</x:v>
      </x:c>
      <x:c r="X140" s="30"/>
      <x:c r="Y140" s="3" t="s">
        <x:v>224</x:v>
      </x:c>
      <x:c r="Z140" s="3" t="s">
        <x:v>155</x:v>
      </x:c>
      <x:c r="AA140" s="17" t="s">
        <x:v>604</x:v>
      </x:c>
      <x:c r="AB140" s="33" t="str">
        <x:f>IF(A140="","",IF(COUNTIF($A$5:$A$1004,A140)&gt;1,"错误:重复成本规则ID",IF(OR(B140="",C140="",D140="",E140="",F140="",K140="",O140&lt;=0,P140&lt;=0,Q140&lt;=0,R140&lt;=0,S140&lt;0,T140&lt;=0,Y140="",Z140=""),"错误:必填项","OK")))</x:f>
        <x:v>OK</x:v>
      </x:c>
    </x:row>
    <x:row r="141" ht="39.599998474121094" hidden="1" customHeight="1">
      <x:c r="A141" s="3" t="s">
        <x:v>606</x:v>
      </x:c>
      <x:c r="B141" s="3" t="s">
        <x:v>184</x:v>
      </x:c>
      <x:c r="C141" s="3" t="s">
        <x:v>607</x:v>
      </x:c>
      <x:c r="D141" s="3" t="s">
        <x:v>244</x:v>
      </x:c>
      <x:c r="E141" s="3" t="s">
        <x:v>258</x:v>
      </x:c>
      <x:c r="F141" s="3" t="s">
        <x:v>318</x:v>
      </x:c>
      <x:c r="G141" s="3" t="s">
        <x:v>319</x:v>
      </x:c>
      <x:c r="H141" s="3" t="s">
        <x:v>319</x:v>
      </x:c>
      <x:c r="I141" s="3" t="s">
        <x:v>319</x:v>
      </x:c>
      <x:c r="J141" s="3" t="s">
        <x:v>320</x:v>
      </x:c>
      <x:c r="K141" s="3" t="s">
        <x:v>150</x:v>
      </x:c>
      <x:c r="L141" s="37" t="s">
        <x:v>319</x:v>
      </x:c>
      <x:c r="M141" s="37" t="s">
        <x:v>419</x:v>
      </x:c>
      <x:c r="N141" s="37" t="s">
        <x:v>319</x:v>
      </x:c>
      <x:c r="O141" s="36" t="s">
        <x:v>419</x:v>
      </x:c>
      <x:c r="P141" s="37" t="s">
        <x:v>151</x:v>
      </x:c>
      <x:c r="Q141" s="37" t="s">
        <x:v>151</x:v>
      </x:c>
      <x:c r="R141" s="37" t="s">
        <x:v>151</x:v>
      </x:c>
      <x:c r="S141" s="37" t="s">
        <x:v>152</x:v>
      </x:c>
      <x:c r="T141" s="36" t="s">
        <x:v>322</x:v>
      </x:c>
      <x:c r="U141" s="36" t="n">
        <x:f>IFERROR(O141*P141*Q141/R141*(1+S141)*T141,"")</x:f>
        <x:v>0.04794520547945205</x:v>
      </x:c>
      <x:c r="V141" s="33" t="s">
        <x:v>323</x:v>
      </x:c>
      <x:c r="W141" s="30">
        <x:v>46236.78357621528</x:v>
      </x:c>
      <x:c r="X141" s="30"/>
      <x:c r="Y141" s="3" t="s">
        <x:v>224</x:v>
      </x:c>
      <x:c r="Z141" s="3" t="s">
        <x:v>187</x:v>
      </x:c>
      <x:c r="AA141" s="17" t="s">
        <x:v>608</x:v>
      </x:c>
      <x:c r="AB141" s="33" t="str">
        <x:f>IF(A141="","",IF(COUNTIF($A$5:$A$1004,A141)&gt;1,"错误:重复成本规则ID",IF(OR(B141="",C141="",D141="",E141="",F141="",K141="",O141&lt;=0,P141&lt;=0,Q141&lt;=0,R141&lt;=0,S141&lt;0,T141&lt;=0,Y141="",Z141=""),"错误:必填项","OK")))</x:f>
        <x:v>OK</x:v>
      </x:c>
    </x:row>
    <x:row r="142" ht="39.599998474121094" hidden="1" customHeight="1">
      <x:c r="A142" s="3" t="s">
        <x:v>609</x:v>
      </x:c>
      <x:c r="B142" s="3" t="s">
        <x:v>184</x:v>
      </x:c>
      <x:c r="C142" s="3" t="s">
        <x:v>607</x:v>
      </x:c>
      <x:c r="D142" s="3" t="s">
        <x:v>244</x:v>
      </x:c>
      <x:c r="E142" s="3" t="s">
        <x:v>264</x:v>
      </x:c>
      <x:c r="F142" s="3" t="s">
        <x:v>318</x:v>
      </x:c>
      <x:c r="G142" s="3" t="s">
        <x:v>319</x:v>
      </x:c>
      <x:c r="H142" s="3" t="s">
        <x:v>319</x:v>
      </x:c>
      <x:c r="I142" s="3" t="s">
        <x:v>319</x:v>
      </x:c>
      <x:c r="J142" s="3" t="s">
        <x:v>320</x:v>
      </x:c>
      <x:c r="K142" s="3" t="s">
        <x:v>150</x:v>
      </x:c>
      <x:c r="L142" s="37" t="s">
        <x:v>319</x:v>
      </x:c>
      <x:c r="M142" s="37" t="s">
        <x:v>419</x:v>
      </x:c>
      <x:c r="N142" s="37" t="s">
        <x:v>319</x:v>
      </x:c>
      <x:c r="O142" s="36" t="s">
        <x:v>419</x:v>
      </x:c>
      <x:c r="P142" s="37" t="s">
        <x:v>151</x:v>
      </x:c>
      <x:c r="Q142" s="37" t="s">
        <x:v>151</x:v>
      </x:c>
      <x:c r="R142" s="37" t="s">
        <x:v>151</x:v>
      </x:c>
      <x:c r="S142" s="37" t="s">
        <x:v>152</x:v>
      </x:c>
      <x:c r="T142" s="36" t="s">
        <x:v>322</x:v>
      </x:c>
      <x:c r="U142" s="36" t="n">
        <x:f>IFERROR(O142*P142*Q142/R142*(1+S142)*T142,"")</x:f>
        <x:v>0.04794520547945205</x:v>
      </x:c>
      <x:c r="V142" s="33" t="s">
        <x:v>323</x:v>
      </x:c>
      <x:c r="W142" s="30">
        <x:v>46236.78357621528</x:v>
      </x:c>
      <x:c r="X142" s="30"/>
      <x:c r="Y142" s="3" t="s">
        <x:v>224</x:v>
      </x:c>
      <x:c r="Z142" s="3" t="s">
        <x:v>187</x:v>
      </x:c>
      <x:c r="AA142" s="17" t="s">
        <x:v>608</x:v>
      </x:c>
      <x:c r="AB142" s="33" t="str">
        <x:f>IF(A142="","",IF(COUNTIF($A$5:$A$1004,A142)&gt;1,"错误:重复成本规则ID",IF(OR(B142="",C142="",D142="",E142="",F142="",K142="",O142&lt;=0,P142&lt;=0,Q142&lt;=0,R142&lt;=0,S142&lt;0,T142&lt;=0,Y142="",Z142=""),"错误:必填项","OK")))</x:f>
        <x:v>OK</x:v>
      </x:c>
    </x:row>
    <x:row r="143" ht="39.599998474121094" hidden="1" customHeight="1">
      <x:c r="A143" s="3" t="s">
        <x:v>610</x:v>
      </x:c>
      <x:c r="B143" s="3" t="s">
        <x:v>184</x:v>
      </x:c>
      <x:c r="C143" s="3" t="s">
        <x:v>611</x:v>
      </x:c>
      <x:c r="D143" s="3" t="s">
        <x:v>227</x:v>
      </x:c>
      <x:c r="E143" s="3" t="s">
        <x:v>258</x:v>
      </x:c>
      <x:c r="F143" s="3" t="s">
        <x:v>318</x:v>
      </x:c>
      <x:c r="G143" s="3" t="s">
        <x:v>319</x:v>
      </x:c>
      <x:c r="H143" s="3" t="s">
        <x:v>319</x:v>
      </x:c>
      <x:c r="I143" s="3" t="s">
        <x:v>319</x:v>
      </x:c>
      <x:c r="J143" s="3" t="s">
        <x:v>320</x:v>
      </x:c>
      <x:c r="K143" s="3" t="s">
        <x:v>150</x:v>
      </x:c>
      <x:c r="L143" s="37" t="s">
        <x:v>319</x:v>
      </x:c>
      <x:c r="M143" s="37" t="s">
        <x:v>152</x:v>
      </x:c>
      <x:c r="N143" s="37" t="s">
        <x:v>319</x:v>
      </x:c>
      <x:c r="O143" s="36" t="s">
        <x:v>152</x:v>
      </x:c>
      <x:c r="P143" s="37" t="s">
        <x:v>151</x:v>
      </x:c>
      <x:c r="Q143" s="37" t="s">
        <x:v>151</x:v>
      </x:c>
      <x:c r="R143" s="37" t="s">
        <x:v>151</x:v>
      </x:c>
      <x:c r="S143" s="37" t="s">
        <x:v>152</x:v>
      </x:c>
      <x:c r="T143" s="36" t="s">
        <x:v>322</x:v>
      </x:c>
      <x:c r="U143" s="36" t="n">
        <x:f>IFERROR(O143*P143*Q143/R143*(1+S143)*T143,"")</x:f>
        <x:v>0</x:v>
      </x:c>
      <x:c r="V143" s="33" t="s">
        <x:v>323</x:v>
      </x:c>
      <x:c r="W143" s="30">
        <x:v>46236.78357621528</x:v>
      </x:c>
      <x:c r="X143" s="30"/>
      <x:c r="Y143" s="3" t="s">
        <x:v>612</x:v>
      </x:c>
      <x:c r="Z143" s="3" t="s">
        <x:v>187</x:v>
      </x:c>
      <x:c r="AA143" s="17" t="s">
        <x:v>613</x:v>
      </x:c>
      <x:c r="AB143" s="33" t="str">
        <x:f>IF(A143="","",IF(COUNTIF($A$5:$A$1004,A143)&gt;1,"错误:重复成本规则ID",IF(OR(B143="",C143="",D143="",E143="",F143="",K143="",O143&lt;=0,P143&lt;=0,Q143&lt;=0,R143&lt;=0,S143&lt;0,T143&lt;=0,Y143="",Z143=""),"错误:必填项","OK")))</x:f>
        <x:v>错误:必填项</x:v>
      </x:c>
    </x:row>
    <x:row r="144" ht="39.599998474121094" hidden="1" customHeight="1">
      <x:c r="A144" s="3" t="s">
        <x:v>614</x:v>
      </x:c>
      <x:c r="B144" s="3" t="s">
        <x:v>184</x:v>
      </x:c>
      <x:c r="C144" s="3" t="s">
        <x:v>611</x:v>
      </x:c>
      <x:c r="D144" s="3" t="s">
        <x:v>227</x:v>
      </x:c>
      <x:c r="E144" s="3" t="s">
        <x:v>264</x:v>
      </x:c>
      <x:c r="F144" s="3" t="s">
        <x:v>318</x:v>
      </x:c>
      <x:c r="G144" s="3" t="s">
        <x:v>319</x:v>
      </x:c>
      <x:c r="H144" s="3" t="s">
        <x:v>319</x:v>
      </x:c>
      <x:c r="I144" s="3" t="s">
        <x:v>319</x:v>
      </x:c>
      <x:c r="J144" s="3" t="s">
        <x:v>320</x:v>
      </x:c>
      <x:c r="K144" s="3" t="s">
        <x:v>150</x:v>
      </x:c>
      <x:c r="L144" s="37" t="s">
        <x:v>319</x:v>
      </x:c>
      <x:c r="M144" s="37" t="s">
        <x:v>152</x:v>
      </x:c>
      <x:c r="N144" s="37" t="s">
        <x:v>319</x:v>
      </x:c>
      <x:c r="O144" s="36" t="s">
        <x:v>152</x:v>
      </x:c>
      <x:c r="P144" s="37" t="s">
        <x:v>151</x:v>
      </x:c>
      <x:c r="Q144" s="37" t="s">
        <x:v>151</x:v>
      </x:c>
      <x:c r="R144" s="37" t="s">
        <x:v>151</x:v>
      </x:c>
      <x:c r="S144" s="37" t="s">
        <x:v>152</x:v>
      </x:c>
      <x:c r="T144" s="36" t="s">
        <x:v>322</x:v>
      </x:c>
      <x:c r="U144" s="36" t="n">
        <x:f>IFERROR(O144*P144*Q144/R144*(1+S144)*T144,"")</x:f>
        <x:v>0</x:v>
      </x:c>
      <x:c r="V144" s="33" t="s">
        <x:v>323</x:v>
      </x:c>
      <x:c r="W144" s="30">
        <x:v>46236.78357621528</x:v>
      </x:c>
      <x:c r="X144" s="30"/>
      <x:c r="Y144" s="3" t="s">
        <x:v>612</x:v>
      </x:c>
      <x:c r="Z144" s="3" t="s">
        <x:v>187</x:v>
      </x:c>
      <x:c r="AA144" s="17" t="s">
        <x:v>613</x:v>
      </x:c>
      <x:c r="AB144" s="33" t="str">
        <x:f>IF(A144="","",IF(COUNTIF($A$5:$A$1004,A144)&gt;1,"错误:重复成本规则ID",IF(OR(B144="",C144="",D144="",E144="",F144="",K144="",O144&lt;=0,P144&lt;=0,Q144&lt;=0,R144&lt;=0,S144&lt;0,T144&lt;=0,Y144="",Z144=""),"错误:必填项","OK")))</x:f>
        <x:v>错误:必填项</x:v>
      </x:c>
    </x:row>
    <x:row r="145" ht="39.599998474121094" hidden="1" customHeight="1">
      <x:c r="A145" s="3" t="s">
        <x:v>615</x:v>
      </x:c>
      <x:c r="B145" s="3" t="s">
        <x:v>184</x:v>
      </x:c>
      <x:c r="C145" s="3" t="s">
        <x:v>611</x:v>
      </x:c>
      <x:c r="D145" s="3" t="s">
        <x:v>232</x:v>
      </x:c>
      <x:c r="E145" s="3" t="s">
        <x:v>258</x:v>
      </x:c>
      <x:c r="F145" s="3" t="s">
        <x:v>318</x:v>
      </x:c>
      <x:c r="G145" s="3" t="s">
        <x:v>319</x:v>
      </x:c>
      <x:c r="H145" s="3" t="s">
        <x:v>319</x:v>
      </x:c>
      <x:c r="I145" s="3" t="s">
        <x:v>319</x:v>
      </x:c>
      <x:c r="J145" s="3" t="s">
        <x:v>320</x:v>
      </x:c>
      <x:c r="K145" s="3" t="s">
        <x:v>150</x:v>
      </x:c>
      <x:c r="L145" s="37" t="s">
        <x:v>319</x:v>
      </x:c>
      <x:c r="M145" s="37" t="s">
        <x:v>383</x:v>
      </x:c>
      <x:c r="N145" s="37" t="s">
        <x:v>319</x:v>
      </x:c>
      <x:c r="O145" s="36" t="s">
        <x:v>383</x:v>
      </x:c>
      <x:c r="P145" s="37" t="s">
        <x:v>151</x:v>
      </x:c>
      <x:c r="Q145" s="37" t="s">
        <x:v>151</x:v>
      </x:c>
      <x:c r="R145" s="37" t="s">
        <x:v>151</x:v>
      </x:c>
      <x:c r="S145" s="37" t="s">
        <x:v>152</x:v>
      </x:c>
      <x:c r="T145" s="36" t="s">
        <x:v>322</x:v>
      </x:c>
      <x:c r="U145" s="36" t="n">
        <x:f>IFERROR(O145*P145*Q145/R145*(1+S145)*T145,"")</x:f>
        <x:v>0.0821917808219178</x:v>
      </x:c>
      <x:c r="V145" s="33" t="s">
        <x:v>323</x:v>
      </x:c>
      <x:c r="W145" s="30">
        <x:v>46236.78357621528</x:v>
      </x:c>
      <x:c r="X145" s="30"/>
      <x:c r="Y145" s="3" t="s">
        <x:v>224</x:v>
      </x:c>
      <x:c r="Z145" s="3" t="s">
        <x:v>187</x:v>
      </x:c>
      <x:c r="AA145" s="17" t="s">
        <x:v>613</x:v>
      </x:c>
      <x:c r="AB145" s="33" t="str">
        <x:f>IF(A145="","",IF(COUNTIF($A$5:$A$1004,A145)&gt;1,"错误:重复成本规则ID",IF(OR(B145="",C145="",D145="",E145="",F145="",K145="",O145&lt;=0,P145&lt;=0,Q145&lt;=0,R145&lt;=0,S145&lt;0,T145&lt;=0,Y145="",Z145=""),"错误:必填项","OK")))</x:f>
        <x:v>OK</x:v>
      </x:c>
    </x:row>
    <x:row r="146" ht="39.599998474121094" hidden="1" customHeight="1">
      <x:c r="A146" s="3" t="s">
        <x:v>616</x:v>
      </x:c>
      <x:c r="B146" s="3" t="s">
        <x:v>184</x:v>
      </x:c>
      <x:c r="C146" s="3" t="s">
        <x:v>611</x:v>
      </x:c>
      <x:c r="D146" s="3" t="s">
        <x:v>232</x:v>
      </x:c>
      <x:c r="E146" s="3" t="s">
        <x:v>264</x:v>
      </x:c>
      <x:c r="F146" s="3" t="s">
        <x:v>318</x:v>
      </x:c>
      <x:c r="G146" s="3" t="s">
        <x:v>319</x:v>
      </x:c>
      <x:c r="H146" s="3" t="s">
        <x:v>319</x:v>
      </x:c>
      <x:c r="I146" s="3" t="s">
        <x:v>319</x:v>
      </x:c>
      <x:c r="J146" s="3" t="s">
        <x:v>320</x:v>
      </x:c>
      <x:c r="K146" s="3" t="s">
        <x:v>150</x:v>
      </x:c>
      <x:c r="L146" s="37" t="s">
        <x:v>319</x:v>
      </x:c>
      <x:c r="M146" s="37" t="s">
        <x:v>383</x:v>
      </x:c>
      <x:c r="N146" s="37" t="s">
        <x:v>319</x:v>
      </x:c>
      <x:c r="O146" s="36" t="s">
        <x:v>383</x:v>
      </x:c>
      <x:c r="P146" s="37" t="s">
        <x:v>151</x:v>
      </x:c>
      <x:c r="Q146" s="37" t="s">
        <x:v>151</x:v>
      </x:c>
      <x:c r="R146" s="37" t="s">
        <x:v>151</x:v>
      </x:c>
      <x:c r="S146" s="37" t="s">
        <x:v>152</x:v>
      </x:c>
      <x:c r="T146" s="36" t="s">
        <x:v>322</x:v>
      </x:c>
      <x:c r="U146" s="36" t="n">
        <x:f>IFERROR(O146*P146*Q146/R146*(1+S146)*T146,"")</x:f>
        <x:v>0.0821917808219178</x:v>
      </x:c>
      <x:c r="V146" s="33" t="s">
        <x:v>323</x:v>
      </x:c>
      <x:c r="W146" s="30">
        <x:v>46236.78357621528</x:v>
      </x:c>
      <x:c r="X146" s="30"/>
      <x:c r="Y146" s="3" t="s">
        <x:v>224</x:v>
      </x:c>
      <x:c r="Z146" s="3" t="s">
        <x:v>187</x:v>
      </x:c>
      <x:c r="AA146" s="17" t="s">
        <x:v>613</x:v>
      </x:c>
      <x:c r="AB146" s="33" t="str">
        <x:f>IF(A146="","",IF(COUNTIF($A$5:$A$1004,A146)&gt;1,"错误:重复成本规则ID",IF(OR(B146="",C146="",D146="",E146="",F146="",K146="",O146&lt;=0,P146&lt;=0,Q146&lt;=0,R146&lt;=0,S146&lt;0,T146&lt;=0,Y146="",Z146=""),"错误:必填项","OK")))</x:f>
        <x:v>OK</x:v>
      </x:c>
    </x:row>
    <x:row r="147" ht="39.599998474121094" hidden="1" customHeight="1">
      <x:c r="A147" s="3" t="s">
        <x:v>617</x:v>
      </x:c>
      <x:c r="B147" s="3" t="s">
        <x:v>184</x:v>
      </x:c>
      <x:c r="C147" s="3" t="s">
        <x:v>611</x:v>
      </x:c>
      <x:c r="D147" s="3" t="s">
        <x:v>217</x:v>
      </x:c>
      <x:c r="E147" s="3" t="s">
        <x:v>258</x:v>
      </x:c>
      <x:c r="F147" s="3" t="s">
        <x:v>318</x:v>
      </x:c>
      <x:c r="G147" s="3" t="s">
        <x:v>319</x:v>
      </x:c>
      <x:c r="H147" s="3" t="s">
        <x:v>319</x:v>
      </x:c>
      <x:c r="I147" s="3" t="s">
        <x:v>319</x:v>
      </x:c>
      <x:c r="J147" s="3" t="s">
        <x:v>320</x:v>
      </x:c>
      <x:c r="K147" s="3" t="s">
        <x:v>150</x:v>
      </x:c>
      <x:c r="L147" s="37" t="s">
        <x:v>319</x:v>
      </x:c>
      <x:c r="M147" s="37" t="s">
        <x:v>618</x:v>
      </x:c>
      <x:c r="N147" s="37" t="s">
        <x:v>319</x:v>
      </x:c>
      <x:c r="O147" s="36" t="s">
        <x:v>618</x:v>
      </x:c>
      <x:c r="P147" s="37" t="s">
        <x:v>151</x:v>
      </x:c>
      <x:c r="Q147" s="37" t="s">
        <x:v>151</x:v>
      </x:c>
      <x:c r="R147" s="37" t="s">
        <x:v>151</x:v>
      </x:c>
      <x:c r="S147" s="37" t="s">
        <x:v>152</x:v>
      </x:c>
      <x:c r="T147" s="36" t="s">
        <x:v>322</x:v>
      </x:c>
      <x:c r="U147" s="36" t="n">
        <x:f>IFERROR(O147*P147*Q147/R147*(1+S147)*T147,"")</x:f>
        <x:v>0.1643835616438356</x:v>
      </x:c>
      <x:c r="V147" s="33" t="s">
        <x:v>323</x:v>
      </x:c>
      <x:c r="W147" s="30">
        <x:v>46236.78357621528</x:v>
      </x:c>
      <x:c r="X147" s="30"/>
      <x:c r="Y147" s="3" t="s">
        <x:v>224</x:v>
      </x:c>
      <x:c r="Z147" s="3" t="s">
        <x:v>187</x:v>
      </x:c>
      <x:c r="AA147" s="17" t="s">
        <x:v>613</x:v>
      </x:c>
      <x:c r="AB147" s="33" t="str">
        <x:f>IF(A147="","",IF(COUNTIF($A$5:$A$1004,A147)&gt;1,"错误:重复成本规则ID",IF(OR(B147="",C147="",D147="",E147="",F147="",K147="",O147&lt;=0,P147&lt;=0,Q147&lt;=0,R147&lt;=0,S147&lt;0,T147&lt;=0,Y147="",Z147=""),"错误:必填项","OK")))</x:f>
        <x:v>OK</x:v>
      </x:c>
    </x:row>
    <x:row r="148" ht="39.599998474121094" hidden="1" customHeight="1">
      <x:c r="A148" s="3" t="s">
        <x:v>619</x:v>
      </x:c>
      <x:c r="B148" s="3" t="s">
        <x:v>184</x:v>
      </x:c>
      <x:c r="C148" s="3" t="s">
        <x:v>611</x:v>
      </x:c>
      <x:c r="D148" s="3" t="s">
        <x:v>217</x:v>
      </x:c>
      <x:c r="E148" s="3" t="s">
        <x:v>264</x:v>
      </x:c>
      <x:c r="F148" s="3" t="s">
        <x:v>318</x:v>
      </x:c>
      <x:c r="G148" s="3" t="s">
        <x:v>319</x:v>
      </x:c>
      <x:c r="H148" s="3" t="s">
        <x:v>319</x:v>
      </x:c>
      <x:c r="I148" s="3" t="s">
        <x:v>319</x:v>
      </x:c>
      <x:c r="J148" s="3" t="s">
        <x:v>320</x:v>
      </x:c>
      <x:c r="K148" s="3" t="s">
        <x:v>150</x:v>
      </x:c>
      <x:c r="L148" s="37" t="s">
        <x:v>319</x:v>
      </x:c>
      <x:c r="M148" s="37" t="s">
        <x:v>618</x:v>
      </x:c>
      <x:c r="N148" s="37" t="s">
        <x:v>319</x:v>
      </x:c>
      <x:c r="O148" s="36" t="s">
        <x:v>618</x:v>
      </x:c>
      <x:c r="P148" s="37" t="s">
        <x:v>151</x:v>
      </x:c>
      <x:c r="Q148" s="37" t="s">
        <x:v>151</x:v>
      </x:c>
      <x:c r="R148" s="37" t="s">
        <x:v>151</x:v>
      </x:c>
      <x:c r="S148" s="37" t="s">
        <x:v>152</x:v>
      </x:c>
      <x:c r="T148" s="36" t="s">
        <x:v>322</x:v>
      </x:c>
      <x:c r="U148" s="36" t="n">
        <x:f>IFERROR(O148*P148*Q148/R148*(1+S148)*T148,"")</x:f>
        <x:v>0.1643835616438356</x:v>
      </x:c>
      <x:c r="V148" s="33" t="s">
        <x:v>323</x:v>
      </x:c>
      <x:c r="W148" s="30">
        <x:v>46236.78357621528</x:v>
      </x:c>
      <x:c r="X148" s="30"/>
      <x:c r="Y148" s="3" t="s">
        <x:v>224</x:v>
      </x:c>
      <x:c r="Z148" s="3" t="s">
        <x:v>187</x:v>
      </x:c>
      <x:c r="AA148" s="17" t="s">
        <x:v>613</x:v>
      </x:c>
      <x:c r="AB148" s="33" t="str">
        <x:f>IF(A148="","",IF(COUNTIF($A$5:$A$1004,A148)&gt;1,"错误:重复成本规则ID",IF(OR(B148="",C148="",D148="",E148="",F148="",K148="",O148&lt;=0,P148&lt;=0,Q148&lt;=0,R148&lt;=0,S148&lt;0,T148&lt;=0,Y148="",Z148=""),"错误:必填项","OK")))</x:f>
        <x:v>OK</x:v>
      </x:c>
    </x:row>
    <x:row r="149" ht="39.599998474121094" hidden="1" customHeight="1">
      <x:c r="A149" s="3" t="s">
        <x:v>620</x:v>
      </x:c>
      <x:c r="B149" s="3" t="s">
        <x:v>184</x:v>
      </x:c>
      <x:c r="C149" s="3" t="s">
        <x:v>611</x:v>
      </x:c>
      <x:c r="D149" s="3" t="s">
        <x:v>230</x:v>
      </x:c>
      <x:c r="E149" s="3" t="s">
        <x:v>258</x:v>
      </x:c>
      <x:c r="F149" s="3" t="s">
        <x:v>318</x:v>
      </x:c>
      <x:c r="G149" s="3" t="s">
        <x:v>319</x:v>
      </x:c>
      <x:c r="H149" s="3" t="s">
        <x:v>319</x:v>
      </x:c>
      <x:c r="I149" s="3" t="s">
        <x:v>319</x:v>
      </x:c>
      <x:c r="J149" s="3" t="s">
        <x:v>320</x:v>
      </x:c>
      <x:c r="K149" s="3" t="s">
        <x:v>150</x:v>
      </x:c>
      <x:c r="L149" s="37" t="s">
        <x:v>319</x:v>
      </x:c>
      <x:c r="M149" s="37" t="s">
        <x:v>456</x:v>
      </x:c>
      <x:c r="N149" s="37" t="s">
        <x:v>319</x:v>
      </x:c>
      <x:c r="O149" s="36" t="s">
        <x:v>456</x:v>
      </x:c>
      <x:c r="P149" s="37" t="s">
        <x:v>151</x:v>
      </x:c>
      <x:c r="Q149" s="37" t="s">
        <x:v>151</x:v>
      </x:c>
      <x:c r="R149" s="37" t="s">
        <x:v>151</x:v>
      </x:c>
      <x:c r="S149" s="37" t="s">
        <x:v>152</x:v>
      </x:c>
      <x:c r="T149" s="36" t="s">
        <x:v>322</x:v>
      </x:c>
      <x:c r="U149" s="36" t="n">
        <x:f>IFERROR(O149*P149*Q149/R149*(1+S149)*T149,"")</x:f>
        <x:v>0.410958904109589</x:v>
      </x:c>
      <x:c r="V149" s="33" t="s">
        <x:v>323</x:v>
      </x:c>
      <x:c r="W149" s="30">
        <x:v>46236.78357621528</x:v>
      </x:c>
      <x:c r="X149" s="30"/>
      <x:c r="Y149" s="3" t="s">
        <x:v>224</x:v>
      </x:c>
      <x:c r="Z149" s="3" t="s">
        <x:v>187</x:v>
      </x:c>
      <x:c r="AA149" s="17" t="s">
        <x:v>613</x:v>
      </x:c>
      <x:c r="AB149" s="33" t="str">
        <x:f>IF(A149="","",IF(COUNTIF($A$5:$A$1004,A149)&gt;1,"错误:重复成本规则ID",IF(OR(B149="",C149="",D149="",E149="",F149="",K149="",O149&lt;=0,P149&lt;=0,Q149&lt;=0,R149&lt;=0,S149&lt;0,T149&lt;=0,Y149="",Z149=""),"错误:必填项","OK")))</x:f>
        <x:v>OK</x:v>
      </x:c>
    </x:row>
    <x:row r="150" ht="39.599998474121094" hidden="1" customHeight="1">
      <x:c r="A150" s="3" t="s">
        <x:v>621</x:v>
      </x:c>
      <x:c r="B150" s="3" t="s">
        <x:v>184</x:v>
      </x:c>
      <x:c r="C150" s="3" t="s">
        <x:v>611</x:v>
      </x:c>
      <x:c r="D150" s="3" t="s">
        <x:v>230</x:v>
      </x:c>
      <x:c r="E150" s="3" t="s">
        <x:v>264</x:v>
      </x:c>
      <x:c r="F150" s="3" t="s">
        <x:v>318</x:v>
      </x:c>
      <x:c r="G150" s="3" t="s">
        <x:v>319</x:v>
      </x:c>
      <x:c r="H150" s="3" t="s">
        <x:v>319</x:v>
      </x:c>
      <x:c r="I150" s="3" t="s">
        <x:v>319</x:v>
      </x:c>
      <x:c r="J150" s="3" t="s">
        <x:v>320</x:v>
      </x:c>
      <x:c r="K150" s="3" t="s">
        <x:v>150</x:v>
      </x:c>
      <x:c r="L150" s="37" t="s">
        <x:v>319</x:v>
      </x:c>
      <x:c r="M150" s="37" t="s">
        <x:v>456</x:v>
      </x:c>
      <x:c r="N150" s="37" t="s">
        <x:v>319</x:v>
      </x:c>
      <x:c r="O150" s="36" t="s">
        <x:v>456</x:v>
      </x:c>
      <x:c r="P150" s="37" t="s">
        <x:v>151</x:v>
      </x:c>
      <x:c r="Q150" s="37" t="s">
        <x:v>151</x:v>
      </x:c>
      <x:c r="R150" s="37" t="s">
        <x:v>151</x:v>
      </x:c>
      <x:c r="S150" s="37" t="s">
        <x:v>152</x:v>
      </x:c>
      <x:c r="T150" s="36" t="s">
        <x:v>322</x:v>
      </x:c>
      <x:c r="U150" s="36" t="n">
        <x:f>IFERROR(O150*P150*Q150/R150*(1+S150)*T150,"")</x:f>
        <x:v>0.410958904109589</x:v>
      </x:c>
      <x:c r="V150" s="33" t="s">
        <x:v>323</x:v>
      </x:c>
      <x:c r="W150" s="30">
        <x:v>46236.78357621528</x:v>
      </x:c>
      <x:c r="X150" s="30"/>
      <x:c r="Y150" s="3" t="s">
        <x:v>224</x:v>
      </x:c>
      <x:c r="Z150" s="3" t="s">
        <x:v>187</x:v>
      </x:c>
      <x:c r="AA150" s="17" t="s">
        <x:v>613</x:v>
      </x:c>
      <x:c r="AB150" s="33" t="str">
        <x:f>IF(A150="","",IF(COUNTIF($A$5:$A$1004,A150)&gt;1,"错误:重复成本规则ID",IF(OR(B150="",C150="",D150="",E150="",F150="",K150="",O150&lt;=0,P150&lt;=0,Q150&lt;=0,R150&lt;=0,S150&lt;0,T150&lt;=0,Y150="",Z150=""),"错误:必填项","OK")))</x:f>
        <x:v>OK</x:v>
      </x:c>
    </x:row>
    <x:row r="151" ht="39.599998474121094" hidden="1" customHeight="1">
      <x:c r="A151" s="3" t="s">
        <x:v>622</x:v>
      </x:c>
      <x:c r="B151" s="3" t="s">
        <x:v>184</x:v>
      </x:c>
      <x:c r="C151" s="3" t="s">
        <x:v>623</x:v>
      </x:c>
      <x:c r="D151" s="3" t="s">
        <x:v>238</x:v>
      </x:c>
      <x:c r="E151" s="3" t="s">
        <x:v>258</x:v>
      </x:c>
      <x:c r="F151" s="3" t="s">
        <x:v>318</x:v>
      </x:c>
      <x:c r="G151" s="3" t="s">
        <x:v>319</x:v>
      </x:c>
      <x:c r="H151" s="3" t="s">
        <x:v>319</x:v>
      </x:c>
      <x:c r="I151" s="3" t="s">
        <x:v>319</x:v>
      </x:c>
      <x:c r="J151" s="3" t="s">
        <x:v>320</x:v>
      </x:c>
      <x:c r="K151" s="3" t="s">
        <x:v>150</x:v>
      </x:c>
      <x:c r="L151" s="37" t="s">
        <x:v>319</x:v>
      </x:c>
      <x:c r="M151" s="37" t="s">
        <x:v>370</x:v>
      </x:c>
      <x:c r="N151" s="37" t="s">
        <x:v>319</x:v>
      </x:c>
      <x:c r="O151" s="36" t="s">
        <x:v>370</x:v>
      </x:c>
      <x:c r="P151" s="37" t="s">
        <x:v>151</x:v>
      </x:c>
      <x:c r="Q151" s="37" t="s">
        <x:v>151</x:v>
      </x:c>
      <x:c r="R151" s="37" t="s">
        <x:v>151</x:v>
      </x:c>
      <x:c r="S151" s="37" t="s">
        <x:v>152</x:v>
      </x:c>
      <x:c r="T151" s="36" t="s">
        <x:v>322</x:v>
      </x:c>
      <x:c r="U151" s="36" t="n">
        <x:f>IFERROR(O151*P151*Q151/R151*(1+S151)*T151,"")</x:f>
        <x:v>0.06575342465753424</x:v>
      </x:c>
      <x:c r="V151" s="33" t="s">
        <x:v>323</x:v>
      </x:c>
      <x:c r="W151" s="30">
        <x:v>46236.78357621528</x:v>
      </x:c>
      <x:c r="X151" s="30"/>
      <x:c r="Y151" s="3" t="s">
        <x:v>224</x:v>
      </x:c>
      <x:c r="Z151" s="3" t="s">
        <x:v>187</x:v>
      </x:c>
      <x:c r="AA151" s="17" t="s">
        <x:v>624</x:v>
      </x:c>
      <x:c r="AB151" s="33" t="str">
        <x:f>IF(A151="","",IF(COUNTIF($A$5:$A$1004,A151)&gt;1,"错误:重复成本规则ID",IF(OR(B151="",C151="",D151="",E151="",F151="",K151="",O151&lt;=0,P151&lt;=0,Q151&lt;=0,R151&lt;=0,S151&lt;0,T151&lt;=0,Y151="",Z151=""),"错误:必填项","OK")))</x:f>
        <x:v>OK</x:v>
      </x:c>
    </x:row>
    <x:row r="152" ht="39.599998474121094" hidden="1" customHeight="1">
      <x:c r="A152" s="3" t="s">
        <x:v>625</x:v>
      </x:c>
      <x:c r="B152" s="3" t="s">
        <x:v>184</x:v>
      </x:c>
      <x:c r="C152" s="3" t="s">
        <x:v>623</x:v>
      </x:c>
      <x:c r="D152" s="3" t="s">
        <x:v>238</x:v>
      </x:c>
      <x:c r="E152" s="3" t="s">
        <x:v>264</x:v>
      </x:c>
      <x:c r="F152" s="3" t="s">
        <x:v>318</x:v>
      </x:c>
      <x:c r="G152" s="3" t="s">
        <x:v>319</x:v>
      </x:c>
      <x:c r="H152" s="3" t="s">
        <x:v>319</x:v>
      </x:c>
      <x:c r="I152" s="3" t="s">
        <x:v>319</x:v>
      </x:c>
      <x:c r="J152" s="3" t="s">
        <x:v>320</x:v>
      </x:c>
      <x:c r="K152" s="3" t="s">
        <x:v>150</x:v>
      </x:c>
      <x:c r="L152" s="37" t="s">
        <x:v>319</x:v>
      </x:c>
      <x:c r="M152" s="37" t="s">
        <x:v>370</x:v>
      </x:c>
      <x:c r="N152" s="37" t="s">
        <x:v>319</x:v>
      </x:c>
      <x:c r="O152" s="36" t="s">
        <x:v>370</x:v>
      </x:c>
      <x:c r="P152" s="37" t="s">
        <x:v>151</x:v>
      </x:c>
      <x:c r="Q152" s="37" t="s">
        <x:v>151</x:v>
      </x:c>
      <x:c r="R152" s="37" t="s">
        <x:v>151</x:v>
      </x:c>
      <x:c r="S152" s="37" t="s">
        <x:v>152</x:v>
      </x:c>
      <x:c r="T152" s="36" t="s">
        <x:v>322</x:v>
      </x:c>
      <x:c r="U152" s="36" t="n">
        <x:f>IFERROR(O152*P152*Q152/R152*(1+S152)*T152,"")</x:f>
        <x:v>0.06575342465753424</x:v>
      </x:c>
      <x:c r="V152" s="33" t="s">
        <x:v>323</x:v>
      </x:c>
      <x:c r="W152" s="30">
        <x:v>46236.78357621528</x:v>
      </x:c>
      <x:c r="X152" s="30"/>
      <x:c r="Y152" s="3" t="s">
        <x:v>224</x:v>
      </x:c>
      <x:c r="Z152" s="3" t="s">
        <x:v>187</x:v>
      </x:c>
      <x:c r="AA152" s="17" t="s">
        <x:v>624</x:v>
      </x:c>
      <x:c r="AB152" s="33" t="str">
        <x:f>IF(A152="","",IF(COUNTIF($A$5:$A$1004,A152)&gt;1,"错误:重复成本规则ID",IF(OR(B152="",C152="",D152="",E152="",F152="",K152="",O152&lt;=0,P152&lt;=0,Q152&lt;=0,R152&lt;=0,S152&lt;0,T152&lt;=0,Y152="",Z152=""),"错误:必填项","OK")))</x:f>
        <x:v>OK</x:v>
      </x:c>
    </x:row>
    <x:row r="153" ht="39.599998474121094" hidden="1" customHeight="1">
      <x:c r="A153" s="3" t="s">
        <x:v>626</x:v>
      </x:c>
      <x:c r="B153" s="3" t="s">
        <x:v>184</x:v>
      </x:c>
      <x:c r="C153" s="3" t="s">
        <x:v>627</x:v>
      </x:c>
      <x:c r="D153" s="3" t="s">
        <x:v>244</x:v>
      </x:c>
      <x:c r="E153" s="3" t="s">
        <x:v>258</x:v>
      </x:c>
      <x:c r="F153" s="3" t="s">
        <x:v>318</x:v>
      </x:c>
      <x:c r="G153" s="3" t="s">
        <x:v>319</x:v>
      </x:c>
      <x:c r="H153" s="3" t="s">
        <x:v>319</x:v>
      </x:c>
      <x:c r="I153" s="3" t="s">
        <x:v>319</x:v>
      </x:c>
      <x:c r="J153" s="3" t="s">
        <x:v>320</x:v>
      </x:c>
      <x:c r="K153" s="3" t="s">
        <x:v>150</x:v>
      </x:c>
      <x:c r="L153" s="37" t="s">
        <x:v>319</x:v>
      </x:c>
      <x:c r="M153" s="37" t="s">
        <x:v>628</x:v>
      </x:c>
      <x:c r="N153" s="37" t="s">
        <x:v>319</x:v>
      </x:c>
      <x:c r="O153" s="36" t="s">
        <x:v>628</x:v>
      </x:c>
      <x:c r="P153" s="37" t="s">
        <x:v>151</x:v>
      </x:c>
      <x:c r="Q153" s="37" t="s">
        <x:v>151</x:v>
      </x:c>
      <x:c r="R153" s="37" t="s">
        <x:v>151</x:v>
      </x:c>
      <x:c r="S153" s="37" t="s">
        <x:v>152</x:v>
      </x:c>
      <x:c r="T153" s="36" t="s">
        <x:v>322</x:v>
      </x:c>
      <x:c r="U153" s="36" t="n">
        <x:f>IFERROR(O153*P153*Q153/R153*(1+S153)*T153,"")</x:f>
        <x:v>0.05342465753424657</x:v>
      </x:c>
      <x:c r="V153" s="33" t="s">
        <x:v>323</x:v>
      </x:c>
      <x:c r="W153" s="30">
        <x:v>46236.78357621528</x:v>
      </x:c>
      <x:c r="X153" s="30"/>
      <x:c r="Y153" s="3" t="s">
        <x:v>224</x:v>
      </x:c>
      <x:c r="Z153" s="3" t="s">
        <x:v>187</x:v>
      </x:c>
      <x:c r="AA153" s="17" t="s">
        <x:v>629</x:v>
      </x:c>
      <x:c r="AB153" s="33" t="str">
        <x:f>IF(A153="","",IF(COUNTIF($A$5:$A$1004,A153)&gt;1,"错误:重复成本规则ID",IF(OR(B153="",C153="",D153="",E153="",F153="",K153="",O153&lt;=0,P153&lt;=0,Q153&lt;=0,R153&lt;=0,S153&lt;0,T153&lt;=0,Y153="",Z153=""),"错误:必填项","OK")))</x:f>
        <x:v>OK</x:v>
      </x:c>
    </x:row>
    <x:row r="154" ht="52.79999923706055" hidden="1" customHeight="1">
      <x:c r="A154" s="3" t="s">
        <x:v>630</x:v>
      </x:c>
      <x:c r="B154" s="3" t="s">
        <x:v>184</x:v>
      </x:c>
      <x:c r="C154" s="3" t="s">
        <x:v>627</x:v>
      </x:c>
      <x:c r="D154" s="3" t="s">
        <x:v>244</x:v>
      </x:c>
      <x:c r="E154" s="3" t="s">
        <x:v>264</x:v>
      </x:c>
      <x:c r="F154" s="3" t="s">
        <x:v>318</x:v>
      </x:c>
      <x:c r="G154" s="3" t="s">
        <x:v>319</x:v>
      </x:c>
      <x:c r="H154" s="3" t="s">
        <x:v>319</x:v>
      </x:c>
      <x:c r="I154" s="3" t="s">
        <x:v>319</x:v>
      </x:c>
      <x:c r="J154" s="3" t="s">
        <x:v>320</x:v>
      </x:c>
      <x:c r="K154" s="3" t="s">
        <x:v>150</x:v>
      </x:c>
      <x:c r="L154" s="37" t="s">
        <x:v>319</x:v>
      </x:c>
      <x:c r="M154" s="37" t="s">
        <x:v>628</x:v>
      </x:c>
      <x:c r="N154" s="37" t="s">
        <x:v>319</x:v>
      </x:c>
      <x:c r="O154" s="36" t="s">
        <x:v>628</x:v>
      </x:c>
      <x:c r="P154" s="37" t="s">
        <x:v>151</x:v>
      </x:c>
      <x:c r="Q154" s="37" t="s">
        <x:v>151</x:v>
      </x:c>
      <x:c r="R154" s="37" t="s">
        <x:v>151</x:v>
      </x:c>
      <x:c r="S154" s="37" t="s">
        <x:v>152</x:v>
      </x:c>
      <x:c r="T154" s="36" t="s">
        <x:v>322</x:v>
      </x:c>
      <x:c r="U154" s="36" t="n">
        <x:f>IFERROR(O154*P154*Q154/R154*(1+S154)*T154,"")</x:f>
        <x:v>0.05342465753424657</x:v>
      </x:c>
      <x:c r="V154" s="33" t="s">
        <x:v>323</x:v>
      </x:c>
      <x:c r="W154" s="30">
        <x:v>46236.78357621528</x:v>
      </x:c>
      <x:c r="X154" s="30"/>
      <x:c r="Y154" s="3" t="s">
        <x:v>224</x:v>
      </x:c>
      <x:c r="Z154" s="3" t="s">
        <x:v>187</x:v>
      </x:c>
      <x:c r="AA154" s="17" t="s">
        <x:v>629</x:v>
      </x:c>
      <x:c r="AB154" s="33" t="str">
        <x:f>IF(A154="","",IF(COUNTIF($A$5:$A$1004,A154)&gt;1,"错误:重复成本规则ID",IF(OR(B154="",C154="",D154="",E154="",F154="",K154="",O154&lt;=0,P154&lt;=0,Q154&lt;=0,R154&lt;=0,S154&lt;0,T154&lt;=0,Y154="",Z154=""),"错误:必填项","OK")))</x:f>
        <x:v>OK</x:v>
      </x:c>
    </x:row>
    <x:row r="155" ht="52.79999923706055" hidden="1" customHeight="1">
      <x:c r="A155" s="3" t="s">
        <x:v>631</x:v>
      </x:c>
      <x:c r="B155" s="3" t="s">
        <x:v>184</x:v>
      </x:c>
      <x:c r="C155" s="3" t="s">
        <x:v>632</x:v>
      </x:c>
      <x:c r="D155" s="3" t="s">
        <x:v>232</x:v>
      </x:c>
      <x:c r="E155" s="3" t="s">
        <x:v>258</x:v>
      </x:c>
      <x:c r="F155" s="3" t="s">
        <x:v>318</x:v>
      </x:c>
      <x:c r="G155" s="3" t="s">
        <x:v>319</x:v>
      </x:c>
      <x:c r="H155" s="3" t="s">
        <x:v>319</x:v>
      </x:c>
      <x:c r="I155" s="3" t="s">
        <x:v>319</x:v>
      </x:c>
      <x:c r="J155" s="3" t="s">
        <x:v>320</x:v>
      </x:c>
      <x:c r="K155" s="3" t="s">
        <x:v>150</x:v>
      </x:c>
      <x:c r="L155" s="37" t="s">
        <x:v>319</x:v>
      </x:c>
      <x:c r="M155" s="37" t="s">
        <x:v>633</x:v>
      </x:c>
      <x:c r="N155" s="37" t="s">
        <x:v>319</x:v>
      </x:c>
      <x:c r="O155" s="36" t="s">
        <x:v>633</x:v>
      </x:c>
      <x:c r="P155" s="37" t="s">
        <x:v>151</x:v>
      </x:c>
      <x:c r="Q155" s="37" t="s">
        <x:v>151</x:v>
      </x:c>
      <x:c r="R155" s="37" t="s">
        <x:v>151</x:v>
      </x:c>
      <x:c r="S155" s="37" t="s">
        <x:v>152</x:v>
      </x:c>
      <x:c r="T155" s="36" t="s">
        <x:v>322</x:v>
      </x:c>
      <x:c r="U155" s="36" t="n">
        <x:f>IFERROR(O155*P155*Q155/R155*(1+S155)*T155,"")</x:f>
        <x:v>0.08493150684931507</x:v>
      </x:c>
      <x:c r="V155" s="33" t="s">
        <x:v>323</x:v>
      </x:c>
      <x:c r="W155" s="30">
        <x:v>46236.78357621528</x:v>
      </x:c>
      <x:c r="X155" s="30"/>
      <x:c r="Y155" s="3" t="s">
        <x:v>224</x:v>
      </x:c>
      <x:c r="Z155" s="3" t="s">
        <x:v>187</x:v>
      </x:c>
      <x:c r="AA155" s="17" t="s">
        <x:v>634</x:v>
      </x:c>
      <x:c r="AB155" s="33" t="str">
        <x:f>IF(A155="","",IF(COUNTIF($A$5:$A$1004,A155)&gt;1,"错误:重复成本规则ID",IF(OR(B155="",C155="",D155="",E155="",F155="",K155="",O155&lt;=0,P155&lt;=0,Q155&lt;=0,R155&lt;=0,S155&lt;0,T155&lt;=0,Y155="",Z155=""),"错误:必填项","OK")))</x:f>
        <x:v>OK</x:v>
      </x:c>
    </x:row>
    <x:row r="156" ht="52.79999923706055" hidden="1" customHeight="1">
      <x:c r="A156" s="3" t="s">
        <x:v>635</x:v>
      </x:c>
      <x:c r="B156" s="3" t="s">
        <x:v>184</x:v>
      </x:c>
      <x:c r="C156" s="3" t="s">
        <x:v>632</x:v>
      </x:c>
      <x:c r="D156" s="3" t="s">
        <x:v>232</x:v>
      </x:c>
      <x:c r="E156" s="3" t="s">
        <x:v>264</x:v>
      </x:c>
      <x:c r="F156" s="3" t="s">
        <x:v>318</x:v>
      </x:c>
      <x:c r="G156" s="3" t="s">
        <x:v>319</x:v>
      </x:c>
      <x:c r="H156" s="3" t="s">
        <x:v>319</x:v>
      </x:c>
      <x:c r="I156" s="3" t="s">
        <x:v>319</x:v>
      </x:c>
      <x:c r="J156" s="3" t="s">
        <x:v>320</x:v>
      </x:c>
      <x:c r="K156" s="3" t="s">
        <x:v>150</x:v>
      </x:c>
      <x:c r="L156" s="37" t="s">
        <x:v>319</x:v>
      </x:c>
      <x:c r="M156" s="37" t="s">
        <x:v>633</x:v>
      </x:c>
      <x:c r="N156" s="37" t="s">
        <x:v>319</x:v>
      </x:c>
      <x:c r="O156" s="36" t="s">
        <x:v>633</x:v>
      </x:c>
      <x:c r="P156" s="37" t="s">
        <x:v>151</x:v>
      </x:c>
      <x:c r="Q156" s="37" t="s">
        <x:v>151</x:v>
      </x:c>
      <x:c r="R156" s="37" t="s">
        <x:v>151</x:v>
      </x:c>
      <x:c r="S156" s="37" t="s">
        <x:v>152</x:v>
      </x:c>
      <x:c r="T156" s="36" t="s">
        <x:v>322</x:v>
      </x:c>
      <x:c r="U156" s="36" t="n">
        <x:f>IFERROR(O156*P156*Q156/R156*(1+S156)*T156,"")</x:f>
        <x:v>0.08493150684931507</x:v>
      </x:c>
      <x:c r="V156" s="33" t="s">
        <x:v>323</x:v>
      </x:c>
      <x:c r="W156" s="30">
        <x:v>46236.78357621528</x:v>
      </x:c>
      <x:c r="X156" s="30"/>
      <x:c r="Y156" s="3" t="s">
        <x:v>224</x:v>
      </x:c>
      <x:c r="Z156" s="3" t="s">
        <x:v>187</x:v>
      </x:c>
      <x:c r="AA156" s="17" t="s">
        <x:v>634</x:v>
      </x:c>
      <x:c r="AB156" s="33" t="str">
        <x:f>IF(A156="","",IF(COUNTIF($A$5:$A$1004,A156)&gt;1,"错误:重复成本规则ID",IF(OR(B156="",C156="",D156="",E156="",F156="",K156="",O156&lt;=0,P156&lt;=0,Q156&lt;=0,R156&lt;=0,S156&lt;0,T156&lt;=0,Y156="",Z156=""),"错误:必填项","OK")))</x:f>
        <x:v>OK</x:v>
      </x:c>
    </x:row>
    <x:row r="157" ht="52.79999923706055" hidden="1" customHeight="1">
      <x:c r="A157" s="3" t="s">
        <x:v>636</x:v>
      </x:c>
      <x:c r="B157" s="3" t="s">
        <x:v>184</x:v>
      </x:c>
      <x:c r="C157" s="3" t="s">
        <x:v>632</x:v>
      </x:c>
      <x:c r="D157" s="3" t="s">
        <x:v>217</x:v>
      </x:c>
      <x:c r="E157" s="3" t="s">
        <x:v>258</x:v>
      </x:c>
      <x:c r="F157" s="3" t="s">
        <x:v>318</x:v>
      </x:c>
      <x:c r="G157" s="3" t="s">
        <x:v>319</x:v>
      </x:c>
      <x:c r="H157" s="3" t="s">
        <x:v>319</x:v>
      </x:c>
      <x:c r="I157" s="3" t="s">
        <x:v>319</x:v>
      </x:c>
      <x:c r="J157" s="3" t="s">
        <x:v>320</x:v>
      </x:c>
      <x:c r="K157" s="3" t="s">
        <x:v>150</x:v>
      </x:c>
      <x:c r="L157" s="37" t="s">
        <x:v>319</x:v>
      </x:c>
      <x:c r="M157" s="37" t="s">
        <x:v>637</x:v>
      </x:c>
      <x:c r="N157" s="37" t="s">
        <x:v>319</x:v>
      </x:c>
      <x:c r="O157" s="36" t="s">
        <x:v>637</x:v>
      </x:c>
      <x:c r="P157" s="37" t="s">
        <x:v>151</x:v>
      </x:c>
      <x:c r="Q157" s="37" t="s">
        <x:v>151</x:v>
      </x:c>
      <x:c r="R157" s="37" t="s">
        <x:v>151</x:v>
      </x:c>
      <x:c r="S157" s="37" t="s">
        <x:v>152</x:v>
      </x:c>
      <x:c r="T157" s="36" t="s">
        <x:v>322</x:v>
      </x:c>
      <x:c r="U157" s="36" t="n">
        <x:f>IFERROR(O157*P157*Q157/R157*(1+S157)*T157,"")</x:f>
        <x:v>0.21232876712328766</x:v>
      </x:c>
      <x:c r="V157" s="33" t="s">
        <x:v>323</x:v>
      </x:c>
      <x:c r="W157" s="30">
        <x:v>46236.78357621528</x:v>
      </x:c>
      <x:c r="X157" s="30"/>
      <x:c r="Y157" s="3" t="s">
        <x:v>224</x:v>
      </x:c>
      <x:c r="Z157" s="3" t="s">
        <x:v>187</x:v>
      </x:c>
      <x:c r="AA157" s="17" t="s">
        <x:v>634</x:v>
      </x:c>
      <x:c r="AB157" s="33" t="str">
        <x:f>IF(A157="","",IF(COUNTIF($A$5:$A$1004,A157)&gt;1,"错误:重复成本规则ID",IF(OR(B157="",C157="",D157="",E157="",F157="",K157="",O157&lt;=0,P157&lt;=0,Q157&lt;=0,R157&lt;=0,S157&lt;0,T157&lt;=0,Y157="",Z157=""),"错误:必填项","OK")))</x:f>
        <x:v>OK</x:v>
      </x:c>
    </x:row>
    <x:row r="158" ht="52.79999923706055" hidden="1" customHeight="1">
      <x:c r="A158" s="3" t="s">
        <x:v>638</x:v>
      </x:c>
      <x:c r="B158" s="3" t="s">
        <x:v>184</x:v>
      </x:c>
      <x:c r="C158" s="3" t="s">
        <x:v>632</x:v>
      </x:c>
      <x:c r="D158" s="3" t="s">
        <x:v>217</x:v>
      </x:c>
      <x:c r="E158" s="3" t="s">
        <x:v>264</x:v>
      </x:c>
      <x:c r="F158" s="3" t="s">
        <x:v>318</x:v>
      </x:c>
      <x:c r="G158" s="3" t="s">
        <x:v>319</x:v>
      </x:c>
      <x:c r="H158" s="3" t="s">
        <x:v>319</x:v>
      </x:c>
      <x:c r="I158" s="3" t="s">
        <x:v>319</x:v>
      </x:c>
      <x:c r="J158" s="3" t="s">
        <x:v>320</x:v>
      </x:c>
      <x:c r="K158" s="3" t="s">
        <x:v>150</x:v>
      </x:c>
      <x:c r="L158" s="37" t="s">
        <x:v>319</x:v>
      </x:c>
      <x:c r="M158" s="37" t="s">
        <x:v>637</x:v>
      </x:c>
      <x:c r="N158" s="37" t="s">
        <x:v>319</x:v>
      </x:c>
      <x:c r="O158" s="36" t="s">
        <x:v>637</x:v>
      </x:c>
      <x:c r="P158" s="37" t="s">
        <x:v>151</x:v>
      </x:c>
      <x:c r="Q158" s="37" t="s">
        <x:v>151</x:v>
      </x:c>
      <x:c r="R158" s="37" t="s">
        <x:v>151</x:v>
      </x:c>
      <x:c r="S158" s="37" t="s">
        <x:v>152</x:v>
      </x:c>
      <x:c r="T158" s="36" t="s">
        <x:v>322</x:v>
      </x:c>
      <x:c r="U158" s="36" t="n">
        <x:f>IFERROR(O158*P158*Q158/R158*(1+S158)*T158,"")</x:f>
        <x:v>0.21232876712328766</x:v>
      </x:c>
      <x:c r="V158" s="33" t="s">
        <x:v>323</x:v>
      </x:c>
      <x:c r="W158" s="30">
        <x:v>46236.78357621528</x:v>
      </x:c>
      <x:c r="X158" s="30"/>
      <x:c r="Y158" s="3" t="s">
        <x:v>224</x:v>
      </x:c>
      <x:c r="Z158" s="3" t="s">
        <x:v>187</x:v>
      </x:c>
      <x:c r="AA158" s="17" t="s">
        <x:v>634</x:v>
      </x:c>
      <x:c r="AB158" s="33" t="str">
        <x:f>IF(A158="","",IF(COUNTIF($A$5:$A$1004,A158)&gt;1,"错误:重复成本规则ID",IF(OR(B158="",C158="",D158="",E158="",F158="",K158="",O158&lt;=0,P158&lt;=0,Q158&lt;=0,R158&lt;=0,S158&lt;0,T158&lt;=0,Y158="",Z158=""),"错误:必填项","OK")))</x:f>
        <x:v>OK</x:v>
      </x:c>
    </x:row>
    <x:row r="159" ht="52.79999923706055" hidden="1" customHeight="1">
      <x:c r="A159" s="3" t="s">
        <x:v>639</x:v>
      </x:c>
      <x:c r="B159" s="3" t="s">
        <x:v>184</x:v>
      </x:c>
      <x:c r="C159" s="3" t="s">
        <x:v>640</x:v>
      </x:c>
      <x:c r="D159" s="3" t="s">
        <x:v>234</x:v>
      </x:c>
      <x:c r="E159" s="3" t="s">
        <x:v>258</x:v>
      </x:c>
      <x:c r="F159" s="3" t="s">
        <x:v>318</x:v>
      </x:c>
      <x:c r="G159" s="3" t="s">
        <x:v>319</x:v>
      </x:c>
      <x:c r="H159" s="3" t="s">
        <x:v>319</x:v>
      </x:c>
      <x:c r="I159" s="3" t="s">
        <x:v>319</x:v>
      </x:c>
      <x:c r="J159" s="3" t="s">
        <x:v>320</x:v>
      </x:c>
      <x:c r="K159" s="3" t="s">
        <x:v>150</x:v>
      </x:c>
      <x:c r="L159" s="37" t="s">
        <x:v>319</x:v>
      </x:c>
      <x:c r="M159" s="37" t="s">
        <x:v>502</x:v>
      </x:c>
      <x:c r="N159" s="37" t="s">
        <x:v>319</x:v>
      </x:c>
      <x:c r="O159" s="36" t="s">
        <x:v>502</x:v>
      </x:c>
      <x:c r="P159" s="37" t="s">
        <x:v>151</x:v>
      </x:c>
      <x:c r="Q159" s="37" t="s">
        <x:v>151</x:v>
      </x:c>
      <x:c r="R159" s="37" t="s">
        <x:v>151</x:v>
      </x:c>
      <x:c r="S159" s="37" t="s">
        <x:v>152</x:v>
      </x:c>
      <x:c r="T159" s="36" t="s">
        <x:v>322</x:v>
      </x:c>
      <x:c r="U159" s="36" t="n">
        <x:f>IFERROR(O159*P159*Q159/R159*(1+S159)*T159,"")</x:f>
        <x:v>0.03424657534246575</x:v>
      </x:c>
      <x:c r="V159" s="33" t="s">
        <x:v>323</x:v>
      </x:c>
      <x:c r="W159" s="30">
        <x:v>46236.78357621528</x:v>
      </x:c>
      <x:c r="X159" s="30"/>
      <x:c r="Y159" s="3" t="s">
        <x:v>224</x:v>
      </x:c>
      <x:c r="Z159" s="3" t="s">
        <x:v>187</x:v>
      </x:c>
      <x:c r="AA159" s="17" t="s">
        <x:v>641</x:v>
      </x:c>
      <x:c r="AB159" s="33" t="str">
        <x:f>IF(A159="","",IF(COUNTIF($A$5:$A$1004,A159)&gt;1,"错误:重复成本规则ID",IF(OR(B159="",C159="",D159="",E159="",F159="",K159="",O159&lt;=0,P159&lt;=0,Q159&lt;=0,R159&lt;=0,S159&lt;0,T159&lt;=0,Y159="",Z159=""),"错误:必填项","OK")))</x:f>
        <x:v>OK</x:v>
      </x:c>
    </x:row>
    <x:row r="160" ht="52.79999923706055" hidden="1" customHeight="1">
      <x:c r="A160" s="3" t="s">
        <x:v>642</x:v>
      </x:c>
      <x:c r="B160" s="3" t="s">
        <x:v>184</x:v>
      </x:c>
      <x:c r="C160" s="3" t="s">
        <x:v>640</x:v>
      </x:c>
      <x:c r="D160" s="3" t="s">
        <x:v>234</x:v>
      </x:c>
      <x:c r="E160" s="3" t="s">
        <x:v>264</x:v>
      </x:c>
      <x:c r="F160" s="3" t="s">
        <x:v>318</x:v>
      </x:c>
      <x:c r="G160" s="3" t="s">
        <x:v>319</x:v>
      </x:c>
      <x:c r="H160" s="3" t="s">
        <x:v>319</x:v>
      </x:c>
      <x:c r="I160" s="3" t="s">
        <x:v>319</x:v>
      </x:c>
      <x:c r="J160" s="3" t="s">
        <x:v>320</x:v>
      </x:c>
      <x:c r="K160" s="3" t="s">
        <x:v>150</x:v>
      </x:c>
      <x:c r="L160" s="37" t="s">
        <x:v>319</x:v>
      </x:c>
      <x:c r="M160" s="37" t="s">
        <x:v>502</x:v>
      </x:c>
      <x:c r="N160" s="37" t="s">
        <x:v>319</x:v>
      </x:c>
      <x:c r="O160" s="36" t="s">
        <x:v>502</x:v>
      </x:c>
      <x:c r="P160" s="37" t="s">
        <x:v>151</x:v>
      </x:c>
      <x:c r="Q160" s="37" t="s">
        <x:v>151</x:v>
      </x:c>
      <x:c r="R160" s="37" t="s">
        <x:v>151</x:v>
      </x:c>
      <x:c r="S160" s="37" t="s">
        <x:v>152</x:v>
      </x:c>
      <x:c r="T160" s="36" t="s">
        <x:v>322</x:v>
      </x:c>
      <x:c r="U160" s="36" t="n">
        <x:f>IFERROR(O160*P160*Q160/R160*(1+S160)*T160,"")</x:f>
        <x:v>0.03424657534246575</x:v>
      </x:c>
      <x:c r="V160" s="33" t="s">
        <x:v>323</x:v>
      </x:c>
      <x:c r="W160" s="30">
        <x:v>46236.78357621528</x:v>
      </x:c>
      <x:c r="X160" s="30"/>
      <x:c r="Y160" s="3" t="s">
        <x:v>224</x:v>
      </x:c>
      <x:c r="Z160" s="3" t="s">
        <x:v>187</x:v>
      </x:c>
      <x:c r="AA160" s="17" t="s">
        <x:v>641</x:v>
      </x:c>
      <x:c r="AB160" s="33" t="str">
        <x:f>IF(A160="","",IF(COUNTIF($A$5:$A$1004,A160)&gt;1,"错误:重复成本规则ID",IF(OR(B160="",C160="",D160="",E160="",F160="",K160="",O160&lt;=0,P160&lt;=0,Q160&lt;=0,R160&lt;=0,S160&lt;0,T160&lt;=0,Y160="",Z160=""),"错误:必填项","OK")))</x:f>
        <x:v>OK</x:v>
      </x:c>
    </x:row>
    <x:row r="161" ht="52.79999923706055" hidden="1" customHeight="1">
      <x:c r="A161" s="3" t="s">
        <x:v>643</x:v>
      </x:c>
      <x:c r="B161" s="3" t="s">
        <x:v>184</x:v>
      </x:c>
      <x:c r="C161" s="3" t="s">
        <x:v>640</x:v>
      </x:c>
      <x:c r="D161" s="3" t="s">
        <x:v>238</x:v>
      </x:c>
      <x:c r="E161" s="3" t="s">
        <x:v>258</x:v>
      </x:c>
      <x:c r="F161" s="3" t="s">
        <x:v>318</x:v>
      </x:c>
      <x:c r="G161" s="3" t="s">
        <x:v>319</x:v>
      </x:c>
      <x:c r="H161" s="3" t="s">
        <x:v>319</x:v>
      </x:c>
      <x:c r="I161" s="3" t="s">
        <x:v>319</x:v>
      </x:c>
      <x:c r="J161" s="3" t="s">
        <x:v>320</x:v>
      </x:c>
      <x:c r="K161" s="3" t="s">
        <x:v>150</x:v>
      </x:c>
      <x:c r="L161" s="37" t="s">
        <x:v>319</x:v>
      </x:c>
      <x:c r="M161" s="37" t="s">
        <x:v>644</x:v>
      </x:c>
      <x:c r="N161" s="37" t="s">
        <x:v>319</x:v>
      </x:c>
      <x:c r="O161" s="36" t="s">
        <x:v>644</x:v>
      </x:c>
      <x:c r="P161" s="37" t="s">
        <x:v>151</x:v>
      </x:c>
      <x:c r="Q161" s="37" t="s">
        <x:v>151</x:v>
      </x:c>
      <x:c r="R161" s="37" t="s">
        <x:v>151</x:v>
      </x:c>
      <x:c r="S161" s="37" t="s">
        <x:v>152</x:v>
      </x:c>
      <x:c r="T161" s="36" t="s">
        <x:v>322</x:v>
      </x:c>
      <x:c r="U161" s="36" t="n">
        <x:f>IFERROR(O161*P161*Q161/R161*(1+S161)*T161,"")</x:f>
        <x:v>0.06438356164383562</x:v>
      </x:c>
      <x:c r="V161" s="33" t="s">
        <x:v>323</x:v>
      </x:c>
      <x:c r="W161" s="30">
        <x:v>46236.78357621528</x:v>
      </x:c>
      <x:c r="X161" s="30"/>
      <x:c r="Y161" s="3" t="s">
        <x:v>224</x:v>
      </x:c>
      <x:c r="Z161" s="3" t="s">
        <x:v>187</x:v>
      </x:c>
      <x:c r="AA161" s="17" t="s">
        <x:v>641</x:v>
      </x:c>
      <x:c r="AB161" s="33" t="str">
        <x:f>IF(A161="","",IF(COUNTIF($A$5:$A$1004,A161)&gt;1,"错误:重复成本规则ID",IF(OR(B161="",C161="",D161="",E161="",F161="",K161="",O161&lt;=0,P161&lt;=0,Q161&lt;=0,R161&lt;=0,S161&lt;0,T161&lt;=0,Y161="",Z161=""),"错误:必填项","OK")))</x:f>
        <x:v>OK</x:v>
      </x:c>
    </x:row>
    <x:row r="162" ht="66" hidden="1" customHeight="1">
      <x:c r="A162" s="3" t="s">
        <x:v>645</x:v>
      </x:c>
      <x:c r="B162" s="3" t="s">
        <x:v>184</x:v>
      </x:c>
      <x:c r="C162" s="3" t="s">
        <x:v>640</x:v>
      </x:c>
      <x:c r="D162" s="3" t="s">
        <x:v>238</x:v>
      </x:c>
      <x:c r="E162" s="3" t="s">
        <x:v>264</x:v>
      </x:c>
      <x:c r="F162" s="3" t="s">
        <x:v>318</x:v>
      </x:c>
      <x:c r="G162" s="3" t="s">
        <x:v>319</x:v>
      </x:c>
      <x:c r="H162" s="3" t="s">
        <x:v>319</x:v>
      </x:c>
      <x:c r="I162" s="3" t="s">
        <x:v>319</x:v>
      </x:c>
      <x:c r="J162" s="3" t="s">
        <x:v>320</x:v>
      </x:c>
      <x:c r="K162" s="3" t="s">
        <x:v>150</x:v>
      </x:c>
      <x:c r="L162" s="37" t="s">
        <x:v>319</x:v>
      </x:c>
      <x:c r="M162" s="37" t="s">
        <x:v>644</x:v>
      </x:c>
      <x:c r="N162" s="37" t="s">
        <x:v>319</x:v>
      </x:c>
      <x:c r="O162" s="36" t="s">
        <x:v>644</x:v>
      </x:c>
      <x:c r="P162" s="37" t="s">
        <x:v>151</x:v>
      </x:c>
      <x:c r="Q162" s="37" t="s">
        <x:v>151</x:v>
      </x:c>
      <x:c r="R162" s="37" t="s">
        <x:v>151</x:v>
      </x:c>
      <x:c r="S162" s="37" t="s">
        <x:v>152</x:v>
      </x:c>
      <x:c r="T162" s="36" t="s">
        <x:v>322</x:v>
      </x:c>
      <x:c r="U162" s="36" t="n">
        <x:f>IFERROR(O162*P162*Q162/R162*(1+S162)*T162,"")</x:f>
        <x:v>0.06438356164383562</x:v>
      </x:c>
      <x:c r="V162" s="33" t="s">
        <x:v>323</x:v>
      </x:c>
      <x:c r="W162" s="30">
        <x:v>46236.78357621528</x:v>
      </x:c>
      <x:c r="X162" s="30"/>
      <x:c r="Y162" s="3" t="s">
        <x:v>224</x:v>
      </x:c>
      <x:c r="Z162" s="3" t="s">
        <x:v>187</x:v>
      </x:c>
      <x:c r="AA162" s="17" t="s">
        <x:v>641</x:v>
      </x:c>
      <x:c r="AB162" s="33" t="str">
        <x:f>IF(A162="","",IF(COUNTIF($A$5:$A$1004,A162)&gt;1,"错误:重复成本规则ID",IF(OR(B162="",C162="",D162="",E162="",F162="",K162="",O162&lt;=0,P162&lt;=0,Q162&lt;=0,R162&lt;=0,S162&lt;0,T162&lt;=0,Y162="",Z162=""),"错误:必填项","OK")))</x:f>
        <x:v>OK</x:v>
      </x:c>
    </x:row>
    <x:row r="163" ht="66" hidden="1" customHeight="1">
      <x:c r="A163" s="3" t="s">
        <x:v>646</x:v>
      </x:c>
      <x:c r="B163" s="3" t="s">
        <x:v>184</x:v>
      </x:c>
      <x:c r="C163" s="3" t="s">
        <x:v>607</x:v>
      </x:c>
      <x:c r="D163" s="3" t="s">
        <x:v>240</x:v>
      </x:c>
      <x:c r="E163" s="3" t="s">
        <x:v>258</x:v>
      </x:c>
      <x:c r="F163" s="3" t="s">
        <x:v>318</x:v>
      </x:c>
      <x:c r="G163" s="3" t="s">
        <x:v>319</x:v>
      </x:c>
      <x:c r="H163" s="3" t="s">
        <x:v>319</x:v>
      </x:c>
      <x:c r="I163" s="3" t="s">
        <x:v>319</x:v>
      </x:c>
      <x:c r="J163" s="3" t="s">
        <x:v>320</x:v>
      </x:c>
      <x:c r="K163" s="3" t="s">
        <x:v>150</x:v>
      </x:c>
      <x:c r="L163" s="37" t="s">
        <x:v>319</x:v>
      </x:c>
      <x:c r="M163" s="37" t="s">
        <x:v>647</x:v>
      </x:c>
      <x:c r="N163" s="37" t="s">
        <x:v>319</x:v>
      </x:c>
      <x:c r="O163" s="36" t="s">
        <x:v>647</x:v>
      </x:c>
      <x:c r="P163" s="37" t="s">
        <x:v>151</x:v>
      </x:c>
      <x:c r="Q163" s="37" t="s">
        <x:v>151</x:v>
      </x:c>
      <x:c r="R163" s="37" t="s">
        <x:v>151</x:v>
      </x:c>
      <x:c r="S163" s="37" t="s">
        <x:v>152</x:v>
      </x:c>
      <x:c r="T163" s="36" t="s">
        <x:v>322</x:v>
      </x:c>
      <x:c r="U163" s="36" t="n">
        <x:f>IFERROR(O163*P163*Q163/R163*(1+S163)*T163,"")</x:f>
        <x:v>0.021917808219178082</x:v>
      </x:c>
      <x:c r="V163" s="33" t="s">
        <x:v>323</x:v>
      </x:c>
      <x:c r="W163" s="30">
        <x:v>46236.78357621528</x:v>
      </x:c>
      <x:c r="X163" s="30"/>
      <x:c r="Y163" s="3" t="s">
        <x:v>224</x:v>
      </x:c>
      <x:c r="Z163" s="3" t="s">
        <x:v>187</x:v>
      </x:c>
      <x:c r="AA163" s="17" t="s">
        <x:v>608</x:v>
      </x:c>
      <x:c r="AB163" s="33" t="str">
        <x:f>IF(A163="","",IF(COUNTIF($A$5:$A$1004,A163)&gt;1,"错误:重复成本规则ID",IF(OR(B163="",C163="",D163="",E163="",F163="",K163="",O163&lt;=0,P163&lt;=0,Q163&lt;=0,R163&lt;=0,S163&lt;0,T163&lt;=0,Y163="",Z163=""),"错误:必填项","OK")))</x:f>
        <x:v>OK</x:v>
      </x:c>
    </x:row>
    <x:row r="164" ht="66" hidden="1" customHeight="1">
      <x:c r="A164" s="3" t="s">
        <x:v>648</x:v>
      </x:c>
      <x:c r="B164" s="3" t="s">
        <x:v>184</x:v>
      </x:c>
      <x:c r="C164" s="3" t="s">
        <x:v>607</x:v>
      </x:c>
      <x:c r="D164" s="3" t="s">
        <x:v>240</x:v>
      </x:c>
      <x:c r="E164" s="3" t="s">
        <x:v>264</x:v>
      </x:c>
      <x:c r="F164" s="3" t="s">
        <x:v>318</x:v>
      </x:c>
      <x:c r="G164" s="3" t="s">
        <x:v>319</x:v>
      </x:c>
      <x:c r="H164" s="3" t="s">
        <x:v>319</x:v>
      </x:c>
      <x:c r="I164" s="3" t="s">
        <x:v>319</x:v>
      </x:c>
      <x:c r="J164" s="3" t="s">
        <x:v>320</x:v>
      </x:c>
      <x:c r="K164" s="3" t="s">
        <x:v>150</x:v>
      </x:c>
      <x:c r="L164" s="37" t="s">
        <x:v>319</x:v>
      </x:c>
      <x:c r="M164" s="37" t="s">
        <x:v>647</x:v>
      </x:c>
      <x:c r="N164" s="37" t="s">
        <x:v>319</x:v>
      </x:c>
      <x:c r="O164" s="36" t="s">
        <x:v>647</x:v>
      </x:c>
      <x:c r="P164" s="37" t="s">
        <x:v>151</x:v>
      </x:c>
      <x:c r="Q164" s="37" t="s">
        <x:v>151</x:v>
      </x:c>
      <x:c r="R164" s="37" t="s">
        <x:v>151</x:v>
      </x:c>
      <x:c r="S164" s="37" t="s">
        <x:v>152</x:v>
      </x:c>
      <x:c r="T164" s="36" t="s">
        <x:v>322</x:v>
      </x:c>
      <x:c r="U164" s="36" t="n">
        <x:f>IFERROR(O164*P164*Q164/R164*(1+S164)*T164,"")</x:f>
        <x:v>0.021917808219178082</x:v>
      </x:c>
      <x:c r="V164" s="33" t="s">
        <x:v>323</x:v>
      </x:c>
      <x:c r="W164" s="30">
        <x:v>46236.78357621528</x:v>
      </x:c>
      <x:c r="X164" s="30"/>
      <x:c r="Y164" s="3" t="s">
        <x:v>224</x:v>
      </x:c>
      <x:c r="Z164" s="3" t="s">
        <x:v>187</x:v>
      </x:c>
      <x:c r="AA164" s="17" t="s">
        <x:v>608</x:v>
      </x:c>
      <x:c r="AB164" s="33" t="str">
        <x:f>IF(A164="","",IF(COUNTIF($A$5:$A$1004,A164)&gt;1,"错误:重复成本规则ID",IF(OR(B164="",C164="",D164="",E164="",F164="",K164="",O164&lt;=0,P164&lt;=0,Q164&lt;=0,R164&lt;=0,S164&lt;0,T164&lt;=0,Y164="",Z164=""),"错误:必填项","OK")))</x:f>
        <x:v>OK</x:v>
      </x:c>
    </x:row>
    <x:row r="165" ht="66" hidden="1" customHeight="1">
      <x:c r="A165" s="3" t="s">
        <x:v>649</x:v>
      </x:c>
      <x:c r="B165" s="3" t="s">
        <x:v>162</x:v>
      </x:c>
      <x:c r="C165" s="3" t="s">
        <x:v>650</x:v>
      </x:c>
      <x:c r="D165" s="3" t="s">
        <x:v>232</x:v>
      </x:c>
      <x:c r="E165" s="3" t="s">
        <x:v>258</x:v>
      </x:c>
      <x:c r="F165" s="3" t="s">
        <x:v>318</x:v>
      </x:c>
      <x:c r="G165" s="3" t="s">
        <x:v>319</x:v>
      </x:c>
      <x:c r="H165" s="3" t="s">
        <x:v>319</x:v>
      </x:c>
      <x:c r="I165" s="3" t="s">
        <x:v>319</x:v>
      </x:c>
      <x:c r="J165" s="3" t="s">
        <x:v>320</x:v>
      </x:c>
      <x:c r="K165" s="3" t="s">
        <x:v>150</x:v>
      </x:c>
      <x:c r="L165" s="37" t="s">
        <x:v>319</x:v>
      </x:c>
      <x:c r="M165" s="37" t="s">
        <x:v>151</x:v>
      </x:c>
      <x:c r="N165" s="37" t="s">
        <x:v>319</x:v>
      </x:c>
      <x:c r="O165" s="36" t="s">
        <x:v>151</x:v>
      </x:c>
      <x:c r="P165" s="37" t="s">
        <x:v>151</x:v>
      </x:c>
      <x:c r="Q165" s="37" t="s">
        <x:v>151</x:v>
      </x:c>
      <x:c r="R165" s="37" t="s">
        <x:v>151</x:v>
      </x:c>
      <x:c r="S165" s="37" t="s">
        <x:v>152</x:v>
      </x:c>
      <x:c r="T165" s="36" t="s">
        <x:v>322</x:v>
      </x:c>
      <x:c r="U165" s="36" t="n">
        <x:f>IFERROR(O165*P165*Q165/R165*(1+S165)*T165,"")</x:f>
        <x:v>0.136986301369863</x:v>
      </x:c>
      <x:c r="V165" s="33" t="s">
        <x:v>323</x:v>
      </x:c>
      <x:c r="W165" s="30">
        <x:v>46236.78357621528</x:v>
      </x:c>
      <x:c r="X165" s="30"/>
      <x:c r="Y165" s="3" t="s">
        <x:v>224</x:v>
      </x:c>
      <x:c r="Z165" s="3" t="s">
        <x:v>165</x:v>
      </x:c>
      <x:c r="AA165" s="17" t="s">
        <x:v>651</x:v>
      </x:c>
      <x:c r="AB165" s="33" t="str">
        <x:f>IF(A165="","",IF(COUNTIF($A$5:$A$1004,A165)&gt;1,"错误:重复成本规则ID",IF(OR(B165="",C165="",D165="",E165="",F165="",K165="",O165&lt;=0,P165&lt;=0,Q165&lt;=0,R165&lt;=0,S165&lt;0,T165&lt;=0,Y165="",Z165=""),"错误:必填项","OK")))</x:f>
        <x:v>OK</x:v>
      </x:c>
    </x:row>
    <x:row r="166" ht="66" hidden="1" customHeight="1">
      <x:c r="A166" s="3" t="s">
        <x:v>652</x:v>
      </x:c>
      <x:c r="B166" s="3" t="s">
        <x:v>162</x:v>
      </x:c>
      <x:c r="C166" s="3" t="s">
        <x:v>650</x:v>
      </x:c>
      <x:c r="D166" s="3" t="s">
        <x:v>232</x:v>
      </x:c>
      <x:c r="E166" s="3" t="s">
        <x:v>264</x:v>
      </x:c>
      <x:c r="F166" s="3" t="s">
        <x:v>318</x:v>
      </x:c>
      <x:c r="G166" s="3" t="s">
        <x:v>319</x:v>
      </x:c>
      <x:c r="H166" s="3" t="s">
        <x:v>319</x:v>
      </x:c>
      <x:c r="I166" s="3" t="s">
        <x:v>319</x:v>
      </x:c>
      <x:c r="J166" s="3" t="s">
        <x:v>320</x:v>
      </x:c>
      <x:c r="K166" s="3" t="s">
        <x:v>150</x:v>
      </x:c>
      <x:c r="L166" s="37" t="s">
        <x:v>319</x:v>
      </x:c>
      <x:c r="M166" s="37" t="s">
        <x:v>151</x:v>
      </x:c>
      <x:c r="N166" s="37" t="s">
        <x:v>319</x:v>
      </x:c>
      <x:c r="O166" s="36" t="s">
        <x:v>151</x:v>
      </x:c>
      <x:c r="P166" s="37" t="s">
        <x:v>151</x:v>
      </x:c>
      <x:c r="Q166" s="37" t="s">
        <x:v>151</x:v>
      </x:c>
      <x:c r="R166" s="37" t="s">
        <x:v>151</x:v>
      </x:c>
      <x:c r="S166" s="37" t="s">
        <x:v>152</x:v>
      </x:c>
      <x:c r="T166" s="36" t="s">
        <x:v>322</x:v>
      </x:c>
      <x:c r="U166" s="36" t="n">
        <x:f>IFERROR(O166*P166*Q166/R166*(1+S166)*T166,"")</x:f>
        <x:v>0.136986301369863</x:v>
      </x:c>
      <x:c r="V166" s="33" t="s">
        <x:v>323</x:v>
      </x:c>
      <x:c r="W166" s="30">
        <x:v>46236.78357621528</x:v>
      </x:c>
      <x:c r="X166" s="30"/>
      <x:c r="Y166" s="3" t="s">
        <x:v>224</x:v>
      </x:c>
      <x:c r="Z166" s="3" t="s">
        <x:v>165</x:v>
      </x:c>
      <x:c r="AA166" s="17" t="s">
        <x:v>651</x:v>
      </x:c>
      <x:c r="AB166" s="33" t="str">
        <x:f>IF(A166="","",IF(COUNTIF($A$5:$A$1004,A166)&gt;1,"错误:重复成本规则ID",IF(OR(B166="",C166="",D166="",E166="",F166="",K166="",O166&lt;=0,P166&lt;=0,Q166&lt;=0,R166&lt;=0,S166&lt;0,T166&lt;=0,Y166="",Z166=""),"错误:必填项","OK")))</x:f>
        <x:v>OK</x:v>
      </x:c>
    </x:row>
    <x:row r="167" ht="66" hidden="1" customHeight="1">
      <x:c r="A167" s="3" t="s">
        <x:v>653</x:v>
      </x:c>
      <x:c r="B167" s="3" t="s">
        <x:v>162</x:v>
      </x:c>
      <x:c r="C167" s="3" t="s">
        <x:v>654</x:v>
      </x:c>
      <x:c r="D167" s="3" t="s">
        <x:v>232</x:v>
      </x:c>
      <x:c r="E167" s="3" t="s">
        <x:v>258</x:v>
      </x:c>
      <x:c r="F167" s="3" t="s">
        <x:v>318</x:v>
      </x:c>
      <x:c r="G167" s="3" t="s">
        <x:v>319</x:v>
      </x:c>
      <x:c r="H167" s="3" t="s">
        <x:v>319</x:v>
      </x:c>
      <x:c r="I167" s="3" t="s">
        <x:v>319</x:v>
      </x:c>
      <x:c r="J167" s="3" t="s">
        <x:v>320</x:v>
      </x:c>
      <x:c r="K167" s="3" t="s">
        <x:v>150</x:v>
      </x:c>
      <x:c r="L167" s="37" t="s">
        <x:v>319</x:v>
      </x:c>
      <x:c r="M167" s="37" t="s">
        <x:v>151</x:v>
      </x:c>
      <x:c r="N167" s="37" t="s">
        <x:v>319</x:v>
      </x:c>
      <x:c r="O167" s="36" t="s">
        <x:v>151</x:v>
      </x:c>
      <x:c r="P167" s="37" t="s">
        <x:v>151</x:v>
      </x:c>
      <x:c r="Q167" s="37" t="s">
        <x:v>151</x:v>
      </x:c>
      <x:c r="R167" s="37" t="s">
        <x:v>151</x:v>
      </x:c>
      <x:c r="S167" s="37" t="s">
        <x:v>152</x:v>
      </x:c>
      <x:c r="T167" s="36" t="s">
        <x:v>322</x:v>
      </x:c>
      <x:c r="U167" s="36" t="n">
        <x:f>IFERROR(O167*P167*Q167/R167*(1+S167)*T167,"")</x:f>
        <x:v>0.136986301369863</x:v>
      </x:c>
      <x:c r="V167" s="33" t="s">
        <x:v>323</x:v>
      </x:c>
      <x:c r="W167" s="30">
        <x:v>46236.78357621528</x:v>
      </x:c>
      <x:c r="X167" s="30"/>
      <x:c r="Y167" s="3" t="s">
        <x:v>224</x:v>
      </x:c>
      <x:c r="Z167" s="3" t="s">
        <x:v>165</x:v>
      </x:c>
      <x:c r="AA167" s="17" t="s">
        <x:v>655</x:v>
      </x:c>
      <x:c r="AB167" s="33" t="str">
        <x:f>IF(A167="","",IF(COUNTIF($A$5:$A$1004,A167)&gt;1,"错误:重复成本规则ID",IF(OR(B167="",C167="",D167="",E167="",F167="",K167="",O167&lt;=0,P167&lt;=0,Q167&lt;=0,R167&lt;=0,S167&lt;0,T167&lt;=0,Y167="",Z167=""),"错误:必填项","OK")))</x:f>
        <x:v>OK</x:v>
      </x:c>
    </x:row>
    <x:row r="168" ht="66" hidden="1" customHeight="1">
      <x:c r="A168" s="3" t="s">
        <x:v>656</x:v>
      </x:c>
      <x:c r="B168" s="3" t="s">
        <x:v>162</x:v>
      </x:c>
      <x:c r="C168" s="3" t="s">
        <x:v>654</x:v>
      </x:c>
      <x:c r="D168" s="3" t="s">
        <x:v>232</x:v>
      </x:c>
      <x:c r="E168" s="3" t="s">
        <x:v>264</x:v>
      </x:c>
      <x:c r="F168" s="3" t="s">
        <x:v>318</x:v>
      </x:c>
      <x:c r="G168" s="3" t="s">
        <x:v>319</x:v>
      </x:c>
      <x:c r="H168" s="3" t="s">
        <x:v>319</x:v>
      </x:c>
      <x:c r="I168" s="3" t="s">
        <x:v>319</x:v>
      </x:c>
      <x:c r="J168" s="3" t="s">
        <x:v>320</x:v>
      </x:c>
      <x:c r="K168" s="3" t="s">
        <x:v>150</x:v>
      </x:c>
      <x:c r="L168" s="37" t="s">
        <x:v>319</x:v>
      </x:c>
      <x:c r="M168" s="37" t="s">
        <x:v>151</x:v>
      </x:c>
      <x:c r="N168" s="37" t="s">
        <x:v>319</x:v>
      </x:c>
      <x:c r="O168" s="36" t="s">
        <x:v>151</x:v>
      </x:c>
      <x:c r="P168" s="37" t="s">
        <x:v>151</x:v>
      </x:c>
      <x:c r="Q168" s="37" t="s">
        <x:v>151</x:v>
      </x:c>
      <x:c r="R168" s="37" t="s">
        <x:v>151</x:v>
      </x:c>
      <x:c r="S168" s="37" t="s">
        <x:v>152</x:v>
      </x:c>
      <x:c r="T168" s="36" t="s">
        <x:v>322</x:v>
      </x:c>
      <x:c r="U168" s="36" t="n">
        <x:f>IFERROR(O168*P168*Q168/R168*(1+S168)*T168,"")</x:f>
        <x:v>0.136986301369863</x:v>
      </x:c>
      <x:c r="V168" s="33" t="s">
        <x:v>323</x:v>
      </x:c>
      <x:c r="W168" s="30">
        <x:v>46236.78357621528</x:v>
      </x:c>
      <x:c r="X168" s="30"/>
      <x:c r="Y168" s="3" t="s">
        <x:v>224</x:v>
      </x:c>
      <x:c r="Z168" s="3" t="s">
        <x:v>165</x:v>
      </x:c>
      <x:c r="AA168" s="17" t="s">
        <x:v>655</x:v>
      </x:c>
      <x:c r="AB168" s="33" t="str">
        <x:f>IF(A168="","",IF(COUNTIF($A$5:$A$1004,A168)&gt;1,"错误:重复成本规则ID",IF(OR(B168="",C168="",D168="",E168="",F168="",K168="",O168&lt;=0,P168&lt;=0,Q168&lt;=0,R168&lt;=0,S168&lt;0,T168&lt;=0,Y168="",Z168=""),"错误:必填项","OK")))</x:f>
        <x:v>OK</x:v>
      </x:c>
    </x:row>
    <x:row r="169" ht="66" hidden="1" customHeight="1">
      <x:c r="A169" s="3" t="s">
        <x:v>657</x:v>
      </x:c>
      <x:c r="B169" s="3" t="s">
        <x:v>162</x:v>
      </x:c>
      <x:c r="C169" s="3" t="s">
        <x:v>658</x:v>
      </x:c>
      <x:c r="D169" s="3" t="s">
        <x:v>232</x:v>
      </x:c>
      <x:c r="E169" s="3" t="s">
        <x:v>258</x:v>
      </x:c>
      <x:c r="F169" s="3" t="s">
        <x:v>318</x:v>
      </x:c>
      <x:c r="G169" s="3" t="s">
        <x:v>319</x:v>
      </x:c>
      <x:c r="H169" s="3" t="s">
        <x:v>319</x:v>
      </x:c>
      <x:c r="I169" s="3" t="s">
        <x:v>319</x:v>
      </x:c>
      <x:c r="J169" s="3" t="s">
        <x:v>320</x:v>
      </x:c>
      <x:c r="K169" s="3" t="s">
        <x:v>150</x:v>
      </x:c>
      <x:c r="L169" s="37" t="s">
        <x:v>319</x:v>
      </x:c>
      <x:c r="M169" s="37" t="s">
        <x:v>151</x:v>
      </x:c>
      <x:c r="N169" s="37" t="s">
        <x:v>319</x:v>
      </x:c>
      <x:c r="O169" s="36" t="s">
        <x:v>151</x:v>
      </x:c>
      <x:c r="P169" s="37" t="s">
        <x:v>151</x:v>
      </x:c>
      <x:c r="Q169" s="37" t="s">
        <x:v>151</x:v>
      </x:c>
      <x:c r="R169" s="37" t="s">
        <x:v>151</x:v>
      </x:c>
      <x:c r="S169" s="37" t="s">
        <x:v>152</x:v>
      </x:c>
      <x:c r="T169" s="36" t="s">
        <x:v>322</x:v>
      </x:c>
      <x:c r="U169" s="36" t="n">
        <x:f>IFERROR(O169*P169*Q169/R169*(1+S169)*T169,"")</x:f>
        <x:v>0.136986301369863</x:v>
      </x:c>
      <x:c r="V169" s="33" t="s">
        <x:v>323</x:v>
      </x:c>
      <x:c r="W169" s="30">
        <x:v>46236.78357621528</x:v>
      </x:c>
      <x:c r="X169" s="30"/>
      <x:c r="Y169" s="3" t="s">
        <x:v>224</x:v>
      </x:c>
      <x:c r="Z169" s="3" t="s">
        <x:v>165</x:v>
      </x:c>
      <x:c r="AA169" s="17" t="s">
        <x:v>659</x:v>
      </x:c>
      <x:c r="AB169" s="33" t="str">
        <x:f>IF(A169="","",IF(COUNTIF($A$5:$A$1004,A169)&gt;1,"错误:重复成本规则ID",IF(OR(B169="",C169="",D169="",E169="",F169="",K169="",O169&lt;=0,P169&lt;=0,Q169&lt;=0,R169&lt;=0,S169&lt;0,T169&lt;=0,Y169="",Z169=""),"错误:必填项","OK")))</x:f>
        <x:v>OK</x:v>
      </x:c>
    </x:row>
    <x:row r="170" ht="66" hidden="1" customHeight="1">
      <x:c r="A170" s="3" t="s">
        <x:v>660</x:v>
      </x:c>
      <x:c r="B170" s="3" t="s">
        <x:v>162</x:v>
      </x:c>
      <x:c r="C170" s="3" t="s">
        <x:v>658</x:v>
      </x:c>
      <x:c r="D170" s="3" t="s">
        <x:v>232</x:v>
      </x:c>
      <x:c r="E170" s="3" t="s">
        <x:v>264</x:v>
      </x:c>
      <x:c r="F170" s="3" t="s">
        <x:v>318</x:v>
      </x:c>
      <x:c r="G170" s="3" t="s">
        <x:v>319</x:v>
      </x:c>
      <x:c r="H170" s="3" t="s">
        <x:v>319</x:v>
      </x:c>
      <x:c r="I170" s="3" t="s">
        <x:v>319</x:v>
      </x:c>
      <x:c r="J170" s="3" t="s">
        <x:v>320</x:v>
      </x:c>
      <x:c r="K170" s="3" t="s">
        <x:v>150</x:v>
      </x:c>
      <x:c r="L170" s="37" t="s">
        <x:v>319</x:v>
      </x:c>
      <x:c r="M170" s="37" t="s">
        <x:v>151</x:v>
      </x:c>
      <x:c r="N170" s="37" t="s">
        <x:v>319</x:v>
      </x:c>
      <x:c r="O170" s="36" t="s">
        <x:v>151</x:v>
      </x:c>
      <x:c r="P170" s="37" t="s">
        <x:v>151</x:v>
      </x:c>
      <x:c r="Q170" s="37" t="s">
        <x:v>151</x:v>
      </x:c>
      <x:c r="R170" s="37" t="s">
        <x:v>151</x:v>
      </x:c>
      <x:c r="S170" s="37" t="s">
        <x:v>152</x:v>
      </x:c>
      <x:c r="T170" s="36" t="s">
        <x:v>322</x:v>
      </x:c>
      <x:c r="U170" s="36" t="n">
        <x:f>IFERROR(O170*P170*Q170/R170*(1+S170)*T170,"")</x:f>
        <x:v>0.136986301369863</x:v>
      </x:c>
      <x:c r="V170" s="33" t="s">
        <x:v>323</x:v>
      </x:c>
      <x:c r="W170" s="30">
        <x:v>46236.78357621528</x:v>
      </x:c>
      <x:c r="X170" s="30"/>
      <x:c r="Y170" s="3" t="s">
        <x:v>224</x:v>
      </x:c>
      <x:c r="Z170" s="3" t="s">
        <x:v>165</x:v>
      </x:c>
      <x:c r="AA170" s="17" t="s">
        <x:v>659</x:v>
      </x:c>
      <x:c r="AB170" s="33" t="str">
        <x:f>IF(A170="","",IF(COUNTIF($A$5:$A$1004,A170)&gt;1,"错误:重复成本规则ID",IF(OR(B170="",C170="",D170="",E170="",F170="",K170="",O170&lt;=0,P170&lt;=0,Q170&lt;=0,R170&lt;=0,S170&lt;0,T170&lt;=0,Y170="",Z170=""),"错误:必填项","OK")))</x:f>
        <x:v>OK</x:v>
      </x:c>
    </x:row>
    <x:row r="171" ht="66" hidden="1" customHeight="1">
      <x:c r="A171" s="3" t="s">
        <x:v>661</x:v>
      </x:c>
      <x:c r="B171" s="3" t="s">
        <x:v>162</x:v>
      </x:c>
      <x:c r="C171" s="3" t="s">
        <x:v>662</x:v>
      </x:c>
      <x:c r="D171" s="3" t="s">
        <x:v>227</x:v>
      </x:c>
      <x:c r="E171" s="3" t="s">
        <x:v>258</x:v>
      </x:c>
      <x:c r="F171" s="3" t="s">
        <x:v>318</x:v>
      </x:c>
      <x:c r="G171" s="3" t="s">
        <x:v>319</x:v>
      </x:c>
      <x:c r="H171" s="3" t="s">
        <x:v>319</x:v>
      </x:c>
      <x:c r="I171" s="3" t="s">
        <x:v>319</x:v>
      </x:c>
      <x:c r="J171" s="3" t="s">
        <x:v>320</x:v>
      </x:c>
      <x:c r="K171" s="3" t="s">
        <x:v>150</x:v>
      </x:c>
      <x:c r="L171" s="37" t="s">
        <x:v>319</x:v>
      </x:c>
      <x:c r="M171" s="37" t="s">
        <x:v>424</x:v>
      </x:c>
      <x:c r="N171" s="37" t="s">
        <x:v>319</x:v>
      </x:c>
      <x:c r="O171" s="36" t="s">
        <x:v>424</x:v>
      </x:c>
      <x:c r="P171" s="37" t="s">
        <x:v>151</x:v>
      </x:c>
      <x:c r="Q171" s="37" t="s">
        <x:v>151</x:v>
      </x:c>
      <x:c r="R171" s="37" t="s">
        <x:v>151</x:v>
      </x:c>
      <x:c r="S171" s="37" t="s">
        <x:v>152</x:v>
      </x:c>
      <x:c r="T171" s="36" t="s">
        <x:v>322</x:v>
      </x:c>
      <x:c r="U171" s="36" t="n">
        <x:f>IFERROR(O171*P171*Q171/R171*(1+S171)*T171,"")</x:f>
        <x:v>0.0684931506849315</x:v>
      </x:c>
      <x:c r="V171" s="33" t="s">
        <x:v>323</x:v>
      </x:c>
      <x:c r="W171" s="30">
        <x:v>46236.78357621528</x:v>
      </x:c>
      <x:c r="X171" s="30"/>
      <x:c r="Y171" s="3" t="s">
        <x:v>224</x:v>
      </x:c>
      <x:c r="Z171" s="3" t="s">
        <x:v>165</x:v>
      </x:c>
      <x:c r="AA171" s="17" t="s">
        <x:v>663</x:v>
      </x:c>
      <x:c r="AB171" s="33" t="str">
        <x:f>IF(A171="","",IF(COUNTIF($A$5:$A$1004,A171)&gt;1,"错误:重复成本规则ID",IF(OR(B171="",C171="",D171="",E171="",F171="",K171="",O171&lt;=0,P171&lt;=0,Q171&lt;=0,R171&lt;=0,S171&lt;0,T171&lt;=0,Y171="",Z171=""),"错误:必填项","OK")))</x:f>
        <x:v>OK</x:v>
      </x:c>
    </x:row>
    <x:row r="172" ht="66" hidden="1" customHeight="1">
      <x:c r="A172" s="3" t="s">
        <x:v>664</x:v>
      </x:c>
      <x:c r="B172" s="3" t="s">
        <x:v>162</x:v>
      </x:c>
      <x:c r="C172" s="3" t="s">
        <x:v>662</x:v>
      </x:c>
      <x:c r="D172" s="3" t="s">
        <x:v>227</x:v>
      </x:c>
      <x:c r="E172" s="3" t="s">
        <x:v>264</x:v>
      </x:c>
      <x:c r="F172" s="3" t="s">
        <x:v>318</x:v>
      </x:c>
      <x:c r="G172" s="3" t="s">
        <x:v>319</x:v>
      </x:c>
      <x:c r="H172" s="3" t="s">
        <x:v>319</x:v>
      </x:c>
      <x:c r="I172" s="3" t="s">
        <x:v>319</x:v>
      </x:c>
      <x:c r="J172" s="3" t="s">
        <x:v>320</x:v>
      </x:c>
      <x:c r="K172" s="3" t="s">
        <x:v>150</x:v>
      </x:c>
      <x:c r="L172" s="37" t="s">
        <x:v>319</x:v>
      </x:c>
      <x:c r="M172" s="37" t="s">
        <x:v>424</x:v>
      </x:c>
      <x:c r="N172" s="37" t="s">
        <x:v>319</x:v>
      </x:c>
      <x:c r="O172" s="36" t="s">
        <x:v>424</x:v>
      </x:c>
      <x:c r="P172" s="37" t="s">
        <x:v>151</x:v>
      </x:c>
      <x:c r="Q172" s="37" t="s">
        <x:v>151</x:v>
      </x:c>
      <x:c r="R172" s="37" t="s">
        <x:v>151</x:v>
      </x:c>
      <x:c r="S172" s="37" t="s">
        <x:v>152</x:v>
      </x:c>
      <x:c r="T172" s="36" t="s">
        <x:v>322</x:v>
      </x:c>
      <x:c r="U172" s="36" t="n">
        <x:f>IFERROR(O172*P172*Q172/R172*(1+S172)*T172,"")</x:f>
        <x:v>0.0684931506849315</x:v>
      </x:c>
      <x:c r="V172" s="33" t="s">
        <x:v>323</x:v>
      </x:c>
      <x:c r="W172" s="30">
        <x:v>46236.78357621528</x:v>
      </x:c>
      <x:c r="X172" s="30"/>
      <x:c r="Y172" s="3" t="s">
        <x:v>224</x:v>
      </x:c>
      <x:c r="Z172" s="3" t="s">
        <x:v>165</x:v>
      </x:c>
      <x:c r="AA172" s="17" t="s">
        <x:v>663</x:v>
      </x:c>
      <x:c r="AB172" s="33" t="str">
        <x:f>IF(A172="","",IF(COUNTIF($A$5:$A$1004,A172)&gt;1,"错误:重复成本规则ID",IF(OR(B172="",C172="",D172="",E172="",F172="",K172="",O172&lt;=0,P172&lt;=0,Q172&lt;=0,R172&lt;=0,S172&lt;0,T172&lt;=0,Y172="",Z172=""),"错误:必填项","OK")))</x:f>
        <x:v>OK</x:v>
      </x:c>
    </x:row>
    <x:row r="173" ht="66" hidden="1" customHeight="1">
      <x:c r="A173" s="3" t="s">
        <x:v>665</x:v>
      </x:c>
      <x:c r="B173" s="3" t="s">
        <x:v>162</x:v>
      </x:c>
      <x:c r="C173" s="3" t="s">
        <x:v>666</x:v>
      </x:c>
      <x:c r="D173" s="3" t="s">
        <x:v>227</x:v>
      </x:c>
      <x:c r="E173" s="3" t="s">
        <x:v>258</x:v>
      </x:c>
      <x:c r="F173" s="3" t="s">
        <x:v>318</x:v>
      </x:c>
      <x:c r="G173" s="3" t="s">
        <x:v>319</x:v>
      </x:c>
      <x:c r="H173" s="3" t="s">
        <x:v>319</x:v>
      </x:c>
      <x:c r="I173" s="3" t="s">
        <x:v>319</x:v>
      </x:c>
      <x:c r="J173" s="3" t="s">
        <x:v>320</x:v>
      </x:c>
      <x:c r="K173" s="3" t="s">
        <x:v>150</x:v>
      </x:c>
      <x:c r="L173" s="37" t="s">
        <x:v>319</x:v>
      </x:c>
      <x:c r="M173" s="37" t="s">
        <x:v>424</x:v>
      </x:c>
      <x:c r="N173" s="37" t="s">
        <x:v>319</x:v>
      </x:c>
      <x:c r="O173" s="36" t="s">
        <x:v>424</x:v>
      </x:c>
      <x:c r="P173" s="37" t="s">
        <x:v>151</x:v>
      </x:c>
      <x:c r="Q173" s="37" t="s">
        <x:v>151</x:v>
      </x:c>
      <x:c r="R173" s="37" t="s">
        <x:v>151</x:v>
      </x:c>
      <x:c r="S173" s="37" t="s">
        <x:v>152</x:v>
      </x:c>
      <x:c r="T173" s="36" t="s">
        <x:v>322</x:v>
      </x:c>
      <x:c r="U173" s="36" t="n">
        <x:f>IFERROR(O173*P173*Q173/R173*(1+S173)*T173,"")</x:f>
        <x:v>0.0684931506849315</x:v>
      </x:c>
      <x:c r="V173" s="33" t="s">
        <x:v>323</x:v>
      </x:c>
      <x:c r="W173" s="30">
        <x:v>46236.78357621528</x:v>
      </x:c>
      <x:c r="X173" s="30"/>
      <x:c r="Y173" s="3" t="s">
        <x:v>224</x:v>
      </x:c>
      <x:c r="Z173" s="3" t="s">
        <x:v>165</x:v>
      </x:c>
      <x:c r="AA173" s="17" t="s">
        <x:v>667</x:v>
      </x:c>
      <x:c r="AB173" s="33" t="str">
        <x:f>IF(A173="","",IF(COUNTIF($A$5:$A$1004,A173)&gt;1,"错误:重复成本规则ID",IF(OR(B173="",C173="",D173="",E173="",F173="",K173="",O173&lt;=0,P173&lt;=0,Q173&lt;=0,R173&lt;=0,S173&lt;0,T173&lt;=0,Y173="",Z173=""),"错误:必填项","OK")))</x:f>
        <x:v>OK</x:v>
      </x:c>
    </x:row>
    <x:row r="174" ht="39.599998474121094" hidden="1" customHeight="1">
      <x:c r="A174" s="3" t="s">
        <x:v>668</x:v>
      </x:c>
      <x:c r="B174" s="3" t="s">
        <x:v>162</x:v>
      </x:c>
      <x:c r="C174" s="3" t="s">
        <x:v>666</x:v>
      </x:c>
      <x:c r="D174" s="3" t="s">
        <x:v>227</x:v>
      </x:c>
      <x:c r="E174" s="3" t="s">
        <x:v>264</x:v>
      </x:c>
      <x:c r="F174" s="3" t="s">
        <x:v>318</x:v>
      </x:c>
      <x:c r="G174" s="3" t="s">
        <x:v>319</x:v>
      </x:c>
      <x:c r="H174" s="3" t="s">
        <x:v>319</x:v>
      </x:c>
      <x:c r="I174" s="3" t="s">
        <x:v>319</x:v>
      </x:c>
      <x:c r="J174" s="3" t="s">
        <x:v>320</x:v>
      </x:c>
      <x:c r="K174" s="3" t="s">
        <x:v>150</x:v>
      </x:c>
      <x:c r="L174" s="37" t="s">
        <x:v>319</x:v>
      </x:c>
      <x:c r="M174" s="37" t="s">
        <x:v>424</x:v>
      </x:c>
      <x:c r="N174" s="37" t="s">
        <x:v>319</x:v>
      </x:c>
      <x:c r="O174" s="36" t="s">
        <x:v>424</x:v>
      </x:c>
      <x:c r="P174" s="37" t="s">
        <x:v>151</x:v>
      </x:c>
      <x:c r="Q174" s="37" t="s">
        <x:v>151</x:v>
      </x:c>
      <x:c r="R174" s="37" t="s">
        <x:v>151</x:v>
      </x:c>
      <x:c r="S174" s="37" t="s">
        <x:v>152</x:v>
      </x:c>
      <x:c r="T174" s="36" t="s">
        <x:v>322</x:v>
      </x:c>
      <x:c r="U174" s="36" t="n">
        <x:f>IFERROR(O174*P174*Q174/R174*(1+S174)*T174,"")</x:f>
        <x:v>0.0684931506849315</x:v>
      </x:c>
      <x:c r="V174" s="33" t="s">
        <x:v>323</x:v>
      </x:c>
      <x:c r="W174" s="30">
        <x:v>46236.78357621528</x:v>
      </x:c>
      <x:c r="X174" s="30"/>
      <x:c r="Y174" s="3" t="s">
        <x:v>224</x:v>
      </x:c>
      <x:c r="Z174" s="3" t="s">
        <x:v>165</x:v>
      </x:c>
      <x:c r="AA174" s="17" t="s">
        <x:v>667</x:v>
      </x:c>
      <x:c r="AB174" s="33" t="str">
        <x:f>IF(A174="","",IF(COUNTIF($A$5:$A$1004,A174)&gt;1,"错误:重复成本规则ID",IF(OR(B174="",C174="",D174="",E174="",F174="",K174="",O174&lt;=0,P174&lt;=0,Q174&lt;=0,R174&lt;=0,S174&lt;0,T174&lt;=0,Y174="",Z174=""),"错误:必填项","OK")))</x:f>
        <x:v>OK</x:v>
      </x:c>
    </x:row>
    <x:row r="175" ht="39.599998474121094" hidden="1" customHeight="1">
      <x:c r="A175" s="3" t="s">
        <x:v>669</x:v>
      </x:c>
      <x:c r="B175" s="3" t="s">
        <x:v>162</x:v>
      </x:c>
      <x:c r="C175" s="3" t="s">
        <x:v>670</x:v>
      </x:c>
      <x:c r="D175" s="3" t="s">
        <x:v>227</x:v>
      </x:c>
      <x:c r="E175" s="3" t="s">
        <x:v>258</x:v>
      </x:c>
      <x:c r="F175" s="3" t="s">
        <x:v>318</x:v>
      </x:c>
      <x:c r="G175" s="3" t="s">
        <x:v>319</x:v>
      </x:c>
      <x:c r="H175" s="3" t="s">
        <x:v>319</x:v>
      </x:c>
      <x:c r="I175" s="3" t="s">
        <x:v>319</x:v>
      </x:c>
      <x:c r="J175" s="3" t="s">
        <x:v>320</x:v>
      </x:c>
      <x:c r="K175" s="3" t="s">
        <x:v>150</x:v>
      </x:c>
      <x:c r="L175" s="37" t="s">
        <x:v>319</x:v>
      </x:c>
      <x:c r="M175" s="37" t="s">
        <x:v>424</x:v>
      </x:c>
      <x:c r="N175" s="37" t="s">
        <x:v>319</x:v>
      </x:c>
      <x:c r="O175" s="36" t="s">
        <x:v>424</x:v>
      </x:c>
      <x:c r="P175" s="37" t="s">
        <x:v>151</x:v>
      </x:c>
      <x:c r="Q175" s="37" t="s">
        <x:v>151</x:v>
      </x:c>
      <x:c r="R175" s="37" t="s">
        <x:v>151</x:v>
      </x:c>
      <x:c r="S175" s="37" t="s">
        <x:v>152</x:v>
      </x:c>
      <x:c r="T175" s="36" t="s">
        <x:v>322</x:v>
      </x:c>
      <x:c r="U175" s="36" t="n">
        <x:f>IFERROR(O175*P175*Q175/R175*(1+S175)*T175,"")</x:f>
        <x:v>0.0684931506849315</x:v>
      </x:c>
      <x:c r="V175" s="33" t="s">
        <x:v>323</x:v>
      </x:c>
      <x:c r="W175" s="30">
        <x:v>46236.78357621528</x:v>
      </x:c>
      <x:c r="X175" s="30"/>
      <x:c r="Y175" s="3" t="s">
        <x:v>224</x:v>
      </x:c>
      <x:c r="Z175" s="3" t="s">
        <x:v>165</x:v>
      </x:c>
      <x:c r="AA175" s="17" t="s">
        <x:v>671</x:v>
      </x:c>
      <x:c r="AB175" s="33" t="str">
        <x:f>IF(A175="","",IF(COUNTIF($A$5:$A$1004,A175)&gt;1,"错误:重复成本规则ID",IF(OR(B175="",C175="",D175="",E175="",F175="",K175="",O175&lt;=0,P175&lt;=0,Q175&lt;=0,R175&lt;=0,S175&lt;0,T175&lt;=0,Y175="",Z175=""),"错误:必填项","OK")))</x:f>
        <x:v>OK</x:v>
      </x:c>
    </x:row>
    <x:row r="176" ht="39.599998474121094" hidden="1" customHeight="1">
      <x:c r="A176" s="3" t="s">
        <x:v>672</x:v>
      </x:c>
      <x:c r="B176" s="3" t="s">
        <x:v>162</x:v>
      </x:c>
      <x:c r="C176" s="3" t="s">
        <x:v>670</x:v>
      </x:c>
      <x:c r="D176" s="3" t="s">
        <x:v>227</x:v>
      </x:c>
      <x:c r="E176" s="3" t="s">
        <x:v>264</x:v>
      </x:c>
      <x:c r="F176" s="3" t="s">
        <x:v>318</x:v>
      </x:c>
      <x:c r="G176" s="3" t="s">
        <x:v>319</x:v>
      </x:c>
      <x:c r="H176" s="3" t="s">
        <x:v>319</x:v>
      </x:c>
      <x:c r="I176" s="3" t="s">
        <x:v>319</x:v>
      </x:c>
      <x:c r="J176" s="3" t="s">
        <x:v>320</x:v>
      </x:c>
      <x:c r="K176" s="3" t="s">
        <x:v>150</x:v>
      </x:c>
      <x:c r="L176" s="37" t="s">
        <x:v>319</x:v>
      </x:c>
      <x:c r="M176" s="37" t="s">
        <x:v>424</x:v>
      </x:c>
      <x:c r="N176" s="37" t="s">
        <x:v>319</x:v>
      </x:c>
      <x:c r="O176" s="36" t="s">
        <x:v>424</x:v>
      </x:c>
      <x:c r="P176" s="37" t="s">
        <x:v>151</x:v>
      </x:c>
      <x:c r="Q176" s="37" t="s">
        <x:v>151</x:v>
      </x:c>
      <x:c r="R176" s="37" t="s">
        <x:v>151</x:v>
      </x:c>
      <x:c r="S176" s="37" t="s">
        <x:v>152</x:v>
      </x:c>
      <x:c r="T176" s="36" t="s">
        <x:v>322</x:v>
      </x:c>
      <x:c r="U176" s="36" t="n">
        <x:f>IFERROR(O176*P176*Q176/R176*(1+S176)*T176,"")</x:f>
        <x:v>0.0684931506849315</x:v>
      </x:c>
      <x:c r="V176" s="33" t="s">
        <x:v>323</x:v>
      </x:c>
      <x:c r="W176" s="30">
        <x:v>46236.78357621528</x:v>
      </x:c>
      <x:c r="X176" s="30"/>
      <x:c r="Y176" s="3" t="s">
        <x:v>224</x:v>
      </x:c>
      <x:c r="Z176" s="3" t="s">
        <x:v>165</x:v>
      </x:c>
      <x:c r="AA176" s="17" t="s">
        <x:v>671</x:v>
      </x:c>
      <x:c r="AB176" s="33" t="str">
        <x:f>IF(A176="","",IF(COUNTIF($A$5:$A$1004,A176)&gt;1,"错误:重复成本规则ID",IF(OR(B176="",C176="",D176="",E176="",F176="",K176="",O176&lt;=0,P176&lt;=0,Q176&lt;=0,R176&lt;=0,S176&lt;0,T176&lt;=0,Y176="",Z176=""),"错误:必填项","OK")))</x:f>
        <x:v>OK</x:v>
      </x:c>
    </x:row>
    <x:row r="177" ht="39.599998474121094" hidden="1" customHeight="1">
      <x:c r="A177" s="3" t="s">
        <x:v>673</x:v>
      </x:c>
      <x:c r="B177" s="3" t="s">
        <x:v>162</x:v>
      </x:c>
      <x:c r="C177" s="3" t="s">
        <x:v>674</x:v>
      </x:c>
      <x:c r="D177" s="3" t="s">
        <x:v>217</x:v>
      </x:c>
      <x:c r="E177" s="3" t="s">
        <x:v>258</x:v>
      </x:c>
      <x:c r="F177" s="3" t="s">
        <x:v>318</x:v>
      </x:c>
      <x:c r="G177" s="3" t="s">
        <x:v>319</x:v>
      </x:c>
      <x:c r="H177" s="3" t="s">
        <x:v>319</x:v>
      </x:c>
      <x:c r="I177" s="3" t="s">
        <x:v>319</x:v>
      </x:c>
      <x:c r="J177" s="3" t="s">
        <x:v>320</x:v>
      </x:c>
      <x:c r="K177" s="3" t="s">
        <x:v>150</x:v>
      </x:c>
      <x:c r="L177" s="37" t="s">
        <x:v>319</x:v>
      </x:c>
      <x:c r="M177" s="37" t="s">
        <x:v>675</x:v>
      </x:c>
      <x:c r="N177" s="37" t="s">
        <x:v>319</x:v>
      </x:c>
      <x:c r="O177" s="36" t="s">
        <x:v>675</x:v>
      </x:c>
      <x:c r="P177" s="37" t="s">
        <x:v>151</x:v>
      </x:c>
      <x:c r="Q177" s="37" t="s">
        <x:v>151</x:v>
      </x:c>
      <x:c r="R177" s="37" t="s">
        <x:v>151</x:v>
      </x:c>
      <x:c r="S177" s="37" t="s">
        <x:v>152</x:v>
      </x:c>
      <x:c r="T177" s="36" t="s">
        <x:v>322</x:v>
      </x:c>
      <x:c r="U177" s="36" t="n">
        <x:f>IFERROR(O177*P177*Q177/R177*(1+S177)*T177,"")</x:f>
        <x:v>0.3424657534246575</x:v>
      </x:c>
      <x:c r="V177" s="33" t="s">
        <x:v>323</x:v>
      </x:c>
      <x:c r="W177" s="30">
        <x:v>46236.78357621528</x:v>
      </x:c>
      <x:c r="X177" s="30"/>
      <x:c r="Y177" s="3" t="s">
        <x:v>224</x:v>
      </x:c>
      <x:c r="Z177" s="3" t="s">
        <x:v>165</x:v>
      </x:c>
      <x:c r="AA177" s="17" t="s">
        <x:v>676</x:v>
      </x:c>
      <x:c r="AB177" s="33" t="str">
        <x:f>IF(A177="","",IF(COUNTIF($A$5:$A$1004,A177)&gt;1,"错误:重复成本规则ID",IF(OR(B177="",C177="",D177="",E177="",F177="",K177="",O177&lt;=0,P177&lt;=0,Q177&lt;=0,R177&lt;=0,S177&lt;0,T177&lt;=0,Y177="",Z177=""),"错误:必填项","OK")))</x:f>
        <x:v>OK</x:v>
      </x:c>
    </x:row>
    <x:row r="178" ht="66" hidden="1" customHeight="1">
      <x:c r="A178" s="3" t="s">
        <x:v>677</x:v>
      </x:c>
      <x:c r="B178" s="3" t="s">
        <x:v>162</x:v>
      </x:c>
      <x:c r="C178" s="3" t="s">
        <x:v>674</x:v>
      </x:c>
      <x:c r="D178" s="3" t="s">
        <x:v>217</x:v>
      </x:c>
      <x:c r="E178" s="3" t="s">
        <x:v>264</x:v>
      </x:c>
      <x:c r="F178" s="3" t="s">
        <x:v>318</x:v>
      </x:c>
      <x:c r="G178" s="3" t="s">
        <x:v>319</x:v>
      </x:c>
      <x:c r="H178" s="3" t="s">
        <x:v>319</x:v>
      </x:c>
      <x:c r="I178" s="3" t="s">
        <x:v>319</x:v>
      </x:c>
      <x:c r="J178" s="3" t="s">
        <x:v>320</x:v>
      </x:c>
      <x:c r="K178" s="3" t="s">
        <x:v>150</x:v>
      </x:c>
      <x:c r="L178" s="37" t="s">
        <x:v>319</x:v>
      </x:c>
      <x:c r="M178" s="37" t="s">
        <x:v>675</x:v>
      </x:c>
      <x:c r="N178" s="37" t="s">
        <x:v>319</x:v>
      </x:c>
      <x:c r="O178" s="36" t="s">
        <x:v>675</x:v>
      </x:c>
      <x:c r="P178" s="37" t="s">
        <x:v>151</x:v>
      </x:c>
      <x:c r="Q178" s="37" t="s">
        <x:v>151</x:v>
      </x:c>
      <x:c r="R178" s="37" t="s">
        <x:v>151</x:v>
      </x:c>
      <x:c r="S178" s="37" t="s">
        <x:v>152</x:v>
      </x:c>
      <x:c r="T178" s="36" t="s">
        <x:v>322</x:v>
      </x:c>
      <x:c r="U178" s="36" t="n">
        <x:f>IFERROR(O178*P178*Q178/R178*(1+S178)*T178,"")</x:f>
        <x:v>0.3424657534246575</x:v>
      </x:c>
      <x:c r="V178" s="33" t="s">
        <x:v>323</x:v>
      </x:c>
      <x:c r="W178" s="30">
        <x:v>46236.78357621528</x:v>
      </x:c>
      <x:c r="X178" s="30"/>
      <x:c r="Y178" s="3" t="s">
        <x:v>224</x:v>
      </x:c>
      <x:c r="Z178" s="3" t="s">
        <x:v>165</x:v>
      </x:c>
      <x:c r="AA178" s="17" t="s">
        <x:v>676</x:v>
      </x:c>
      <x:c r="AB178" s="33" t="str">
        <x:f>IF(A178="","",IF(COUNTIF($A$5:$A$1004,A178)&gt;1,"错误:重复成本规则ID",IF(OR(B178="",C178="",D178="",E178="",F178="",K178="",O178&lt;=0,P178&lt;=0,Q178&lt;=0,R178&lt;=0,S178&lt;0,T178&lt;=0,Y178="",Z178=""),"错误:必填项","OK")))</x:f>
        <x:v>OK</x:v>
      </x:c>
    </x:row>
    <x:row r="179" ht="66" hidden="1" customHeight="1">
      <x:c r="A179" s="3" t="s">
        <x:v>678</x:v>
      </x:c>
      <x:c r="B179" s="3" t="s">
        <x:v>162</x:v>
      </x:c>
      <x:c r="C179" s="3" t="s">
        <x:v>679</x:v>
      </x:c>
      <x:c r="D179" s="3" t="s">
        <x:v>217</x:v>
      </x:c>
      <x:c r="E179" s="3" t="s">
        <x:v>258</x:v>
      </x:c>
      <x:c r="F179" s="3" t="s">
        <x:v>318</x:v>
      </x:c>
      <x:c r="G179" s="3" t="s">
        <x:v>319</x:v>
      </x:c>
      <x:c r="H179" s="3" t="s">
        <x:v>319</x:v>
      </x:c>
      <x:c r="I179" s="3" t="s">
        <x:v>319</x:v>
      </x:c>
      <x:c r="J179" s="3" t="s">
        <x:v>320</x:v>
      </x:c>
      <x:c r="K179" s="3" t="s">
        <x:v>150</x:v>
      </x:c>
      <x:c r="L179" s="37" t="s">
        <x:v>319</x:v>
      </x:c>
      <x:c r="M179" s="37" t="s">
        <x:v>675</x:v>
      </x:c>
      <x:c r="N179" s="37" t="s">
        <x:v>319</x:v>
      </x:c>
      <x:c r="O179" s="36" t="s">
        <x:v>675</x:v>
      </x:c>
      <x:c r="P179" s="37" t="s">
        <x:v>151</x:v>
      </x:c>
      <x:c r="Q179" s="37" t="s">
        <x:v>151</x:v>
      </x:c>
      <x:c r="R179" s="37" t="s">
        <x:v>151</x:v>
      </x:c>
      <x:c r="S179" s="37" t="s">
        <x:v>152</x:v>
      </x:c>
      <x:c r="T179" s="36" t="s">
        <x:v>322</x:v>
      </x:c>
      <x:c r="U179" s="36" t="n">
        <x:f>IFERROR(O179*P179*Q179/R179*(1+S179)*T179,"")</x:f>
        <x:v>0.3424657534246575</x:v>
      </x:c>
      <x:c r="V179" s="33" t="s">
        <x:v>323</x:v>
      </x:c>
      <x:c r="W179" s="30">
        <x:v>46236.78357621528</x:v>
      </x:c>
      <x:c r="X179" s="30"/>
      <x:c r="Y179" s="3" t="s">
        <x:v>224</x:v>
      </x:c>
      <x:c r="Z179" s="3" t="s">
        <x:v>165</x:v>
      </x:c>
      <x:c r="AA179" s="17" t="s">
        <x:v>680</x:v>
      </x:c>
      <x:c r="AB179" s="33" t="str">
        <x:f>IF(A179="","",IF(COUNTIF($A$5:$A$1004,A179)&gt;1,"错误:重复成本规则ID",IF(OR(B179="",C179="",D179="",E179="",F179="",K179="",O179&lt;=0,P179&lt;=0,Q179&lt;=0,R179&lt;=0,S179&lt;0,T179&lt;=0,Y179="",Z179=""),"错误:必填项","OK")))</x:f>
        <x:v>OK</x:v>
      </x:c>
    </x:row>
    <x:row r="180" ht="66" hidden="1" customHeight="1">
      <x:c r="A180" s="3" t="s">
        <x:v>681</x:v>
      </x:c>
      <x:c r="B180" s="3" t="s">
        <x:v>162</x:v>
      </x:c>
      <x:c r="C180" s="3" t="s">
        <x:v>679</x:v>
      </x:c>
      <x:c r="D180" s="3" t="s">
        <x:v>217</x:v>
      </x:c>
      <x:c r="E180" s="3" t="s">
        <x:v>264</x:v>
      </x:c>
      <x:c r="F180" s="3" t="s">
        <x:v>318</x:v>
      </x:c>
      <x:c r="G180" s="3" t="s">
        <x:v>319</x:v>
      </x:c>
      <x:c r="H180" s="3" t="s">
        <x:v>319</x:v>
      </x:c>
      <x:c r="I180" s="3" t="s">
        <x:v>319</x:v>
      </x:c>
      <x:c r="J180" s="3" t="s">
        <x:v>320</x:v>
      </x:c>
      <x:c r="K180" s="3" t="s">
        <x:v>150</x:v>
      </x:c>
      <x:c r="L180" s="37" t="s">
        <x:v>319</x:v>
      </x:c>
      <x:c r="M180" s="37" t="s">
        <x:v>675</x:v>
      </x:c>
      <x:c r="N180" s="37" t="s">
        <x:v>319</x:v>
      </x:c>
      <x:c r="O180" s="36" t="s">
        <x:v>675</x:v>
      </x:c>
      <x:c r="P180" s="37" t="s">
        <x:v>151</x:v>
      </x:c>
      <x:c r="Q180" s="37" t="s">
        <x:v>151</x:v>
      </x:c>
      <x:c r="R180" s="37" t="s">
        <x:v>151</x:v>
      </x:c>
      <x:c r="S180" s="37" t="s">
        <x:v>152</x:v>
      </x:c>
      <x:c r="T180" s="36" t="s">
        <x:v>322</x:v>
      </x:c>
      <x:c r="U180" s="36" t="n">
        <x:f>IFERROR(O180*P180*Q180/R180*(1+S180)*T180,"")</x:f>
        <x:v>0.3424657534246575</x:v>
      </x:c>
      <x:c r="V180" s="33" t="s">
        <x:v>323</x:v>
      </x:c>
      <x:c r="W180" s="30">
        <x:v>46236.78357621528</x:v>
      </x:c>
      <x:c r="X180" s="30"/>
      <x:c r="Y180" s="3" t="s">
        <x:v>224</x:v>
      </x:c>
      <x:c r="Z180" s="3" t="s">
        <x:v>165</x:v>
      </x:c>
      <x:c r="AA180" s="17" t="s">
        <x:v>680</x:v>
      </x:c>
      <x:c r="AB180" s="33" t="str">
        <x:f>IF(A180="","",IF(COUNTIF($A$5:$A$1004,A180)&gt;1,"错误:重复成本规则ID",IF(OR(B180="",C180="",D180="",E180="",F180="",K180="",O180&lt;=0,P180&lt;=0,Q180&lt;=0,R180&lt;=0,S180&lt;0,T180&lt;=0,Y180="",Z180=""),"错误:必填项","OK")))</x:f>
        <x:v>OK</x:v>
      </x:c>
    </x:row>
    <x:row r="181" ht="66" hidden="1" customHeight="1">
      <x:c r="A181" s="3" t="s">
        <x:v>682</x:v>
      </x:c>
      <x:c r="B181" s="3" t="s">
        <x:v>162</x:v>
      </x:c>
      <x:c r="C181" s="3" t="s">
        <x:v>683</x:v>
      </x:c>
      <x:c r="D181" s="3" t="s">
        <x:v>217</x:v>
      </x:c>
      <x:c r="E181" s="3" t="s">
        <x:v>258</x:v>
      </x:c>
      <x:c r="F181" s="3" t="s">
        <x:v>318</x:v>
      </x:c>
      <x:c r="G181" s="3" t="s">
        <x:v>319</x:v>
      </x:c>
      <x:c r="H181" s="3" t="s">
        <x:v>319</x:v>
      </x:c>
      <x:c r="I181" s="3" t="s">
        <x:v>319</x:v>
      </x:c>
      <x:c r="J181" s="3" t="s">
        <x:v>320</x:v>
      </x:c>
      <x:c r="K181" s="3" t="s">
        <x:v>150</x:v>
      </x:c>
      <x:c r="L181" s="37" t="s">
        <x:v>319</x:v>
      </x:c>
      <x:c r="M181" s="37" t="s">
        <x:v>675</x:v>
      </x:c>
      <x:c r="N181" s="37" t="s">
        <x:v>319</x:v>
      </x:c>
      <x:c r="O181" s="36" t="s">
        <x:v>675</x:v>
      </x:c>
      <x:c r="P181" s="37" t="s">
        <x:v>151</x:v>
      </x:c>
      <x:c r="Q181" s="37" t="s">
        <x:v>151</x:v>
      </x:c>
      <x:c r="R181" s="37" t="s">
        <x:v>151</x:v>
      </x:c>
      <x:c r="S181" s="37" t="s">
        <x:v>152</x:v>
      </x:c>
      <x:c r="T181" s="36" t="s">
        <x:v>322</x:v>
      </x:c>
      <x:c r="U181" s="36" t="n">
        <x:f>IFERROR(O181*P181*Q181/R181*(1+S181)*T181,"")</x:f>
        <x:v>0.3424657534246575</x:v>
      </x:c>
      <x:c r="V181" s="33" t="s">
        <x:v>323</x:v>
      </x:c>
      <x:c r="W181" s="30">
        <x:v>46236.78357621528</x:v>
      </x:c>
      <x:c r="X181" s="30"/>
      <x:c r="Y181" s="3" t="s">
        <x:v>224</x:v>
      </x:c>
      <x:c r="Z181" s="3" t="s">
        <x:v>165</x:v>
      </x:c>
      <x:c r="AA181" s="17" t="s">
        <x:v>684</x:v>
      </x:c>
      <x:c r="AB181" s="33" t="str">
        <x:f>IF(A181="","",IF(COUNTIF($A$5:$A$1004,A181)&gt;1,"错误:重复成本规则ID",IF(OR(B181="",C181="",D181="",E181="",F181="",K181="",O181&lt;=0,P181&lt;=0,Q181&lt;=0,R181&lt;=0,S181&lt;0,T181&lt;=0,Y181="",Z181=""),"错误:必填项","OK")))</x:f>
        <x:v>OK</x:v>
      </x:c>
    </x:row>
    <x:row r="182" ht="39.599998474121094" hidden="1" customHeight="1">
      <x:c r="A182" s="3" t="s">
        <x:v>685</x:v>
      </x:c>
      <x:c r="B182" s="3" t="s">
        <x:v>162</x:v>
      </x:c>
      <x:c r="C182" s="3" t="s">
        <x:v>683</x:v>
      </x:c>
      <x:c r="D182" s="3" t="s">
        <x:v>217</x:v>
      </x:c>
      <x:c r="E182" s="3" t="s">
        <x:v>264</x:v>
      </x:c>
      <x:c r="F182" s="3" t="s">
        <x:v>318</x:v>
      </x:c>
      <x:c r="G182" s="3" t="s">
        <x:v>319</x:v>
      </x:c>
      <x:c r="H182" s="3" t="s">
        <x:v>319</x:v>
      </x:c>
      <x:c r="I182" s="3" t="s">
        <x:v>319</x:v>
      </x:c>
      <x:c r="J182" s="3" t="s">
        <x:v>320</x:v>
      </x:c>
      <x:c r="K182" s="3" t="s">
        <x:v>150</x:v>
      </x:c>
      <x:c r="L182" s="37" t="s">
        <x:v>319</x:v>
      </x:c>
      <x:c r="M182" s="37" t="s">
        <x:v>675</x:v>
      </x:c>
      <x:c r="N182" s="37" t="s">
        <x:v>319</x:v>
      </x:c>
      <x:c r="O182" s="36" t="s">
        <x:v>675</x:v>
      </x:c>
      <x:c r="P182" s="37" t="s">
        <x:v>151</x:v>
      </x:c>
      <x:c r="Q182" s="37" t="s">
        <x:v>151</x:v>
      </x:c>
      <x:c r="R182" s="37" t="s">
        <x:v>151</x:v>
      </x:c>
      <x:c r="S182" s="37" t="s">
        <x:v>152</x:v>
      </x:c>
      <x:c r="T182" s="36" t="s">
        <x:v>322</x:v>
      </x:c>
      <x:c r="U182" s="36" t="n">
        <x:f>IFERROR(O182*P182*Q182/R182*(1+S182)*T182,"")</x:f>
        <x:v>0.3424657534246575</x:v>
      </x:c>
      <x:c r="V182" s="33" t="s">
        <x:v>323</x:v>
      </x:c>
      <x:c r="W182" s="30">
        <x:v>46236.78357621528</x:v>
      </x:c>
      <x:c r="X182" s="30"/>
      <x:c r="Y182" s="3" t="s">
        <x:v>224</x:v>
      </x:c>
      <x:c r="Z182" s="3" t="s">
        <x:v>165</x:v>
      </x:c>
      <x:c r="AA182" s="17" t="s">
        <x:v>684</x:v>
      </x:c>
      <x:c r="AB182" s="33" t="str">
        <x:f>IF(A182="","",IF(COUNTIF($A$5:$A$1004,A182)&gt;1,"错误:重复成本规则ID",IF(OR(B182="",C182="",D182="",E182="",F182="",K182="",O182&lt;=0,P182&lt;=0,Q182&lt;=0,R182&lt;=0,S182&lt;0,T182&lt;=0,Y182="",Z182=""),"错误:必填项","OK")))</x:f>
        <x:v>OK</x:v>
      </x:c>
    </x:row>
    <x:row r="183" ht="39.599998474121094" hidden="1" customHeight="1">
      <x:c r="A183" s="3" t="s">
        <x:v>686</x:v>
      </x:c>
      <x:c r="B183" s="3" t="s">
        <x:v>162</x:v>
      </x:c>
      <x:c r="C183" s="3" t="s">
        <x:v>687</x:v>
      </x:c>
      <x:c r="D183" s="3" t="s">
        <x:v>227</x:v>
      </x:c>
      <x:c r="E183" s="3" t="s">
        <x:v>258</x:v>
      </x:c>
      <x:c r="F183" s="3" t="s">
        <x:v>259</x:v>
      </x:c>
      <x:c r="G183" s="3" t="s">
        <x:v>688</x:v>
      </x:c>
      <x:c r="H183" s="3" t="s">
        <x:v>689</x:v>
      </x:c>
      <x:c r="I183" s="3" t="s">
        <x:v>688</x:v>
      </x:c>
      <x:c r="J183" s="3" t="s">
        <x:v>320</x:v>
      </x:c>
      <x:c r="K183" s="3" t="s">
        <x:v>150</x:v>
      </x:c>
      <x:c r="L183" s="37" t="s">
        <x:v>319</x:v>
      </x:c>
      <x:c r="M183" s="37" t="s">
        <x:v>319</x:v>
      </x:c>
      <x:c r="N183" s="37" t="s">
        <x:v>268</x:v>
      </x:c>
      <x:c r="O183" s="36" t="s">
        <x:v>268</x:v>
      </x:c>
      <x:c r="P183" s="37" t="s">
        <x:v>151</x:v>
      </x:c>
      <x:c r="Q183" s="37" t="s">
        <x:v>151</x:v>
      </x:c>
      <x:c r="R183" s="37" t="s">
        <x:v>151</x:v>
      </x:c>
      <x:c r="S183" s="37" t="s">
        <x:v>152</x:v>
      </x:c>
      <x:c r="T183" s="36" t="s">
        <x:v>322</x:v>
      </x:c>
      <x:c r="U183" s="36" t="n">
        <x:f>IFERROR(O183*P183*Q183/R183*(1+S183)*T183,"")</x:f>
        <x:v>6.301369863013698</x:v>
      </x:c>
      <x:c r="V183" s="33" t="s">
        <x:v>690</x:v>
      </x:c>
      <x:c r="W183" s="30">
        <x:v>46236.78357621528</x:v>
      </x:c>
      <x:c r="X183" s="30"/>
      <x:c r="Y183" s="3" t="s">
        <x:v>224</x:v>
      </x:c>
      <x:c r="Z183" s="3" t="s">
        <x:v>165</x:v>
      </x:c>
      <x:c r="AA183" s="17" t="s">
        <x:v>691</x:v>
      </x:c>
      <x:c r="AB183" s="33" t="str">
        <x:f>IF(A183="","",IF(COUNTIF($A$5:$A$1004,A183)&gt;1,"错误:重复成本规则ID",IF(OR(B183="",C183="",D183="",E183="",F183="",K183="",O183&lt;=0,P183&lt;=0,Q183&lt;=0,R183&lt;=0,S183&lt;0,T183&lt;=0,Y183="",Z183=""),"错误:必填项","OK")))</x:f>
        <x:v>OK</x:v>
      </x:c>
    </x:row>
    <x:row r="184" ht="39.599998474121094" hidden="1" customHeight="1">
      <x:c r="A184" s="3" t="s">
        <x:v>692</x:v>
      </x:c>
      <x:c r="B184" s="3" t="s">
        <x:v>162</x:v>
      </x:c>
      <x:c r="C184" s="3" t="s">
        <x:v>687</x:v>
      </x:c>
      <x:c r="D184" s="3" t="s">
        <x:v>227</x:v>
      </x:c>
      <x:c r="E184" s="3" t="s">
        <x:v>264</x:v>
      </x:c>
      <x:c r="F184" s="3" t="s">
        <x:v>259</x:v>
      </x:c>
      <x:c r="G184" s="3" t="s">
        <x:v>688</x:v>
      </x:c>
      <x:c r="H184" s="3" t="s">
        <x:v>689</x:v>
      </x:c>
      <x:c r="I184" s="3" t="s">
        <x:v>688</x:v>
      </x:c>
      <x:c r="J184" s="3" t="s">
        <x:v>320</x:v>
      </x:c>
      <x:c r="K184" s="3" t="s">
        <x:v>150</x:v>
      </x:c>
      <x:c r="L184" s="37" t="s">
        <x:v>319</x:v>
      </x:c>
      <x:c r="M184" s="37" t="s">
        <x:v>319</x:v>
      </x:c>
      <x:c r="N184" s="37" t="s">
        <x:v>268</x:v>
      </x:c>
      <x:c r="O184" s="36" t="s">
        <x:v>268</x:v>
      </x:c>
      <x:c r="P184" s="37" t="s">
        <x:v>151</x:v>
      </x:c>
      <x:c r="Q184" s="37" t="s">
        <x:v>151</x:v>
      </x:c>
      <x:c r="R184" s="37" t="s">
        <x:v>151</x:v>
      </x:c>
      <x:c r="S184" s="37" t="s">
        <x:v>152</x:v>
      </x:c>
      <x:c r="T184" s="36" t="s">
        <x:v>322</x:v>
      </x:c>
      <x:c r="U184" s="36" t="n">
        <x:f>IFERROR(O184*P184*Q184/R184*(1+S184)*T184,"")</x:f>
        <x:v>6.301369863013698</x:v>
      </x:c>
      <x:c r="V184" s="33" t="s">
        <x:v>690</x:v>
      </x:c>
      <x:c r="W184" s="30">
        <x:v>46236.78357621528</x:v>
      </x:c>
      <x:c r="X184" s="30"/>
      <x:c r="Y184" s="3" t="s">
        <x:v>224</x:v>
      </x:c>
      <x:c r="Z184" s="3" t="s">
        <x:v>165</x:v>
      </x:c>
      <x:c r="AA184" s="17" t="s">
        <x:v>691</x:v>
      </x:c>
      <x:c r="AB184" s="33" t="str">
        <x:f>IF(A184="","",IF(COUNTIF($A$5:$A$1004,A184)&gt;1,"错误:重复成本规则ID",IF(OR(B184="",C184="",D184="",E184="",F184="",K184="",O184&lt;=0,P184&lt;=0,Q184&lt;=0,R184&lt;=0,S184&lt;0,T184&lt;=0,Y184="",Z184=""),"错误:必填项","OK")))</x:f>
        <x:v>OK</x:v>
      </x:c>
    </x:row>
    <x:row r="185" ht="39.599998474121094" hidden="1" customHeight="1">
      <x:c r="A185" s="3" t="s">
        <x:v>693</x:v>
      </x:c>
      <x:c r="B185" s="3" t="s">
        <x:v>162</x:v>
      </x:c>
      <x:c r="C185" s="3" t="s">
        <x:v>694</x:v>
      </x:c>
      <x:c r="D185" s="3" t="s">
        <x:v>232</x:v>
      </x:c>
      <x:c r="E185" s="3" t="s">
        <x:v>258</x:v>
      </x:c>
      <x:c r="F185" s="3" t="s">
        <x:v>259</x:v>
      </x:c>
      <x:c r="G185" s="3" t="s">
        <x:v>688</x:v>
      </x:c>
      <x:c r="H185" s="3" t="s">
        <x:v>689</x:v>
      </x:c>
      <x:c r="I185" s="3" t="s">
        <x:v>688</x:v>
      </x:c>
      <x:c r="J185" s="3" t="s">
        <x:v>320</x:v>
      </x:c>
      <x:c r="K185" s="3" t="s">
        <x:v>150</x:v>
      </x:c>
      <x:c r="L185" s="37" t="s">
        <x:v>319</x:v>
      </x:c>
      <x:c r="M185" s="37" t="s">
        <x:v>319</x:v>
      </x:c>
      <x:c r="N185" s="37" t="s">
        <x:v>268</x:v>
      </x:c>
      <x:c r="O185" s="36" t="s">
        <x:v>268</x:v>
      </x:c>
      <x:c r="P185" s="37" t="s">
        <x:v>151</x:v>
      </x:c>
      <x:c r="Q185" s="37" t="s">
        <x:v>151</x:v>
      </x:c>
      <x:c r="R185" s="37" t="s">
        <x:v>151</x:v>
      </x:c>
      <x:c r="S185" s="37" t="s">
        <x:v>152</x:v>
      </x:c>
      <x:c r="T185" s="36" t="s">
        <x:v>322</x:v>
      </x:c>
      <x:c r="U185" s="36" t="n">
        <x:f>IFERROR(O185*P185*Q185/R185*(1+S185)*T185,"")</x:f>
        <x:v>6.301369863013698</x:v>
      </x:c>
      <x:c r="V185" s="33" t="s">
        <x:v>690</x:v>
      </x:c>
      <x:c r="W185" s="30">
        <x:v>46236.78357621528</x:v>
      </x:c>
      <x:c r="X185" s="30"/>
      <x:c r="Y185" s="3" t="s">
        <x:v>224</x:v>
      </x:c>
      <x:c r="Z185" s="3" t="s">
        <x:v>165</x:v>
      </x:c>
      <x:c r="AA185" s="17" t="s">
        <x:v>695</x:v>
      </x:c>
      <x:c r="AB185" s="33" t="str">
        <x:f>IF(A185="","",IF(COUNTIF($A$5:$A$1004,A185)&gt;1,"错误:重复成本规则ID",IF(OR(B185="",C185="",D185="",E185="",F185="",K185="",O185&lt;=0,P185&lt;=0,Q185&lt;=0,R185&lt;=0,S185&lt;0,T185&lt;=0,Y185="",Z185=""),"错误:必填项","OK")))</x:f>
        <x:v>OK</x:v>
      </x:c>
    </x:row>
    <x:row r="186" ht="66" hidden="1" customHeight="1">
      <x:c r="A186" s="3" t="s">
        <x:v>696</x:v>
      </x:c>
      <x:c r="B186" s="3" t="s">
        <x:v>162</x:v>
      </x:c>
      <x:c r="C186" s="3" t="s">
        <x:v>694</x:v>
      </x:c>
      <x:c r="D186" s="3" t="s">
        <x:v>232</x:v>
      </x:c>
      <x:c r="E186" s="3" t="s">
        <x:v>264</x:v>
      </x:c>
      <x:c r="F186" s="3" t="s">
        <x:v>259</x:v>
      </x:c>
      <x:c r="G186" s="3" t="s">
        <x:v>688</x:v>
      </x:c>
      <x:c r="H186" s="3" t="s">
        <x:v>689</x:v>
      </x:c>
      <x:c r="I186" s="3" t="s">
        <x:v>688</x:v>
      </x:c>
      <x:c r="J186" s="3" t="s">
        <x:v>320</x:v>
      </x:c>
      <x:c r="K186" s="3" t="s">
        <x:v>150</x:v>
      </x:c>
      <x:c r="L186" s="37" t="s">
        <x:v>319</x:v>
      </x:c>
      <x:c r="M186" s="37" t="s">
        <x:v>319</x:v>
      </x:c>
      <x:c r="N186" s="37" t="s">
        <x:v>268</x:v>
      </x:c>
      <x:c r="O186" s="36" t="s">
        <x:v>268</x:v>
      </x:c>
      <x:c r="P186" s="37" t="s">
        <x:v>151</x:v>
      </x:c>
      <x:c r="Q186" s="37" t="s">
        <x:v>151</x:v>
      </x:c>
      <x:c r="R186" s="37" t="s">
        <x:v>151</x:v>
      </x:c>
      <x:c r="S186" s="37" t="s">
        <x:v>152</x:v>
      </x:c>
      <x:c r="T186" s="36" t="s">
        <x:v>322</x:v>
      </x:c>
      <x:c r="U186" s="36" t="n">
        <x:f>IFERROR(O186*P186*Q186/R186*(1+S186)*T186,"")</x:f>
        <x:v>6.301369863013698</x:v>
      </x:c>
      <x:c r="V186" s="33" t="s">
        <x:v>690</x:v>
      </x:c>
      <x:c r="W186" s="30">
        <x:v>46236.78357621528</x:v>
      </x:c>
      <x:c r="X186" s="30"/>
      <x:c r="Y186" s="3" t="s">
        <x:v>224</x:v>
      </x:c>
      <x:c r="Z186" s="3" t="s">
        <x:v>165</x:v>
      </x:c>
      <x:c r="AA186" s="17" t="s">
        <x:v>695</x:v>
      </x:c>
      <x:c r="AB186" s="33" t="str">
        <x:f>IF(A186="","",IF(COUNTIF($A$5:$A$1004,A186)&gt;1,"错误:重复成本规则ID",IF(OR(B186="",C186="",D186="",E186="",F186="",K186="",O186&lt;=0,P186&lt;=0,Q186&lt;=0,R186&lt;=0,S186&lt;0,T186&lt;=0,Y186="",Z186=""),"错误:必填项","OK")))</x:f>
        <x:v>OK</x:v>
      </x:c>
    </x:row>
    <x:row r="187" ht="66" hidden="1" customHeight="1">
      <x:c r="A187" s="3" t="s">
        <x:v>697</x:v>
      </x:c>
      <x:c r="B187" s="3" t="s">
        <x:v>162</x:v>
      </x:c>
      <x:c r="C187" s="3" t="s">
        <x:v>698</x:v>
      </x:c>
      <x:c r="D187" s="3" t="s">
        <x:v>217</x:v>
      </x:c>
      <x:c r="E187" s="3" t="s">
        <x:v>258</x:v>
      </x:c>
      <x:c r="F187" s="3" t="s">
        <x:v>259</x:v>
      </x:c>
      <x:c r="G187" s="3" t="s">
        <x:v>688</x:v>
      </x:c>
      <x:c r="H187" s="3" t="s">
        <x:v>689</x:v>
      </x:c>
      <x:c r="I187" s="3" t="s">
        <x:v>688</x:v>
      </x:c>
      <x:c r="J187" s="3" t="s">
        <x:v>320</x:v>
      </x:c>
      <x:c r="K187" s="3" t="s">
        <x:v>150</x:v>
      </x:c>
      <x:c r="L187" s="37" t="s">
        <x:v>319</x:v>
      </x:c>
      <x:c r="M187" s="37" t="s">
        <x:v>319</x:v>
      </x:c>
      <x:c r="N187" s="37" t="s">
        <x:v>260</x:v>
      </x:c>
      <x:c r="O187" s="36" t="s">
        <x:v>260</x:v>
      </x:c>
      <x:c r="P187" s="37" t="s">
        <x:v>151</x:v>
      </x:c>
      <x:c r="Q187" s="37" t="s">
        <x:v>151</x:v>
      </x:c>
      <x:c r="R187" s="37" t="s">
        <x:v>151</x:v>
      </x:c>
      <x:c r="S187" s="37" t="s">
        <x:v>152</x:v>
      </x:c>
      <x:c r="T187" s="36" t="s">
        <x:v>322</x:v>
      </x:c>
      <x:c r="U187" s="36" t="n">
        <x:f>IFERROR(O187*P187*Q187/R187*(1+S187)*T187,"")</x:f>
        <x:v>6.986301369863013</x:v>
      </x:c>
      <x:c r="V187" s="33" t="s">
        <x:v>690</x:v>
      </x:c>
      <x:c r="W187" s="30">
        <x:v>46236.78357621528</x:v>
      </x:c>
      <x:c r="X187" s="30"/>
      <x:c r="Y187" s="3" t="s">
        <x:v>224</x:v>
      </x:c>
      <x:c r="Z187" s="3" t="s">
        <x:v>165</x:v>
      </x:c>
      <x:c r="AA187" s="17" t="s">
        <x:v>699</x:v>
      </x:c>
      <x:c r="AB187" s="33" t="str">
        <x:f>IF(A187="","",IF(COUNTIF($A$5:$A$1004,A187)&gt;1,"错误:重复成本规则ID",IF(OR(B187="",C187="",D187="",E187="",F187="",K187="",O187&lt;=0,P187&lt;=0,Q187&lt;=0,R187&lt;=0,S187&lt;0,T187&lt;=0,Y187="",Z187=""),"错误:必填项","OK")))</x:f>
        <x:v>OK</x:v>
      </x:c>
    </x:row>
    <x:row r="188" ht="66" hidden="1" customHeight="1">
      <x:c r="A188" s="3" t="s">
        <x:v>700</x:v>
      </x:c>
      <x:c r="B188" s="3" t="s">
        <x:v>162</x:v>
      </x:c>
      <x:c r="C188" s="3" t="s">
        <x:v>698</x:v>
      </x:c>
      <x:c r="D188" s="3" t="s">
        <x:v>217</x:v>
      </x:c>
      <x:c r="E188" s="3" t="s">
        <x:v>264</x:v>
      </x:c>
      <x:c r="F188" s="3" t="s">
        <x:v>259</x:v>
      </x:c>
      <x:c r="G188" s="3" t="s">
        <x:v>688</x:v>
      </x:c>
      <x:c r="H188" s="3" t="s">
        <x:v>689</x:v>
      </x:c>
      <x:c r="I188" s="3" t="s">
        <x:v>688</x:v>
      </x:c>
      <x:c r="J188" s="3" t="s">
        <x:v>320</x:v>
      </x:c>
      <x:c r="K188" s="3" t="s">
        <x:v>150</x:v>
      </x:c>
      <x:c r="L188" s="37" t="s">
        <x:v>319</x:v>
      </x:c>
      <x:c r="M188" s="37" t="s">
        <x:v>319</x:v>
      </x:c>
      <x:c r="N188" s="37" t="s">
        <x:v>260</x:v>
      </x:c>
      <x:c r="O188" s="36" t="s">
        <x:v>260</x:v>
      </x:c>
      <x:c r="P188" s="37" t="s">
        <x:v>151</x:v>
      </x:c>
      <x:c r="Q188" s="37" t="s">
        <x:v>151</x:v>
      </x:c>
      <x:c r="R188" s="37" t="s">
        <x:v>151</x:v>
      </x:c>
      <x:c r="S188" s="37" t="s">
        <x:v>152</x:v>
      </x:c>
      <x:c r="T188" s="36" t="s">
        <x:v>322</x:v>
      </x:c>
      <x:c r="U188" s="36" t="n">
        <x:f>IFERROR(O188*P188*Q188/R188*(1+S188)*T188,"")</x:f>
        <x:v>6.986301369863013</x:v>
      </x:c>
      <x:c r="V188" s="33" t="s">
        <x:v>690</x:v>
      </x:c>
      <x:c r="W188" s="30">
        <x:v>46236.78357621528</x:v>
      </x:c>
      <x:c r="X188" s="30"/>
      <x:c r="Y188" s="3" t="s">
        <x:v>224</x:v>
      </x:c>
      <x:c r="Z188" s="3" t="s">
        <x:v>165</x:v>
      </x:c>
      <x:c r="AA188" s="17" t="s">
        <x:v>699</x:v>
      </x:c>
      <x:c r="AB188" s="33" t="str">
        <x:f>IF(A188="","",IF(COUNTIF($A$5:$A$1004,A188)&gt;1,"错误:重复成本规则ID",IF(OR(B188="",C188="",D188="",E188="",F188="",K188="",O188&lt;=0,P188&lt;=0,Q188&lt;=0,R188&lt;=0,S188&lt;0,T188&lt;=0,Y188="",Z188=""),"错误:必填项","OK")))</x:f>
        <x:v>OK</x:v>
      </x:c>
    </x:row>
    <x:row r="189" ht="66" hidden="1" customHeight="1">
      <x:c r="A189" s="3" t="s">
        <x:v>701</x:v>
      </x:c>
      <x:c r="B189" s="3" t="s">
        <x:v>189</x:v>
      </x:c>
      <x:c r="C189" s="3" t="s">
        <x:v>702</x:v>
      </x:c>
      <x:c r="D189" s="3" t="s">
        <x:v>227</x:v>
      </x:c>
      <x:c r="E189" s="3" t="s">
        <x:v>258</x:v>
      </x:c>
      <x:c r="F189" s="3" t="s">
        <x:v>331</x:v>
      </x:c>
      <x:c r="G189" s="3" t="s">
        <x:v>319</x:v>
      </x:c>
      <x:c r="H189" s="3" t="s">
        <x:v>319</x:v>
      </x:c>
      <x:c r="I189" s="3" t="s">
        <x:v>319</x:v>
      </x:c>
      <x:c r="J189" s="3" t="s">
        <x:v>320</x:v>
      </x:c>
      <x:c r="K189" s="3" t="s">
        <x:v>150</x:v>
      </x:c>
      <x:c r="L189" s="37" t="s">
        <x:v>703</x:v>
      </x:c>
      <x:c r="M189" s="37" t="s">
        <x:v>319</x:v>
      </x:c>
      <x:c r="N189" s="37" t="s">
        <x:v>319</x:v>
      </x:c>
      <x:c r="O189" s="36" t="s">
        <x:v>703</x:v>
      </x:c>
      <x:c r="P189" s="37" t="s">
        <x:v>151</x:v>
      </x:c>
      <x:c r="Q189" s="37" t="s">
        <x:v>151</x:v>
      </x:c>
      <x:c r="R189" s="37" t="s">
        <x:v>151</x:v>
      </x:c>
      <x:c r="S189" s="37" t="s">
        <x:v>152</x:v>
      </x:c>
      <x:c r="T189" s="36" t="s">
        <x:v>322</x:v>
      </x:c>
      <x:c r="U189" s="36" t="n">
        <x:f>IFERROR(O189*P189*Q189/R189*(1+S189)*T189,"")</x:f>
        <x:v>0.6712328767123288</x:v>
      </x:c>
      <x:c r="V189" s="33" t="s">
        <x:v>333</x:v>
      </x:c>
      <x:c r="W189" s="30">
        <x:v>46236.78357621528</x:v>
      </x:c>
      <x:c r="X189" s="30"/>
      <x:c r="Y189" s="3" t="s">
        <x:v>224</x:v>
      </x:c>
      <x:c r="Z189" s="3" t="s">
        <x:v>192</x:v>
      </x:c>
      <x:c r="AA189" s="17" t="s">
        <x:v>704</x:v>
      </x:c>
      <x:c r="AB189" s="33" t="str">
        <x:f>IF(A189="","",IF(COUNTIF($A$5:$A$1004,A189)&gt;1,"错误:重复成本规则ID",IF(OR(B189="",C189="",D189="",E189="",F189="",K189="",O189&lt;=0,P189&lt;=0,Q189&lt;=0,R189&lt;=0,S189&lt;0,T189&lt;=0,Y189="",Z189=""),"错误:必填项","OK")))</x:f>
        <x:v>OK</x:v>
      </x:c>
    </x:row>
    <x:row r="190" ht="39.599998474121094" hidden="1" customHeight="1">
      <x:c r="A190" s="3" t="s">
        <x:v>705</x:v>
      </x:c>
      <x:c r="B190" s="3" t="s">
        <x:v>189</x:v>
      </x:c>
      <x:c r="C190" s="3" t="s">
        <x:v>702</x:v>
      </x:c>
      <x:c r="D190" s="3" t="s">
        <x:v>227</x:v>
      </x:c>
      <x:c r="E190" s="3" t="s">
        <x:v>264</x:v>
      </x:c>
      <x:c r="F190" s="3" t="s">
        <x:v>331</x:v>
      </x:c>
      <x:c r="G190" s="3" t="s">
        <x:v>319</x:v>
      </x:c>
      <x:c r="H190" s="3" t="s">
        <x:v>319</x:v>
      </x:c>
      <x:c r="I190" s="3" t="s">
        <x:v>319</x:v>
      </x:c>
      <x:c r="J190" s="3" t="s">
        <x:v>320</x:v>
      </x:c>
      <x:c r="K190" s="3" t="s">
        <x:v>150</x:v>
      </x:c>
      <x:c r="L190" s="37" t="s">
        <x:v>703</x:v>
      </x:c>
      <x:c r="M190" s="37" t="s">
        <x:v>319</x:v>
      </x:c>
      <x:c r="N190" s="37" t="s">
        <x:v>319</x:v>
      </x:c>
      <x:c r="O190" s="36" t="s">
        <x:v>703</x:v>
      </x:c>
      <x:c r="P190" s="37" t="s">
        <x:v>151</x:v>
      </x:c>
      <x:c r="Q190" s="37" t="s">
        <x:v>151</x:v>
      </x:c>
      <x:c r="R190" s="37" t="s">
        <x:v>151</x:v>
      </x:c>
      <x:c r="S190" s="37" t="s">
        <x:v>152</x:v>
      </x:c>
      <x:c r="T190" s="36" t="s">
        <x:v>322</x:v>
      </x:c>
      <x:c r="U190" s="36" t="n">
        <x:f>IFERROR(O190*P190*Q190/R190*(1+S190)*T190,"")</x:f>
        <x:v>0.6712328767123288</x:v>
      </x:c>
      <x:c r="V190" s="33" t="s">
        <x:v>333</x:v>
      </x:c>
      <x:c r="W190" s="30">
        <x:v>46236.78357621528</x:v>
      </x:c>
      <x:c r="X190" s="30"/>
      <x:c r="Y190" s="3" t="s">
        <x:v>224</x:v>
      </x:c>
      <x:c r="Z190" s="3" t="s">
        <x:v>192</x:v>
      </x:c>
      <x:c r="AA190" s="17" t="s">
        <x:v>704</x:v>
      </x:c>
      <x:c r="AB190" s="33" t="str">
        <x:f>IF(A190="","",IF(COUNTIF($A$5:$A$1004,A190)&gt;1,"错误:重复成本规则ID",IF(OR(B190="",C190="",D190="",E190="",F190="",K190="",O190&lt;=0,P190&lt;=0,Q190&lt;=0,R190&lt;=0,S190&lt;0,T190&lt;=0,Y190="",Z190=""),"错误:必填项","OK")))</x:f>
        <x:v>OK</x:v>
      </x:c>
    </x:row>
    <x:row r="191" ht="39.599998474121094" hidden="1" customHeight="1">
      <x:c r="A191" s="3" t="s">
        <x:v>706</x:v>
      </x:c>
      <x:c r="B191" s="3" t="s">
        <x:v>189</x:v>
      </x:c>
      <x:c r="C191" s="3" t="s">
        <x:v>702</x:v>
      </x:c>
      <x:c r="D191" s="3" t="s">
        <x:v>232</x:v>
      </x:c>
      <x:c r="E191" s="3" t="s">
        <x:v>258</x:v>
      </x:c>
      <x:c r="F191" s="3" t="s">
        <x:v>331</x:v>
      </x:c>
      <x:c r="G191" s="3" t="s">
        <x:v>319</x:v>
      </x:c>
      <x:c r="H191" s="3" t="s">
        <x:v>319</x:v>
      </x:c>
      <x:c r="I191" s="3" t="s">
        <x:v>319</x:v>
      </x:c>
      <x:c r="J191" s="3" t="s">
        <x:v>320</x:v>
      </x:c>
      <x:c r="K191" s="3" t="s">
        <x:v>150</x:v>
      </x:c>
      <x:c r="L191" s="37" t="s">
        <x:v>707</x:v>
      </x:c>
      <x:c r="M191" s="37" t="s">
        <x:v>319</x:v>
      </x:c>
      <x:c r="N191" s="37" t="s">
        <x:v>319</x:v>
      </x:c>
      <x:c r="O191" s="36" t="s">
        <x:v>707</x:v>
      </x:c>
      <x:c r="P191" s="37" t="s">
        <x:v>151</x:v>
      </x:c>
      <x:c r="Q191" s="37" t="s">
        <x:v>151</x:v>
      </x:c>
      <x:c r="R191" s="37" t="s">
        <x:v>151</x:v>
      </x:c>
      <x:c r="S191" s="37" t="s">
        <x:v>152</x:v>
      </x:c>
      <x:c r="T191" s="36" t="s">
        <x:v>322</x:v>
      </x:c>
      <x:c r="U191" s="36" t="n">
        <x:f>IFERROR(O191*P191*Q191/R191*(1+S191)*T191,"")</x:f>
        <x:v>0.958904109589041</x:v>
      </x:c>
      <x:c r="V191" s="33" t="s">
        <x:v>333</x:v>
      </x:c>
      <x:c r="W191" s="30">
        <x:v>46236.78357621528</x:v>
      </x:c>
      <x:c r="X191" s="30"/>
      <x:c r="Y191" s="3" t="s">
        <x:v>224</x:v>
      </x:c>
      <x:c r="Z191" s="3" t="s">
        <x:v>192</x:v>
      </x:c>
      <x:c r="AA191" s="17" t="s">
        <x:v>704</x:v>
      </x:c>
      <x:c r="AB191" s="33" t="str">
        <x:f>IF(A191="","",IF(COUNTIF($A$5:$A$1004,A191)&gt;1,"错误:重复成本规则ID",IF(OR(B191="",C191="",D191="",E191="",F191="",K191="",O191&lt;=0,P191&lt;=0,Q191&lt;=0,R191&lt;=0,S191&lt;0,T191&lt;=0,Y191="",Z191=""),"错误:必填项","OK")))</x:f>
        <x:v>OK</x:v>
      </x:c>
    </x:row>
    <x:row r="192" ht="39.599998474121094" hidden="1" customHeight="1">
      <x:c r="A192" s="3" t="s">
        <x:v>708</x:v>
      </x:c>
      <x:c r="B192" s="3" t="s">
        <x:v>189</x:v>
      </x:c>
      <x:c r="C192" s="3" t="s">
        <x:v>702</x:v>
      </x:c>
      <x:c r="D192" s="3" t="s">
        <x:v>232</x:v>
      </x:c>
      <x:c r="E192" s="3" t="s">
        <x:v>264</x:v>
      </x:c>
      <x:c r="F192" s="3" t="s">
        <x:v>331</x:v>
      </x:c>
      <x:c r="G192" s="3" t="s">
        <x:v>319</x:v>
      </x:c>
      <x:c r="H192" s="3" t="s">
        <x:v>319</x:v>
      </x:c>
      <x:c r="I192" s="3" t="s">
        <x:v>319</x:v>
      </x:c>
      <x:c r="J192" s="3" t="s">
        <x:v>320</x:v>
      </x:c>
      <x:c r="K192" s="3" t="s">
        <x:v>150</x:v>
      </x:c>
      <x:c r="L192" s="37" t="s">
        <x:v>707</x:v>
      </x:c>
      <x:c r="M192" s="37" t="s">
        <x:v>319</x:v>
      </x:c>
      <x:c r="N192" s="37" t="s">
        <x:v>319</x:v>
      </x:c>
      <x:c r="O192" s="36" t="s">
        <x:v>707</x:v>
      </x:c>
      <x:c r="P192" s="37" t="s">
        <x:v>151</x:v>
      </x:c>
      <x:c r="Q192" s="37" t="s">
        <x:v>151</x:v>
      </x:c>
      <x:c r="R192" s="37" t="s">
        <x:v>151</x:v>
      </x:c>
      <x:c r="S192" s="37" t="s">
        <x:v>152</x:v>
      </x:c>
      <x:c r="T192" s="36" t="s">
        <x:v>322</x:v>
      </x:c>
      <x:c r="U192" s="36" t="n">
        <x:f>IFERROR(O192*P192*Q192/R192*(1+S192)*T192,"")</x:f>
        <x:v>0.958904109589041</x:v>
      </x:c>
      <x:c r="V192" s="33" t="s">
        <x:v>333</x:v>
      </x:c>
      <x:c r="W192" s="30">
        <x:v>46236.78357621528</x:v>
      </x:c>
      <x:c r="X192" s="30"/>
      <x:c r="Y192" s="3" t="s">
        <x:v>224</x:v>
      </x:c>
      <x:c r="Z192" s="3" t="s">
        <x:v>192</x:v>
      </x:c>
      <x:c r="AA192" s="17" t="s">
        <x:v>704</x:v>
      </x:c>
      <x:c r="AB192" s="33" t="str">
        <x:f>IF(A192="","",IF(COUNTIF($A$5:$A$1004,A192)&gt;1,"错误:重复成本规则ID",IF(OR(B192="",C192="",D192="",E192="",F192="",K192="",O192&lt;=0,P192&lt;=0,Q192&lt;=0,R192&lt;=0,S192&lt;0,T192&lt;=0,Y192="",Z192=""),"错误:必填项","OK")))</x:f>
        <x:v>OK</x:v>
      </x:c>
    </x:row>
    <x:row r="193" ht="39.599998474121094" hidden="1" customHeight="1">
      <x:c r="A193" s="3" t="s">
        <x:v>709</x:v>
      </x:c>
      <x:c r="B193" s="3" t="s">
        <x:v>189</x:v>
      </x:c>
      <x:c r="C193" s="3" t="s">
        <x:v>702</x:v>
      </x:c>
      <x:c r="D193" s="3" t="s">
        <x:v>217</x:v>
      </x:c>
      <x:c r="E193" s="3" t="s">
        <x:v>258</x:v>
      </x:c>
      <x:c r="F193" s="3" t="s">
        <x:v>318</x:v>
      </x:c>
      <x:c r="G193" s="3" t="s">
        <x:v>319</x:v>
      </x:c>
      <x:c r="H193" s="3" t="s">
        <x:v>319</x:v>
      </x:c>
      <x:c r="I193" s="3" t="s">
        <x:v>319</x:v>
      </x:c>
      <x:c r="J193" s="3" t="s">
        <x:v>320</x:v>
      </x:c>
      <x:c r="K193" s="3" t="s">
        <x:v>150</x:v>
      </x:c>
      <x:c r="L193" s="37" t="s">
        <x:v>319</x:v>
      </x:c>
      <x:c r="M193" s="37" t="s">
        <x:v>710</x:v>
      </x:c>
      <x:c r="N193" s="37" t="s">
        <x:v>319</x:v>
      </x:c>
      <x:c r="O193" s="36" t="s">
        <x:v>710</x:v>
      </x:c>
      <x:c r="P193" s="37" t="s">
        <x:v>151</x:v>
      </x:c>
      <x:c r="Q193" s="37" t="s">
        <x:v>151</x:v>
      </x:c>
      <x:c r="R193" s="37" t="s">
        <x:v>151</x:v>
      </x:c>
      <x:c r="S193" s="37" t="s">
        <x:v>152</x:v>
      </x:c>
      <x:c r="T193" s="36" t="s">
        <x:v>322</x:v>
      </x:c>
      <x:c r="U193" s="36" t="n">
        <x:f>IFERROR(O193*P193*Q193/R193*(1+S193)*T193,"")</x:f>
        <x:v>0.11506849315068492</x:v>
      </x:c>
      <x:c r="V193" s="33" t="s">
        <x:v>323</x:v>
      </x:c>
      <x:c r="W193" s="30">
        <x:v>46236.78357621528</x:v>
      </x:c>
      <x:c r="X193" s="30"/>
      <x:c r="Y193" s="3" t="s">
        <x:v>224</x:v>
      </x:c>
      <x:c r="Z193" s="3" t="s">
        <x:v>192</x:v>
      </x:c>
      <x:c r="AA193" s="17" t="s">
        <x:v>704</x:v>
      </x:c>
      <x:c r="AB193" s="33" t="str">
        <x:f>IF(A193="","",IF(COUNTIF($A$5:$A$1004,A193)&gt;1,"错误:重复成本规则ID",IF(OR(B193="",C193="",D193="",E193="",F193="",K193="",O193&lt;=0,P193&lt;=0,Q193&lt;=0,R193&lt;=0,S193&lt;0,T193&lt;=0,Y193="",Z193=""),"错误:必填项","OK")))</x:f>
        <x:v>OK</x:v>
      </x:c>
    </x:row>
    <x:row r="194" ht="39.599998474121094" hidden="1" customHeight="1">
      <x:c r="A194" s="3" t="s">
        <x:v>711</x:v>
      </x:c>
      <x:c r="B194" s="3" t="s">
        <x:v>189</x:v>
      </x:c>
      <x:c r="C194" s="3" t="s">
        <x:v>702</x:v>
      </x:c>
      <x:c r="D194" s="3" t="s">
        <x:v>217</x:v>
      </x:c>
      <x:c r="E194" s="3" t="s">
        <x:v>264</x:v>
      </x:c>
      <x:c r="F194" s="3" t="s">
        <x:v>318</x:v>
      </x:c>
      <x:c r="G194" s="3" t="s">
        <x:v>319</x:v>
      </x:c>
      <x:c r="H194" s="3" t="s">
        <x:v>319</x:v>
      </x:c>
      <x:c r="I194" s="3" t="s">
        <x:v>319</x:v>
      </x:c>
      <x:c r="J194" s="3" t="s">
        <x:v>320</x:v>
      </x:c>
      <x:c r="K194" s="3" t="s">
        <x:v>150</x:v>
      </x:c>
      <x:c r="L194" s="37" t="s">
        <x:v>319</x:v>
      </x:c>
      <x:c r="M194" s="37" t="s">
        <x:v>710</x:v>
      </x:c>
      <x:c r="N194" s="37" t="s">
        <x:v>319</x:v>
      </x:c>
      <x:c r="O194" s="36" t="s">
        <x:v>710</x:v>
      </x:c>
      <x:c r="P194" s="37" t="s">
        <x:v>151</x:v>
      </x:c>
      <x:c r="Q194" s="37" t="s">
        <x:v>151</x:v>
      </x:c>
      <x:c r="R194" s="37" t="s">
        <x:v>151</x:v>
      </x:c>
      <x:c r="S194" s="37" t="s">
        <x:v>152</x:v>
      </x:c>
      <x:c r="T194" s="36" t="s">
        <x:v>322</x:v>
      </x:c>
      <x:c r="U194" s="36" t="n">
        <x:f>IFERROR(O194*P194*Q194/R194*(1+S194)*T194,"")</x:f>
        <x:v>0.11506849315068492</x:v>
      </x:c>
      <x:c r="V194" s="33" t="s">
        <x:v>323</x:v>
      </x:c>
      <x:c r="W194" s="30">
        <x:v>46236.78357621528</x:v>
      </x:c>
      <x:c r="X194" s="30"/>
      <x:c r="Y194" s="3" t="s">
        <x:v>224</x:v>
      </x:c>
      <x:c r="Z194" s="3" t="s">
        <x:v>192</x:v>
      </x:c>
      <x:c r="AA194" s="17" t="s">
        <x:v>704</x:v>
      </x:c>
      <x:c r="AB194" s="33" t="str">
        <x:f>IF(A194="","",IF(COUNTIF($A$5:$A$1004,A194)&gt;1,"错误:重复成本规则ID",IF(OR(B194="",C194="",D194="",E194="",F194="",K194="",O194&lt;=0,P194&lt;=0,Q194&lt;=0,R194&lt;=0,S194&lt;0,T194&lt;=0,Y194="",Z194=""),"错误:必填项","OK")))</x:f>
        <x:v>OK</x:v>
      </x:c>
    </x:row>
    <x:row r="195" ht="39.599998474121094" hidden="1" customHeight="1">
      <x:c r="A195" s="3" t="s">
        <x:v>712</x:v>
      </x:c>
      <x:c r="B195" s="3" t="s">
        <x:v>189</x:v>
      </x:c>
      <x:c r="C195" s="3" t="s">
        <x:v>702</x:v>
      </x:c>
      <x:c r="D195" s="3" t="s">
        <x:v>230</x:v>
      </x:c>
      <x:c r="E195" s="3" t="s">
        <x:v>258</x:v>
      </x:c>
      <x:c r="F195" s="3" t="s">
        <x:v>318</x:v>
      </x:c>
      <x:c r="G195" s="3" t="s">
        <x:v>319</x:v>
      </x:c>
      <x:c r="H195" s="3" t="s">
        <x:v>319</x:v>
      </x:c>
      <x:c r="I195" s="3" t="s">
        <x:v>319</x:v>
      </x:c>
      <x:c r="J195" s="3" t="s">
        <x:v>320</x:v>
      </x:c>
      <x:c r="K195" s="3" t="s">
        <x:v>150</x:v>
      </x:c>
      <x:c r="L195" s="37" t="s">
        <x:v>319</x:v>
      </x:c>
      <x:c r="M195" s="37" t="s">
        <x:v>713</x:v>
      </x:c>
      <x:c r="N195" s="37" t="s">
        <x:v>319</x:v>
      </x:c>
      <x:c r="O195" s="36" t="s">
        <x:v>713</x:v>
      </x:c>
      <x:c r="P195" s="37" t="s">
        <x:v>151</x:v>
      </x:c>
      <x:c r="Q195" s="37" t="s">
        <x:v>151</x:v>
      </x:c>
      <x:c r="R195" s="37" t="s">
        <x:v>151</x:v>
      </x:c>
      <x:c r="S195" s="37" t="s">
        <x:v>152</x:v>
      </x:c>
      <x:c r="T195" s="36" t="s">
        <x:v>322</x:v>
      </x:c>
      <x:c r="U195" s="36" t="n">
        <x:f>IFERROR(O195*P195*Q195/R195*(1+S195)*T195,"")</x:f>
        <x:v>0.23013698630136983</x:v>
      </x:c>
      <x:c r="V195" s="33" t="s">
        <x:v>323</x:v>
      </x:c>
      <x:c r="W195" s="30">
        <x:v>46236.78357621528</x:v>
      </x:c>
      <x:c r="X195" s="30"/>
      <x:c r="Y195" s="3" t="s">
        <x:v>224</x:v>
      </x:c>
      <x:c r="Z195" s="3" t="s">
        <x:v>192</x:v>
      </x:c>
      <x:c r="AA195" s="17" t="s">
        <x:v>704</x:v>
      </x:c>
      <x:c r="AB195" s="33" t="str">
        <x:f>IF(A195="","",IF(COUNTIF($A$5:$A$1004,A195)&gt;1,"错误:重复成本规则ID",IF(OR(B195="",C195="",D195="",E195="",F195="",K195="",O195&lt;=0,P195&lt;=0,Q195&lt;=0,R195&lt;=0,S195&lt;0,T195&lt;=0,Y195="",Z195=""),"错误:必填项","OK")))</x:f>
        <x:v>OK</x:v>
      </x:c>
    </x:row>
    <x:row r="196" ht="39.599998474121094" hidden="1" customHeight="1">
      <x:c r="A196" s="3" t="s">
        <x:v>714</x:v>
      </x:c>
      <x:c r="B196" s="3" t="s">
        <x:v>189</x:v>
      </x:c>
      <x:c r="C196" s="3" t="s">
        <x:v>702</x:v>
      </x:c>
      <x:c r="D196" s="3" t="s">
        <x:v>230</x:v>
      </x:c>
      <x:c r="E196" s="3" t="s">
        <x:v>264</x:v>
      </x:c>
      <x:c r="F196" s="3" t="s">
        <x:v>318</x:v>
      </x:c>
      <x:c r="G196" s="3" t="s">
        <x:v>319</x:v>
      </x:c>
      <x:c r="H196" s="3" t="s">
        <x:v>319</x:v>
      </x:c>
      <x:c r="I196" s="3" t="s">
        <x:v>319</x:v>
      </x:c>
      <x:c r="J196" s="3" t="s">
        <x:v>320</x:v>
      </x:c>
      <x:c r="K196" s="3" t="s">
        <x:v>150</x:v>
      </x:c>
      <x:c r="L196" s="37" t="s">
        <x:v>319</x:v>
      </x:c>
      <x:c r="M196" s="37" t="s">
        <x:v>713</x:v>
      </x:c>
      <x:c r="N196" s="37" t="s">
        <x:v>319</x:v>
      </x:c>
      <x:c r="O196" s="36" t="s">
        <x:v>713</x:v>
      </x:c>
      <x:c r="P196" s="37" t="s">
        <x:v>151</x:v>
      </x:c>
      <x:c r="Q196" s="37" t="s">
        <x:v>151</x:v>
      </x:c>
      <x:c r="R196" s="37" t="s">
        <x:v>151</x:v>
      </x:c>
      <x:c r="S196" s="37" t="s">
        <x:v>152</x:v>
      </x:c>
      <x:c r="T196" s="36" t="s">
        <x:v>322</x:v>
      </x:c>
      <x:c r="U196" s="36" t="n">
        <x:f>IFERROR(O196*P196*Q196/R196*(1+S196)*T196,"")</x:f>
        <x:v>0.23013698630136983</x:v>
      </x:c>
      <x:c r="V196" s="33" t="s">
        <x:v>323</x:v>
      </x:c>
      <x:c r="W196" s="30">
        <x:v>46236.78357621528</x:v>
      </x:c>
      <x:c r="X196" s="30"/>
      <x:c r="Y196" s="3" t="s">
        <x:v>224</x:v>
      </x:c>
      <x:c r="Z196" s="3" t="s">
        <x:v>192</x:v>
      </x:c>
      <x:c r="AA196" s="17" t="s">
        <x:v>704</x:v>
      </x:c>
      <x:c r="AB196" s="33" t="str">
        <x:f>IF(A196="","",IF(COUNTIF($A$5:$A$1004,A196)&gt;1,"错误:重复成本规则ID",IF(OR(B196="",C196="",D196="",E196="",F196="",K196="",O196&lt;=0,P196&lt;=0,Q196&lt;=0,R196&lt;=0,S196&lt;0,T196&lt;=0,Y196="",Z196=""),"错误:必填项","OK")))</x:f>
        <x:v>OK</x:v>
      </x:c>
    </x:row>
    <x:row r="197" ht="39.599998474121094" hidden="1" customHeight="1">
      <x:c r="A197" s="3" t="s">
        <x:v>715</x:v>
      </x:c>
      <x:c r="B197" s="3" t="s">
        <x:v>189</x:v>
      </x:c>
      <x:c r="C197" s="3" t="s">
        <x:v>702</x:v>
      </x:c>
      <x:c r="D197" s="3" t="s">
        <x:v>227</x:v>
      </x:c>
      <x:c r="E197" s="3" t="s">
        <x:v>258</x:v>
      </x:c>
      <x:c r="F197" s="3" t="s">
        <x:v>331</x:v>
      </x:c>
      <x:c r="G197" s="3" t="s">
        <x:v>319</x:v>
      </x:c>
      <x:c r="H197" s="3" t="s">
        <x:v>319</x:v>
      </x:c>
      <x:c r="I197" s="3" t="s">
        <x:v>319</x:v>
      </x:c>
      <x:c r="J197" s="3" t="s">
        <x:v>320</x:v>
      </x:c>
      <x:c r="K197" s="3" t="s">
        <x:v>150</x:v>
      </x:c>
      <x:c r="L197" s="37" t="s">
        <x:v>716</x:v>
      </x:c>
      <x:c r="M197" s="37" t="s">
        <x:v>319</x:v>
      </x:c>
      <x:c r="N197" s="37" t="s">
        <x:v>319</x:v>
      </x:c>
      <x:c r="O197" s="36" t="s">
        <x:v>716</x:v>
      </x:c>
      <x:c r="P197" s="37" t="s">
        <x:v>151</x:v>
      </x:c>
      <x:c r="Q197" s="37" t="s">
        <x:v>151</x:v>
      </x:c>
      <x:c r="R197" s="37" t="s">
        <x:v>151</x:v>
      </x:c>
      <x:c r="S197" s="37" t="s">
        <x:v>152</x:v>
      </x:c>
      <x:c r="T197" s="36" t="s">
        <x:v>322</x:v>
      </x:c>
      <x:c r="U197" s="36" t="n">
        <x:f>IFERROR(O197*P197*Q197/R197*(1+S197)*T197,"")</x:f>
        <x:v>0.2013698630136986</x:v>
      </x:c>
      <x:c r="V197" s="33" t="s">
        <x:v>333</x:v>
      </x:c>
      <x:c r="W197" s="30">
        <x:v>46236.78357621528</x:v>
      </x:c>
      <x:c r="X197" s="30"/>
      <x:c r="Y197" s="3" t="s">
        <x:v>224</x:v>
      </x:c>
      <x:c r="Z197" s="3" t="s">
        <x:v>192</x:v>
      </x:c>
      <x:c r="AA197" s="17" t="s">
        <x:v>717</x:v>
      </x:c>
      <x:c r="AB197" s="33" t="str">
        <x:f>IF(A197="","",IF(COUNTIF($A$5:$A$1004,A197)&gt;1,"错误:重复成本规则ID",IF(OR(B197="",C197="",D197="",E197="",F197="",K197="",O197&lt;=0,P197&lt;=0,Q197&lt;=0,R197&lt;=0,S197&lt;0,T197&lt;=0,Y197="",Z197=""),"错误:必填项","OK")))</x:f>
        <x:v>OK</x:v>
      </x:c>
    </x:row>
    <x:row r="198" ht="39.599998474121094" hidden="1" customHeight="1">
      <x:c r="A198" s="3" t="s">
        <x:v>718</x:v>
      </x:c>
      <x:c r="B198" s="3" t="s">
        <x:v>189</x:v>
      </x:c>
      <x:c r="C198" s="3" t="s">
        <x:v>702</x:v>
      </x:c>
      <x:c r="D198" s="3" t="s">
        <x:v>227</x:v>
      </x:c>
      <x:c r="E198" s="3" t="s">
        <x:v>264</x:v>
      </x:c>
      <x:c r="F198" s="3" t="s">
        <x:v>331</x:v>
      </x:c>
      <x:c r="G198" s="3" t="s">
        <x:v>319</x:v>
      </x:c>
      <x:c r="H198" s="3" t="s">
        <x:v>319</x:v>
      </x:c>
      <x:c r="I198" s="3" t="s">
        <x:v>319</x:v>
      </x:c>
      <x:c r="J198" s="3" t="s">
        <x:v>320</x:v>
      </x:c>
      <x:c r="K198" s="3" t="s">
        <x:v>150</x:v>
      </x:c>
      <x:c r="L198" s="37" t="s">
        <x:v>716</x:v>
      </x:c>
      <x:c r="M198" s="37" t="s">
        <x:v>319</x:v>
      </x:c>
      <x:c r="N198" s="37" t="s">
        <x:v>319</x:v>
      </x:c>
      <x:c r="O198" s="36" t="s">
        <x:v>716</x:v>
      </x:c>
      <x:c r="P198" s="37" t="s">
        <x:v>151</x:v>
      </x:c>
      <x:c r="Q198" s="37" t="s">
        <x:v>151</x:v>
      </x:c>
      <x:c r="R198" s="37" t="s">
        <x:v>151</x:v>
      </x:c>
      <x:c r="S198" s="37" t="s">
        <x:v>152</x:v>
      </x:c>
      <x:c r="T198" s="36" t="s">
        <x:v>322</x:v>
      </x:c>
      <x:c r="U198" s="36" t="n">
        <x:f>IFERROR(O198*P198*Q198/R198*(1+S198)*T198,"")</x:f>
        <x:v>0.2013698630136986</x:v>
      </x:c>
      <x:c r="V198" s="33" t="s">
        <x:v>333</x:v>
      </x:c>
      <x:c r="W198" s="30">
        <x:v>46236.78357621528</x:v>
      </x:c>
      <x:c r="X198" s="30"/>
      <x:c r="Y198" s="3" t="s">
        <x:v>224</x:v>
      </x:c>
      <x:c r="Z198" s="3" t="s">
        <x:v>192</x:v>
      </x:c>
      <x:c r="AA198" s="17" t="s">
        <x:v>717</x:v>
      </x:c>
      <x:c r="AB198" s="33" t="str">
        <x:f>IF(A198="","",IF(COUNTIF($A$5:$A$1004,A198)&gt;1,"错误:重复成本规则ID",IF(OR(B198="",C198="",D198="",E198="",F198="",K198="",O198&lt;=0,P198&lt;=0,Q198&lt;=0,R198&lt;=0,S198&lt;0,T198&lt;=0,Y198="",Z198=""),"错误:必填项","OK")))</x:f>
        <x:v>OK</x:v>
      </x:c>
    </x:row>
    <x:row r="199" ht="39.599998474121094" hidden="1" customHeight="1">
      <x:c r="A199" s="3" t="s">
        <x:v>719</x:v>
      </x:c>
      <x:c r="B199" s="3" t="s">
        <x:v>189</x:v>
      </x:c>
      <x:c r="C199" s="3" t="s">
        <x:v>702</x:v>
      </x:c>
      <x:c r="D199" s="3" t="s">
        <x:v>232</x:v>
      </x:c>
      <x:c r="E199" s="3" t="s">
        <x:v>258</x:v>
      </x:c>
      <x:c r="F199" s="3" t="s">
        <x:v>331</x:v>
      </x:c>
      <x:c r="G199" s="3" t="s">
        <x:v>319</x:v>
      </x:c>
      <x:c r="H199" s="3" t="s">
        <x:v>319</x:v>
      </x:c>
      <x:c r="I199" s="3" t="s">
        <x:v>319</x:v>
      </x:c>
      <x:c r="J199" s="3" t="s">
        <x:v>320</x:v>
      </x:c>
      <x:c r="K199" s="3" t="s">
        <x:v>150</x:v>
      </x:c>
      <x:c r="L199" s="37" t="s">
        <x:v>720</x:v>
      </x:c>
      <x:c r="M199" s="37" t="s">
        <x:v>319</x:v>
      </x:c>
      <x:c r="N199" s="37" t="s">
        <x:v>319</x:v>
      </x:c>
      <x:c r="O199" s="36" t="s">
        <x:v>720</x:v>
      </x:c>
      <x:c r="P199" s="37" t="s">
        <x:v>151</x:v>
      </x:c>
      <x:c r="Q199" s="37" t="s">
        <x:v>151</x:v>
      </x:c>
      <x:c r="R199" s="37" t="s">
        <x:v>151</x:v>
      </x:c>
      <x:c r="S199" s="37" t="s">
        <x:v>152</x:v>
      </x:c>
      <x:c r="T199" s="36" t="s">
        <x:v>322</x:v>
      </x:c>
      <x:c r="U199" s="36" t="n">
        <x:f>IFERROR(O199*P199*Q199/R199*(1+S199)*T199,"")</x:f>
        <x:v>0.2876712328767123</x:v>
      </x:c>
      <x:c r="V199" s="33" t="s">
        <x:v>333</x:v>
      </x:c>
      <x:c r="W199" s="30">
        <x:v>46236.78357621528</x:v>
      </x:c>
      <x:c r="X199" s="30"/>
      <x:c r="Y199" s="3" t="s">
        <x:v>224</x:v>
      </x:c>
      <x:c r="Z199" s="3" t="s">
        <x:v>192</x:v>
      </x:c>
      <x:c r="AA199" s="17" t="s">
        <x:v>717</x:v>
      </x:c>
      <x:c r="AB199" s="33" t="str">
        <x:f>IF(A199="","",IF(COUNTIF($A$5:$A$1004,A199)&gt;1,"错误:重复成本规则ID",IF(OR(B199="",C199="",D199="",E199="",F199="",K199="",O199&lt;=0,P199&lt;=0,Q199&lt;=0,R199&lt;=0,S199&lt;0,T199&lt;=0,Y199="",Z199=""),"错误:必填项","OK")))</x:f>
        <x:v>OK</x:v>
      </x:c>
    </x:row>
    <x:row r="200" ht="39.599998474121094" hidden="1" customHeight="1">
      <x:c r="A200" s="3" t="s">
        <x:v>721</x:v>
      </x:c>
      <x:c r="B200" s="3" t="s">
        <x:v>189</x:v>
      </x:c>
      <x:c r="C200" s="3" t="s">
        <x:v>702</x:v>
      </x:c>
      <x:c r="D200" s="3" t="s">
        <x:v>232</x:v>
      </x:c>
      <x:c r="E200" s="3" t="s">
        <x:v>264</x:v>
      </x:c>
      <x:c r="F200" s="3" t="s">
        <x:v>331</x:v>
      </x:c>
      <x:c r="G200" s="3" t="s">
        <x:v>319</x:v>
      </x:c>
      <x:c r="H200" s="3" t="s">
        <x:v>319</x:v>
      </x:c>
      <x:c r="I200" s="3" t="s">
        <x:v>319</x:v>
      </x:c>
      <x:c r="J200" s="3" t="s">
        <x:v>320</x:v>
      </x:c>
      <x:c r="K200" s="3" t="s">
        <x:v>150</x:v>
      </x:c>
      <x:c r="L200" s="37" t="s">
        <x:v>720</x:v>
      </x:c>
      <x:c r="M200" s="37" t="s">
        <x:v>319</x:v>
      </x:c>
      <x:c r="N200" s="37" t="s">
        <x:v>319</x:v>
      </x:c>
      <x:c r="O200" s="36" t="s">
        <x:v>720</x:v>
      </x:c>
      <x:c r="P200" s="37" t="s">
        <x:v>151</x:v>
      </x:c>
      <x:c r="Q200" s="37" t="s">
        <x:v>151</x:v>
      </x:c>
      <x:c r="R200" s="37" t="s">
        <x:v>151</x:v>
      </x:c>
      <x:c r="S200" s="37" t="s">
        <x:v>152</x:v>
      </x:c>
      <x:c r="T200" s="36" t="s">
        <x:v>322</x:v>
      </x:c>
      <x:c r="U200" s="36" t="n">
        <x:f>IFERROR(O200*P200*Q200/R200*(1+S200)*T200,"")</x:f>
        <x:v>0.2876712328767123</x:v>
      </x:c>
      <x:c r="V200" s="33" t="s">
        <x:v>333</x:v>
      </x:c>
      <x:c r="W200" s="30">
        <x:v>46236.78357621528</x:v>
      </x:c>
      <x:c r="X200" s="30"/>
      <x:c r="Y200" s="3" t="s">
        <x:v>224</x:v>
      </x:c>
      <x:c r="Z200" s="3" t="s">
        <x:v>192</x:v>
      </x:c>
      <x:c r="AA200" s="17" t="s">
        <x:v>717</x:v>
      </x:c>
      <x:c r="AB200" s="33" t="str">
        <x:f>IF(A200="","",IF(COUNTIF($A$5:$A$1004,A200)&gt;1,"错误:重复成本规则ID",IF(OR(B200="",C200="",D200="",E200="",F200="",K200="",O200&lt;=0,P200&lt;=0,Q200&lt;=0,R200&lt;=0,S200&lt;0,T200&lt;=0,Y200="",Z200=""),"错误:必填项","OK")))</x:f>
        <x:v>OK</x:v>
      </x:c>
    </x:row>
    <x:row r="201" ht="39.599998474121094" hidden="1" customHeight="1">
      <x:c r="A201" s="3" t="s">
        <x:v>722</x:v>
      </x:c>
      <x:c r="B201" s="3" t="s">
        <x:v>189</x:v>
      </x:c>
      <x:c r="C201" s="3" t="s">
        <x:v>702</x:v>
      </x:c>
      <x:c r="D201" s="3" t="s">
        <x:v>217</x:v>
      </x:c>
      <x:c r="E201" s="3" t="s">
        <x:v>258</x:v>
      </x:c>
      <x:c r="F201" s="3" t="s">
        <x:v>318</x:v>
      </x:c>
      <x:c r="G201" s="3" t="s">
        <x:v>319</x:v>
      </x:c>
      <x:c r="H201" s="3" t="s">
        <x:v>319</x:v>
      </x:c>
      <x:c r="I201" s="3" t="s">
        <x:v>319</x:v>
      </x:c>
      <x:c r="J201" s="3" t="s">
        <x:v>320</x:v>
      </x:c>
      <x:c r="K201" s="3" t="s">
        <x:v>150</x:v>
      </x:c>
      <x:c r="L201" s="37" t="s">
        <x:v>319</x:v>
      </x:c>
      <x:c r="M201" s="37" t="s">
        <x:v>723</x:v>
      </x:c>
      <x:c r="N201" s="37" t="s">
        <x:v>319</x:v>
      </x:c>
      <x:c r="O201" s="36" t="s">
        <x:v>723</x:v>
      </x:c>
      <x:c r="P201" s="37" t="s">
        <x:v>151</x:v>
      </x:c>
      <x:c r="Q201" s="37" t="s">
        <x:v>151</x:v>
      </x:c>
      <x:c r="R201" s="37" t="s">
        <x:v>151</x:v>
      </x:c>
      <x:c r="S201" s="37" t="s">
        <x:v>152</x:v>
      </x:c>
      <x:c r="T201" s="36" t="s">
        <x:v>322</x:v>
      </x:c>
      <x:c r="U201" s="36" t="n">
        <x:f>IFERROR(O201*P201*Q201/R201*(1+S201)*T201,"")</x:f>
        <x:v>0.034520547945205475</x:v>
      </x:c>
      <x:c r="V201" s="33" t="s">
        <x:v>323</x:v>
      </x:c>
      <x:c r="W201" s="30">
        <x:v>46236.78357621528</x:v>
      </x:c>
      <x:c r="X201" s="30"/>
      <x:c r="Y201" s="3" t="s">
        <x:v>224</x:v>
      </x:c>
      <x:c r="Z201" s="3" t="s">
        <x:v>192</x:v>
      </x:c>
      <x:c r="AA201" s="17" t="s">
        <x:v>717</x:v>
      </x:c>
      <x:c r="AB201" s="33" t="str">
        <x:f>IF(A201="","",IF(COUNTIF($A$5:$A$1004,A201)&gt;1,"错误:重复成本规则ID",IF(OR(B201="",C201="",D201="",E201="",F201="",K201="",O201&lt;=0,P201&lt;=0,Q201&lt;=0,R201&lt;=0,S201&lt;0,T201&lt;=0,Y201="",Z201=""),"错误:必填项","OK")))</x:f>
        <x:v>OK</x:v>
      </x:c>
    </x:row>
    <x:row r="202" ht="66" hidden="1" customHeight="1">
      <x:c r="A202" s="3" t="s">
        <x:v>724</x:v>
      </x:c>
      <x:c r="B202" s="3" t="s">
        <x:v>189</x:v>
      </x:c>
      <x:c r="C202" s="3" t="s">
        <x:v>702</x:v>
      </x:c>
      <x:c r="D202" s="3" t="s">
        <x:v>217</x:v>
      </x:c>
      <x:c r="E202" s="3" t="s">
        <x:v>264</x:v>
      </x:c>
      <x:c r="F202" s="3" t="s">
        <x:v>318</x:v>
      </x:c>
      <x:c r="G202" s="3" t="s">
        <x:v>319</x:v>
      </x:c>
      <x:c r="H202" s="3" t="s">
        <x:v>319</x:v>
      </x:c>
      <x:c r="I202" s="3" t="s">
        <x:v>319</x:v>
      </x:c>
      <x:c r="J202" s="3" t="s">
        <x:v>320</x:v>
      </x:c>
      <x:c r="K202" s="3" t="s">
        <x:v>150</x:v>
      </x:c>
      <x:c r="L202" s="37" t="s">
        <x:v>319</x:v>
      </x:c>
      <x:c r="M202" s="37" t="s">
        <x:v>723</x:v>
      </x:c>
      <x:c r="N202" s="37" t="s">
        <x:v>319</x:v>
      </x:c>
      <x:c r="O202" s="36" t="s">
        <x:v>723</x:v>
      </x:c>
      <x:c r="P202" s="37" t="s">
        <x:v>151</x:v>
      </x:c>
      <x:c r="Q202" s="37" t="s">
        <x:v>151</x:v>
      </x:c>
      <x:c r="R202" s="37" t="s">
        <x:v>151</x:v>
      </x:c>
      <x:c r="S202" s="37" t="s">
        <x:v>152</x:v>
      </x:c>
      <x:c r="T202" s="36" t="s">
        <x:v>322</x:v>
      </x:c>
      <x:c r="U202" s="36" t="n">
        <x:f>IFERROR(O202*P202*Q202/R202*(1+S202)*T202,"")</x:f>
        <x:v>0.034520547945205475</x:v>
      </x:c>
      <x:c r="V202" s="33" t="s">
        <x:v>323</x:v>
      </x:c>
      <x:c r="W202" s="30">
        <x:v>46236.78357621528</x:v>
      </x:c>
      <x:c r="X202" s="30"/>
      <x:c r="Y202" s="3" t="s">
        <x:v>224</x:v>
      </x:c>
      <x:c r="Z202" s="3" t="s">
        <x:v>192</x:v>
      </x:c>
      <x:c r="AA202" s="17" t="s">
        <x:v>717</x:v>
      </x:c>
      <x:c r="AB202" s="33" t="str">
        <x:f>IF(A202="","",IF(COUNTIF($A$5:$A$1004,A202)&gt;1,"错误:重复成本规则ID",IF(OR(B202="",C202="",D202="",E202="",F202="",K202="",O202&lt;=0,P202&lt;=0,Q202&lt;=0,R202&lt;=0,S202&lt;0,T202&lt;=0,Y202="",Z202=""),"错误:必填项","OK")))</x:f>
        <x:v>OK</x:v>
      </x:c>
    </x:row>
    <x:row r="203" ht="66" hidden="1" customHeight="1">
      <x:c r="A203" s="3" t="s">
        <x:v>725</x:v>
      </x:c>
      <x:c r="B203" s="3" t="s">
        <x:v>189</x:v>
      </x:c>
      <x:c r="C203" s="3" t="s">
        <x:v>702</x:v>
      </x:c>
      <x:c r="D203" s="3" t="s">
        <x:v>230</x:v>
      </x:c>
      <x:c r="E203" s="3" t="s">
        <x:v>258</x:v>
      </x:c>
      <x:c r="F203" s="3" t="s">
        <x:v>318</x:v>
      </x:c>
      <x:c r="G203" s="3" t="s">
        <x:v>319</x:v>
      </x:c>
      <x:c r="H203" s="3" t="s">
        <x:v>319</x:v>
      </x:c>
      <x:c r="I203" s="3" t="s">
        <x:v>319</x:v>
      </x:c>
      <x:c r="J203" s="3" t="s">
        <x:v>320</x:v>
      </x:c>
      <x:c r="K203" s="3" t="s">
        <x:v>150</x:v>
      </x:c>
      <x:c r="L203" s="37" t="s">
        <x:v>319</x:v>
      </x:c>
      <x:c r="M203" s="37" t="s">
        <x:v>726</x:v>
      </x:c>
      <x:c r="N203" s="37" t="s">
        <x:v>319</x:v>
      </x:c>
      <x:c r="O203" s="36" t="s">
        <x:v>726</x:v>
      </x:c>
      <x:c r="P203" s="37" t="s">
        <x:v>151</x:v>
      </x:c>
      <x:c r="Q203" s="37" t="s">
        <x:v>151</x:v>
      </x:c>
      <x:c r="R203" s="37" t="s">
        <x:v>151</x:v>
      </x:c>
      <x:c r="S203" s="37" t="s">
        <x:v>152</x:v>
      </x:c>
      <x:c r="T203" s="36" t="s">
        <x:v>322</x:v>
      </x:c>
      <x:c r="U203" s="36" t="n">
        <x:f>IFERROR(O203*P203*Q203/R203*(1+S203)*T203,"")</x:f>
        <x:v>0.06904109589041095</x:v>
      </x:c>
      <x:c r="V203" s="33" t="s">
        <x:v>323</x:v>
      </x:c>
      <x:c r="W203" s="30">
        <x:v>46236.78357621528</x:v>
      </x:c>
      <x:c r="X203" s="30"/>
      <x:c r="Y203" s="3" t="s">
        <x:v>224</x:v>
      </x:c>
      <x:c r="Z203" s="3" t="s">
        <x:v>192</x:v>
      </x:c>
      <x:c r="AA203" s="17" t="s">
        <x:v>717</x:v>
      </x:c>
      <x:c r="AB203" s="33" t="str">
        <x:f>IF(A203="","",IF(COUNTIF($A$5:$A$1004,A203)&gt;1,"错误:重复成本规则ID",IF(OR(B203="",C203="",D203="",E203="",F203="",K203="",O203&lt;=0,P203&lt;=0,Q203&lt;=0,R203&lt;=0,S203&lt;0,T203&lt;=0,Y203="",Z203=""),"错误:必填项","OK")))</x:f>
        <x:v>OK</x:v>
      </x:c>
    </x:row>
    <x:row r="204" ht="66" hidden="1" customHeight="1">
      <x:c r="A204" s="3" t="s">
        <x:v>727</x:v>
      </x:c>
      <x:c r="B204" s="3" t="s">
        <x:v>189</x:v>
      </x:c>
      <x:c r="C204" s="3" t="s">
        <x:v>702</x:v>
      </x:c>
      <x:c r="D204" s="3" t="s">
        <x:v>230</x:v>
      </x:c>
      <x:c r="E204" s="3" t="s">
        <x:v>264</x:v>
      </x:c>
      <x:c r="F204" s="3" t="s">
        <x:v>318</x:v>
      </x:c>
      <x:c r="G204" s="3" t="s">
        <x:v>319</x:v>
      </x:c>
      <x:c r="H204" s="3" t="s">
        <x:v>319</x:v>
      </x:c>
      <x:c r="I204" s="3" t="s">
        <x:v>319</x:v>
      </x:c>
      <x:c r="J204" s="3" t="s">
        <x:v>320</x:v>
      </x:c>
      <x:c r="K204" s="3" t="s">
        <x:v>150</x:v>
      </x:c>
      <x:c r="L204" s="37" t="s">
        <x:v>319</x:v>
      </x:c>
      <x:c r="M204" s="37" t="s">
        <x:v>726</x:v>
      </x:c>
      <x:c r="N204" s="37" t="s">
        <x:v>319</x:v>
      </x:c>
      <x:c r="O204" s="36" t="s">
        <x:v>726</x:v>
      </x:c>
      <x:c r="P204" s="37" t="s">
        <x:v>151</x:v>
      </x:c>
      <x:c r="Q204" s="37" t="s">
        <x:v>151</x:v>
      </x:c>
      <x:c r="R204" s="37" t="s">
        <x:v>151</x:v>
      </x:c>
      <x:c r="S204" s="37" t="s">
        <x:v>152</x:v>
      </x:c>
      <x:c r="T204" s="36" t="s">
        <x:v>322</x:v>
      </x:c>
      <x:c r="U204" s="36" t="n">
        <x:f>IFERROR(O204*P204*Q204/R204*(1+S204)*T204,"")</x:f>
        <x:v>0.06904109589041095</x:v>
      </x:c>
      <x:c r="V204" s="33" t="s">
        <x:v>323</x:v>
      </x:c>
      <x:c r="W204" s="30">
        <x:v>46236.78357621528</x:v>
      </x:c>
      <x:c r="X204" s="30"/>
      <x:c r="Y204" s="3" t="s">
        <x:v>224</x:v>
      </x:c>
      <x:c r="Z204" s="3" t="s">
        <x:v>192</x:v>
      </x:c>
      <x:c r="AA204" s="17" t="s">
        <x:v>717</x:v>
      </x:c>
      <x:c r="AB204" s="33" t="str">
        <x:f>IF(A204="","",IF(COUNTIF($A$5:$A$1004,A204)&gt;1,"错误:重复成本规则ID",IF(OR(B204="",C204="",D204="",E204="",F204="",K204="",O204&lt;=0,P204&lt;=0,Q204&lt;=0,R204&lt;=0,S204&lt;0,T204&lt;=0,Y204="",Z204=""),"错误:必填项","OK")))</x:f>
        <x:v>OK</x:v>
      </x:c>
    </x:row>
    <x:row r="205" ht="66" hidden="1" customHeight="1">
      <x:c r="A205" s="3" t="s">
        <x:v>728</x:v>
      </x:c>
      <x:c r="B205" s="3" t="s">
        <x:v>189</x:v>
      </x:c>
      <x:c r="C205" s="3" t="s">
        <x:v>729</x:v>
      </x:c>
      <x:c r="D205" s="3" t="s">
        <x:v>234</x:v>
      </x:c>
      <x:c r="E205" s="3" t="s">
        <x:v>258</x:v>
      </x:c>
      <x:c r="F205" s="3" t="s">
        <x:v>331</x:v>
      </x:c>
      <x:c r="G205" s="3" t="s">
        <x:v>319</x:v>
      </x:c>
      <x:c r="H205" s="3" t="s">
        <x:v>319</x:v>
      </x:c>
      <x:c r="I205" s="3" t="s">
        <x:v>319</x:v>
      </x:c>
      <x:c r="J205" s="3" t="s">
        <x:v>320</x:v>
      </x:c>
      <x:c r="K205" s="3" t="s">
        <x:v>150</x:v>
      </x:c>
      <x:c r="L205" s="37" t="s">
        <x:v>730</x:v>
      </x:c>
      <x:c r="M205" s="37" t="s">
        <x:v>319</x:v>
      </x:c>
      <x:c r="N205" s="37" t="s">
        <x:v>319</x:v>
      </x:c>
      <x:c r="O205" s="36" t="s">
        <x:v>730</x:v>
      </x:c>
      <x:c r="P205" s="37" t="s">
        <x:v>151</x:v>
      </x:c>
      <x:c r="Q205" s="37" t="s">
        <x:v>151</x:v>
      </x:c>
      <x:c r="R205" s="37" t="s">
        <x:v>151</x:v>
      </x:c>
      <x:c r="S205" s="37" t="s">
        <x:v>152</x:v>
      </x:c>
      <x:c r="T205" s="36" t="s">
        <x:v>322</x:v>
      </x:c>
      <x:c r="U205" s="36" t="n">
        <x:f>IFERROR(O205*P205*Q205/R205*(1+S205)*T205,"")</x:f>
        <x:v>0.3835616438356164</x:v>
      </x:c>
      <x:c r="V205" s="33" t="s">
        <x:v>333</x:v>
      </x:c>
      <x:c r="W205" s="30">
        <x:v>46236.78357621528</x:v>
      </x:c>
      <x:c r="X205" s="30"/>
      <x:c r="Y205" s="3" t="s">
        <x:v>224</x:v>
      </x:c>
      <x:c r="Z205" s="3" t="s">
        <x:v>192</x:v>
      </x:c>
      <x:c r="AA205" s="17" t="s">
        <x:v>731</x:v>
      </x:c>
      <x:c r="AB205" s="33" t="str">
        <x:f>IF(A205="","",IF(COUNTIF($A$5:$A$1004,A205)&gt;1,"错误:重复成本规则ID",IF(OR(B205="",C205="",D205="",E205="",F205="",K205="",O205&lt;=0,P205&lt;=0,Q205&lt;=0,R205&lt;=0,S205&lt;0,T205&lt;=0,Y205="",Z205=""),"错误:必填项","OK")))</x:f>
        <x:v>OK</x:v>
      </x:c>
    </x:row>
    <x:row r="206" ht="66" hidden="1" customHeight="1">
      <x:c r="A206" s="3" t="s">
        <x:v>732</x:v>
      </x:c>
      <x:c r="B206" s="3" t="s">
        <x:v>189</x:v>
      </x:c>
      <x:c r="C206" s="3" t="s">
        <x:v>729</x:v>
      </x:c>
      <x:c r="D206" s="3" t="s">
        <x:v>234</x:v>
      </x:c>
      <x:c r="E206" s="3" t="s">
        <x:v>264</x:v>
      </x:c>
      <x:c r="F206" s="3" t="s">
        <x:v>331</x:v>
      </x:c>
      <x:c r="G206" s="3" t="s">
        <x:v>319</x:v>
      </x:c>
      <x:c r="H206" s="3" t="s">
        <x:v>319</x:v>
      </x:c>
      <x:c r="I206" s="3" t="s">
        <x:v>319</x:v>
      </x:c>
      <x:c r="J206" s="3" t="s">
        <x:v>320</x:v>
      </x:c>
      <x:c r="K206" s="3" t="s">
        <x:v>150</x:v>
      </x:c>
      <x:c r="L206" s="37" t="s">
        <x:v>730</x:v>
      </x:c>
      <x:c r="M206" s="37" t="s">
        <x:v>319</x:v>
      </x:c>
      <x:c r="N206" s="37" t="s">
        <x:v>319</x:v>
      </x:c>
      <x:c r="O206" s="36" t="s">
        <x:v>730</x:v>
      </x:c>
      <x:c r="P206" s="37" t="s">
        <x:v>151</x:v>
      </x:c>
      <x:c r="Q206" s="37" t="s">
        <x:v>151</x:v>
      </x:c>
      <x:c r="R206" s="37" t="s">
        <x:v>151</x:v>
      </x:c>
      <x:c r="S206" s="37" t="s">
        <x:v>152</x:v>
      </x:c>
      <x:c r="T206" s="36" t="s">
        <x:v>322</x:v>
      </x:c>
      <x:c r="U206" s="36" t="n">
        <x:f>IFERROR(O206*P206*Q206/R206*(1+S206)*T206,"")</x:f>
        <x:v>0.3835616438356164</x:v>
      </x:c>
      <x:c r="V206" s="33" t="s">
        <x:v>333</x:v>
      </x:c>
      <x:c r="W206" s="30">
        <x:v>46236.78357621528</x:v>
      </x:c>
      <x:c r="X206" s="30"/>
      <x:c r="Y206" s="3" t="s">
        <x:v>224</x:v>
      </x:c>
      <x:c r="Z206" s="3" t="s">
        <x:v>192</x:v>
      </x:c>
      <x:c r="AA206" s="17" t="s">
        <x:v>731</x:v>
      </x:c>
      <x:c r="AB206" s="33" t="str">
        <x:f>IF(A206="","",IF(COUNTIF($A$5:$A$1004,A206)&gt;1,"错误:重复成本规则ID",IF(OR(B206="",C206="",D206="",E206="",F206="",K206="",O206&lt;=0,P206&lt;=0,Q206&lt;=0,R206&lt;=0,S206&lt;0,T206&lt;=0,Y206="",Z206=""),"错误:必填项","OK")))</x:f>
        <x:v>OK</x:v>
      </x:c>
    </x:row>
    <x:row r="207" ht="66" hidden="1" customHeight="1">
      <x:c r="A207" s="3" t="s">
        <x:v>733</x:v>
      </x:c>
      <x:c r="B207" s="3" t="s">
        <x:v>189</x:v>
      </x:c>
      <x:c r="C207" s="3" t="s">
        <x:v>729</x:v>
      </x:c>
      <x:c r="D207" s="3" t="s">
        <x:v>238</x:v>
      </x:c>
      <x:c r="E207" s="3" t="s">
        <x:v>258</x:v>
      </x:c>
      <x:c r="F207" s="3" t="s">
        <x:v>331</x:v>
      </x:c>
      <x:c r="G207" s="3" t="s">
        <x:v>319</x:v>
      </x:c>
      <x:c r="H207" s="3" t="s">
        <x:v>319</x:v>
      </x:c>
      <x:c r="I207" s="3" t="s">
        <x:v>319</x:v>
      </x:c>
      <x:c r="J207" s="3" t="s">
        <x:v>320</x:v>
      </x:c>
      <x:c r="K207" s="3" t="s">
        <x:v>150</x:v>
      </x:c>
      <x:c r="L207" s="37" t="s">
        <x:v>703</x:v>
      </x:c>
      <x:c r="M207" s="37" t="s">
        <x:v>319</x:v>
      </x:c>
      <x:c r="N207" s="37" t="s">
        <x:v>319</x:v>
      </x:c>
      <x:c r="O207" s="36" t="s">
        <x:v>703</x:v>
      </x:c>
      <x:c r="P207" s="37" t="s">
        <x:v>151</x:v>
      </x:c>
      <x:c r="Q207" s="37" t="s">
        <x:v>151</x:v>
      </x:c>
      <x:c r="R207" s="37" t="s">
        <x:v>151</x:v>
      </x:c>
      <x:c r="S207" s="37" t="s">
        <x:v>152</x:v>
      </x:c>
      <x:c r="T207" s="36" t="s">
        <x:v>322</x:v>
      </x:c>
      <x:c r="U207" s="36" t="n">
        <x:f>IFERROR(O207*P207*Q207/R207*(1+S207)*T207,"")</x:f>
        <x:v>0.6712328767123288</x:v>
      </x:c>
      <x:c r="V207" s="33" t="s">
        <x:v>333</x:v>
      </x:c>
      <x:c r="W207" s="30">
        <x:v>46236.78357621528</x:v>
      </x:c>
      <x:c r="X207" s="30"/>
      <x:c r="Y207" s="3" t="s">
        <x:v>224</x:v>
      </x:c>
      <x:c r="Z207" s="3" t="s">
        <x:v>192</x:v>
      </x:c>
      <x:c r="AA207" s="17" t="s">
        <x:v>731</x:v>
      </x:c>
      <x:c r="AB207" s="33" t="str">
        <x:f>IF(A207="","",IF(COUNTIF($A$5:$A$1004,A207)&gt;1,"错误:重复成本规则ID",IF(OR(B207="",C207="",D207="",E207="",F207="",K207="",O207&lt;=0,P207&lt;=0,Q207&lt;=0,R207&lt;=0,S207&lt;0,T207&lt;=0,Y207="",Z207=""),"错误:必填项","OK")))</x:f>
        <x:v>OK</x:v>
      </x:c>
    </x:row>
    <x:row r="208" ht="66" hidden="1" customHeight="1">
      <x:c r="A208" s="3" t="s">
        <x:v>734</x:v>
      </x:c>
      <x:c r="B208" s="3" t="s">
        <x:v>189</x:v>
      </x:c>
      <x:c r="C208" s="3" t="s">
        <x:v>729</x:v>
      </x:c>
      <x:c r="D208" s="3" t="s">
        <x:v>238</x:v>
      </x:c>
      <x:c r="E208" s="3" t="s">
        <x:v>264</x:v>
      </x:c>
      <x:c r="F208" s="3" t="s">
        <x:v>331</x:v>
      </x:c>
      <x:c r="G208" s="3" t="s">
        <x:v>319</x:v>
      </x:c>
      <x:c r="H208" s="3" t="s">
        <x:v>319</x:v>
      </x:c>
      <x:c r="I208" s="3" t="s">
        <x:v>319</x:v>
      </x:c>
      <x:c r="J208" s="3" t="s">
        <x:v>320</x:v>
      </x:c>
      <x:c r="K208" s="3" t="s">
        <x:v>150</x:v>
      </x:c>
      <x:c r="L208" s="37" t="s">
        <x:v>703</x:v>
      </x:c>
      <x:c r="M208" s="37" t="s">
        <x:v>319</x:v>
      </x:c>
      <x:c r="N208" s="37" t="s">
        <x:v>319</x:v>
      </x:c>
      <x:c r="O208" s="36" t="s">
        <x:v>703</x:v>
      </x:c>
      <x:c r="P208" s="37" t="s">
        <x:v>151</x:v>
      </x:c>
      <x:c r="Q208" s="37" t="s">
        <x:v>151</x:v>
      </x:c>
      <x:c r="R208" s="37" t="s">
        <x:v>151</x:v>
      </x:c>
      <x:c r="S208" s="37" t="s">
        <x:v>152</x:v>
      </x:c>
      <x:c r="T208" s="36" t="s">
        <x:v>322</x:v>
      </x:c>
      <x:c r="U208" s="36" t="n">
        <x:f>IFERROR(O208*P208*Q208/R208*(1+S208)*T208,"")</x:f>
        <x:v>0.6712328767123288</x:v>
      </x:c>
      <x:c r="V208" s="33" t="s">
        <x:v>333</x:v>
      </x:c>
      <x:c r="W208" s="30">
        <x:v>46236.78357621528</x:v>
      </x:c>
      <x:c r="X208" s="30"/>
      <x:c r="Y208" s="3" t="s">
        <x:v>224</x:v>
      </x:c>
      <x:c r="Z208" s="3" t="s">
        <x:v>192</x:v>
      </x:c>
      <x:c r="AA208" s="17" t="s">
        <x:v>731</x:v>
      </x:c>
      <x:c r="AB208" s="33" t="str">
        <x:f>IF(A208="","",IF(COUNTIF($A$5:$A$1004,A208)&gt;1,"错误:重复成本规则ID",IF(OR(B208="",C208="",D208="",E208="",F208="",K208="",O208&lt;=0,P208&lt;=0,Q208&lt;=0,R208&lt;=0,S208&lt;0,T208&lt;=0,Y208="",Z208=""),"错误:必填项","OK")))</x:f>
        <x:v>OK</x:v>
      </x:c>
    </x:row>
    <x:row r="209" ht="66" hidden="1" customHeight="1">
      <x:c r="A209" s="3" t="s">
        <x:v>735</x:v>
      </x:c>
      <x:c r="B209" s="3" t="s">
        <x:v>189</x:v>
      </x:c>
      <x:c r="C209" s="3" t="s">
        <x:v>729</x:v>
      </x:c>
      <x:c r="D209" s="3" t="s">
        <x:v>234</x:v>
      </x:c>
      <x:c r="E209" s="3" t="s">
        <x:v>258</x:v>
      </x:c>
      <x:c r="F209" s="3" t="s">
        <x:v>331</x:v>
      </x:c>
      <x:c r="G209" s="3" t="s">
        <x:v>319</x:v>
      </x:c>
      <x:c r="H209" s="3" t="s">
        <x:v>319</x:v>
      </x:c>
      <x:c r="I209" s="3" t="s">
        <x:v>319</x:v>
      </x:c>
      <x:c r="J209" s="3" t="s">
        <x:v>320</x:v>
      </x:c>
      <x:c r="K209" s="3" t="s">
        <x:v>150</x:v>
      </x:c>
      <x:c r="L209" s="37" t="s">
        <x:v>710</x:v>
      </x:c>
      <x:c r="M209" s="37" t="s">
        <x:v>319</x:v>
      </x:c>
      <x:c r="N209" s="37" t="s">
        <x:v>319</x:v>
      </x:c>
      <x:c r="O209" s="36" t="s">
        <x:v>710</x:v>
      </x:c>
      <x:c r="P209" s="37" t="s">
        <x:v>151</x:v>
      </x:c>
      <x:c r="Q209" s="37" t="s">
        <x:v>151</x:v>
      </x:c>
      <x:c r="R209" s="37" t="s">
        <x:v>151</x:v>
      </x:c>
      <x:c r="S209" s="37" t="s">
        <x:v>152</x:v>
      </x:c>
      <x:c r="T209" s="36" t="s">
        <x:v>322</x:v>
      </x:c>
      <x:c r="U209" s="36" t="n">
        <x:f>IFERROR(O209*P209*Q209/R209*(1+S209)*T209,"")</x:f>
        <x:v>0.11506849315068492</x:v>
      </x:c>
      <x:c r="V209" s="33" t="s">
        <x:v>333</x:v>
      </x:c>
      <x:c r="W209" s="30">
        <x:v>46236.78357621528</x:v>
      </x:c>
      <x:c r="X209" s="30"/>
      <x:c r="Y209" s="3" t="s">
        <x:v>224</x:v>
      </x:c>
      <x:c r="Z209" s="3" t="s">
        <x:v>192</x:v>
      </x:c>
      <x:c r="AA209" s="17" t="s">
        <x:v>731</x:v>
      </x:c>
      <x:c r="AB209" s="33" t="str">
        <x:f>IF(A209="","",IF(COUNTIF($A$5:$A$1004,A209)&gt;1,"错误:重复成本规则ID",IF(OR(B209="",C209="",D209="",E209="",F209="",K209="",O209&lt;=0,P209&lt;=0,Q209&lt;=0,R209&lt;=0,S209&lt;0,T209&lt;=0,Y209="",Z209=""),"错误:必填项","OK")))</x:f>
        <x:v>OK</x:v>
      </x:c>
    </x:row>
    <x:row r="210" ht="66" hidden="1" customHeight="1">
      <x:c r="A210" s="3" t="s">
        <x:v>736</x:v>
      </x:c>
      <x:c r="B210" s="3" t="s">
        <x:v>189</x:v>
      </x:c>
      <x:c r="C210" s="3" t="s">
        <x:v>729</x:v>
      </x:c>
      <x:c r="D210" s="3" t="s">
        <x:v>234</x:v>
      </x:c>
      <x:c r="E210" s="3" t="s">
        <x:v>264</x:v>
      </x:c>
      <x:c r="F210" s="3" t="s">
        <x:v>331</x:v>
      </x:c>
      <x:c r="G210" s="3" t="s">
        <x:v>319</x:v>
      </x:c>
      <x:c r="H210" s="3" t="s">
        <x:v>319</x:v>
      </x:c>
      <x:c r="I210" s="3" t="s">
        <x:v>319</x:v>
      </x:c>
      <x:c r="J210" s="3" t="s">
        <x:v>320</x:v>
      </x:c>
      <x:c r="K210" s="3" t="s">
        <x:v>150</x:v>
      </x:c>
      <x:c r="L210" s="37" t="s">
        <x:v>710</x:v>
      </x:c>
      <x:c r="M210" s="37" t="s">
        <x:v>319</x:v>
      </x:c>
      <x:c r="N210" s="37" t="s">
        <x:v>319</x:v>
      </x:c>
      <x:c r="O210" s="36" t="s">
        <x:v>710</x:v>
      </x:c>
      <x:c r="P210" s="37" t="s">
        <x:v>151</x:v>
      </x:c>
      <x:c r="Q210" s="37" t="s">
        <x:v>151</x:v>
      </x:c>
      <x:c r="R210" s="37" t="s">
        <x:v>151</x:v>
      </x:c>
      <x:c r="S210" s="37" t="s">
        <x:v>152</x:v>
      </x:c>
      <x:c r="T210" s="36" t="s">
        <x:v>322</x:v>
      </x:c>
      <x:c r="U210" s="36" t="n">
        <x:f>IFERROR(O210*P210*Q210/R210*(1+S210)*T210,"")</x:f>
        <x:v>0.11506849315068492</x:v>
      </x:c>
      <x:c r="V210" s="33" t="s">
        <x:v>333</x:v>
      </x:c>
      <x:c r="W210" s="30">
        <x:v>46236.78357621528</x:v>
      </x:c>
      <x:c r="X210" s="30"/>
      <x:c r="Y210" s="3" t="s">
        <x:v>224</x:v>
      </x:c>
      <x:c r="Z210" s="3" t="s">
        <x:v>192</x:v>
      </x:c>
      <x:c r="AA210" s="17" t="s">
        <x:v>731</x:v>
      </x:c>
      <x:c r="AB210" s="33" t="str">
        <x:f>IF(A210="","",IF(COUNTIF($A$5:$A$1004,A210)&gt;1,"错误:重复成本规则ID",IF(OR(B210="",C210="",D210="",E210="",F210="",K210="",O210&lt;=0,P210&lt;=0,Q210&lt;=0,R210&lt;=0,S210&lt;0,T210&lt;=0,Y210="",Z210=""),"错误:必填项","OK")))</x:f>
        <x:v>OK</x:v>
      </x:c>
    </x:row>
    <x:row r="211" ht="66" hidden="1" customHeight="1">
      <x:c r="A211" s="3" t="s">
        <x:v>737</x:v>
      </x:c>
      <x:c r="B211" s="3" t="s">
        <x:v>189</x:v>
      </x:c>
      <x:c r="C211" s="3" t="s">
        <x:v>729</x:v>
      </x:c>
      <x:c r="D211" s="3" t="s">
        <x:v>238</x:v>
      </x:c>
      <x:c r="E211" s="3" t="s">
        <x:v>258</x:v>
      </x:c>
      <x:c r="F211" s="3" t="s">
        <x:v>331</x:v>
      </x:c>
      <x:c r="G211" s="3" t="s">
        <x:v>319</x:v>
      </x:c>
      <x:c r="H211" s="3" t="s">
        <x:v>319</x:v>
      </x:c>
      <x:c r="I211" s="3" t="s">
        <x:v>319</x:v>
      </x:c>
      <x:c r="J211" s="3" t="s">
        <x:v>320</x:v>
      </x:c>
      <x:c r="K211" s="3" t="s">
        <x:v>150</x:v>
      </x:c>
      <x:c r="L211" s="37" t="s">
        <x:v>716</x:v>
      </x:c>
      <x:c r="M211" s="37" t="s">
        <x:v>319</x:v>
      </x:c>
      <x:c r="N211" s="37" t="s">
        <x:v>319</x:v>
      </x:c>
      <x:c r="O211" s="36" t="s">
        <x:v>716</x:v>
      </x:c>
      <x:c r="P211" s="37" t="s">
        <x:v>151</x:v>
      </x:c>
      <x:c r="Q211" s="37" t="s">
        <x:v>151</x:v>
      </x:c>
      <x:c r="R211" s="37" t="s">
        <x:v>151</x:v>
      </x:c>
      <x:c r="S211" s="37" t="s">
        <x:v>152</x:v>
      </x:c>
      <x:c r="T211" s="36" t="s">
        <x:v>322</x:v>
      </x:c>
      <x:c r="U211" s="36" t="n">
        <x:f>IFERROR(O211*P211*Q211/R211*(1+S211)*T211,"")</x:f>
        <x:v>0.2013698630136986</x:v>
      </x:c>
      <x:c r="V211" s="33" t="s">
        <x:v>333</x:v>
      </x:c>
      <x:c r="W211" s="30">
        <x:v>46236.78357621528</x:v>
      </x:c>
      <x:c r="X211" s="30"/>
      <x:c r="Y211" s="3" t="s">
        <x:v>224</x:v>
      </x:c>
      <x:c r="Z211" s="3" t="s">
        <x:v>192</x:v>
      </x:c>
      <x:c r="AA211" s="17" t="s">
        <x:v>731</x:v>
      </x:c>
      <x:c r="AB211" s="33" t="str">
        <x:f>IF(A211="","",IF(COUNTIF($A$5:$A$1004,A211)&gt;1,"错误:重复成本规则ID",IF(OR(B211="",C211="",D211="",E211="",F211="",K211="",O211&lt;=0,P211&lt;=0,Q211&lt;=0,R211&lt;=0,S211&lt;0,T211&lt;=0,Y211="",Z211=""),"错误:必填项","OK")))</x:f>
        <x:v>OK</x:v>
      </x:c>
    </x:row>
    <x:row r="212" ht="66" hidden="1" customHeight="1">
      <x:c r="A212" s="3" t="s">
        <x:v>738</x:v>
      </x:c>
      <x:c r="B212" s="3" t="s">
        <x:v>189</x:v>
      </x:c>
      <x:c r="C212" s="3" t="s">
        <x:v>729</x:v>
      </x:c>
      <x:c r="D212" s="3" t="s">
        <x:v>238</x:v>
      </x:c>
      <x:c r="E212" s="3" t="s">
        <x:v>264</x:v>
      </x:c>
      <x:c r="F212" s="3" t="s">
        <x:v>331</x:v>
      </x:c>
      <x:c r="G212" s="3" t="s">
        <x:v>319</x:v>
      </x:c>
      <x:c r="H212" s="3" t="s">
        <x:v>319</x:v>
      </x:c>
      <x:c r="I212" s="3" t="s">
        <x:v>319</x:v>
      </x:c>
      <x:c r="J212" s="3" t="s">
        <x:v>320</x:v>
      </x:c>
      <x:c r="K212" s="3" t="s">
        <x:v>150</x:v>
      </x:c>
      <x:c r="L212" s="37" t="s">
        <x:v>716</x:v>
      </x:c>
      <x:c r="M212" s="37" t="s">
        <x:v>319</x:v>
      </x:c>
      <x:c r="N212" s="37" t="s">
        <x:v>319</x:v>
      </x:c>
      <x:c r="O212" s="36" t="s">
        <x:v>716</x:v>
      </x:c>
      <x:c r="P212" s="37" t="s">
        <x:v>151</x:v>
      </x:c>
      <x:c r="Q212" s="37" t="s">
        <x:v>151</x:v>
      </x:c>
      <x:c r="R212" s="37" t="s">
        <x:v>151</x:v>
      </x:c>
      <x:c r="S212" s="37" t="s">
        <x:v>152</x:v>
      </x:c>
      <x:c r="T212" s="36" t="s">
        <x:v>322</x:v>
      </x:c>
      <x:c r="U212" s="36" t="n">
        <x:f>IFERROR(O212*P212*Q212/R212*(1+S212)*T212,"")</x:f>
        <x:v>0.2013698630136986</x:v>
      </x:c>
      <x:c r="V212" s="33" t="s">
        <x:v>333</x:v>
      </x:c>
      <x:c r="W212" s="30">
        <x:v>46236.78357621528</x:v>
      </x:c>
      <x:c r="X212" s="30"/>
      <x:c r="Y212" s="3" t="s">
        <x:v>224</x:v>
      </x:c>
      <x:c r="Z212" s="3" t="s">
        <x:v>192</x:v>
      </x:c>
      <x:c r="AA212" s="17" t="s">
        <x:v>731</x:v>
      </x:c>
      <x:c r="AB212" s="33" t="str">
        <x:f>IF(A212="","",IF(COUNTIF($A$5:$A$1004,A212)&gt;1,"错误:重复成本规则ID",IF(OR(B212="",C212="",D212="",E212="",F212="",K212="",O212&lt;=0,P212&lt;=0,Q212&lt;=0,R212&lt;=0,S212&lt;0,T212&lt;=0,Y212="",Z212=""),"错误:必填项","OK")))</x:f>
        <x:v>OK</x:v>
      </x:c>
    </x:row>
    <x:row r="213" ht="66" hidden="1" customHeight="1">
      <x:c r="A213" s="3" t="s">
        <x:v>739</x:v>
      </x:c>
      <x:c r="B213" s="3" t="s">
        <x:v>189</x:v>
      </x:c>
      <x:c r="C213" s="3" t="s">
        <x:v>740</x:v>
      </x:c>
      <x:c r="D213" s="3" t="s">
        <x:v>240</x:v>
      </x:c>
      <x:c r="E213" s="3" t="s">
        <x:v>258</x:v>
      </x:c>
      <x:c r="F213" s="3" t="s">
        <x:v>331</x:v>
      </x:c>
      <x:c r="G213" s="3" t="s">
        <x:v>319</x:v>
      </x:c>
      <x:c r="H213" s="3" t="s">
        <x:v>319</x:v>
      </x:c>
      <x:c r="I213" s="3" t="s">
        <x:v>319</x:v>
      </x:c>
      <x:c r="J213" s="3" t="s">
        <x:v>320</x:v>
      </x:c>
      <x:c r="K213" s="3" t="s">
        <x:v>150</x:v>
      </x:c>
      <x:c r="L213" s="37" t="s">
        <x:v>720</x:v>
      </x:c>
      <x:c r="M213" s="37" t="s">
        <x:v>319</x:v>
      </x:c>
      <x:c r="N213" s="37" t="s">
        <x:v>319</x:v>
      </x:c>
      <x:c r="O213" s="36" t="s">
        <x:v>720</x:v>
      </x:c>
      <x:c r="P213" s="37" t="s">
        <x:v>151</x:v>
      </x:c>
      <x:c r="Q213" s="37" t="s">
        <x:v>151</x:v>
      </x:c>
      <x:c r="R213" s="37" t="s">
        <x:v>151</x:v>
      </x:c>
      <x:c r="S213" s="37" t="s">
        <x:v>152</x:v>
      </x:c>
      <x:c r="T213" s="36" t="s">
        <x:v>322</x:v>
      </x:c>
      <x:c r="U213" s="36" t="n">
        <x:f>IFERROR(O213*P213*Q213/R213*(1+S213)*T213,"")</x:f>
        <x:v>0.2876712328767123</x:v>
      </x:c>
      <x:c r="V213" s="33" t="s">
        <x:v>333</x:v>
      </x:c>
      <x:c r="W213" s="30">
        <x:v>46236.78357621528</x:v>
      </x:c>
      <x:c r="X213" s="30"/>
      <x:c r="Y213" s="3" t="s">
        <x:v>224</x:v>
      </x:c>
      <x:c r="Z213" s="3" t="s">
        <x:v>192</x:v>
      </x:c>
      <x:c r="AA213" s="17" t="s">
        <x:v>741</x:v>
      </x:c>
      <x:c r="AB213" s="33" t="str">
        <x:f>IF(A213="","",IF(COUNTIF($A$5:$A$1004,A213)&gt;1,"错误:重复成本规则ID",IF(OR(B213="",C213="",D213="",E213="",F213="",K213="",O213&lt;=0,P213&lt;=0,Q213&lt;=0,R213&lt;=0,S213&lt;0,T213&lt;=0,Y213="",Z213=""),"错误:必填项","OK")))</x:f>
        <x:v>OK</x:v>
      </x:c>
    </x:row>
    <x:row r="214" ht="66" hidden="1" customHeight="1">
      <x:c r="A214" s="3" t="s">
        <x:v>742</x:v>
      </x:c>
      <x:c r="B214" s="3" t="s">
        <x:v>189</x:v>
      </x:c>
      <x:c r="C214" s="3" t="s">
        <x:v>740</x:v>
      </x:c>
      <x:c r="D214" s="3" t="s">
        <x:v>240</x:v>
      </x:c>
      <x:c r="E214" s="3" t="s">
        <x:v>264</x:v>
      </x:c>
      <x:c r="F214" s="3" t="s">
        <x:v>331</x:v>
      </x:c>
      <x:c r="G214" s="3" t="s">
        <x:v>319</x:v>
      </x:c>
      <x:c r="H214" s="3" t="s">
        <x:v>319</x:v>
      </x:c>
      <x:c r="I214" s="3" t="s">
        <x:v>319</x:v>
      </x:c>
      <x:c r="J214" s="3" t="s">
        <x:v>320</x:v>
      </x:c>
      <x:c r="K214" s="3" t="s">
        <x:v>150</x:v>
      </x:c>
      <x:c r="L214" s="37" t="s">
        <x:v>720</x:v>
      </x:c>
      <x:c r="M214" s="37" t="s">
        <x:v>319</x:v>
      </x:c>
      <x:c r="N214" s="37" t="s">
        <x:v>319</x:v>
      </x:c>
      <x:c r="O214" s="36" t="s">
        <x:v>720</x:v>
      </x:c>
      <x:c r="P214" s="37" t="s">
        <x:v>151</x:v>
      </x:c>
      <x:c r="Q214" s="37" t="s">
        <x:v>151</x:v>
      </x:c>
      <x:c r="R214" s="37" t="s">
        <x:v>151</x:v>
      </x:c>
      <x:c r="S214" s="37" t="s">
        <x:v>152</x:v>
      </x:c>
      <x:c r="T214" s="36" t="s">
        <x:v>322</x:v>
      </x:c>
      <x:c r="U214" s="36" t="n">
        <x:f>IFERROR(O214*P214*Q214/R214*(1+S214)*T214,"")</x:f>
        <x:v>0.2876712328767123</x:v>
      </x:c>
      <x:c r="V214" s="33" t="s">
        <x:v>333</x:v>
      </x:c>
      <x:c r="W214" s="30">
        <x:v>46236.78357621528</x:v>
      </x:c>
      <x:c r="X214" s="30"/>
      <x:c r="Y214" s="3" t="s">
        <x:v>224</x:v>
      </x:c>
      <x:c r="Z214" s="3" t="s">
        <x:v>192</x:v>
      </x:c>
      <x:c r="AA214" s="17" t="s">
        <x:v>741</x:v>
      </x:c>
      <x:c r="AB214" s="33" t="str">
        <x:f>IF(A214="","",IF(COUNTIF($A$5:$A$1004,A214)&gt;1,"错误:重复成本规则ID",IF(OR(B214="",C214="",D214="",E214="",F214="",K214="",O214&lt;=0,P214&lt;=0,Q214&lt;=0,R214&lt;=0,S214&lt;0,T214&lt;=0,Y214="",Z214=""),"错误:必填项","OK")))</x:f>
        <x:v>OK</x:v>
      </x:c>
    </x:row>
    <x:row r="215" ht="66" hidden="1" customHeight="1">
      <x:c r="A215" s="3" t="s">
        <x:v>743</x:v>
      </x:c>
      <x:c r="B215" s="3" t="s">
        <x:v>189</x:v>
      </x:c>
      <x:c r="C215" s="3" t="s">
        <x:v>740</x:v>
      </x:c>
      <x:c r="D215" s="3" t="s">
        <x:v>244</x:v>
      </x:c>
      <x:c r="E215" s="3" t="s">
        <x:v>258</x:v>
      </x:c>
      <x:c r="F215" s="3" t="s">
        <x:v>331</x:v>
      </x:c>
      <x:c r="G215" s="3" t="s">
        <x:v>319</x:v>
      </x:c>
      <x:c r="H215" s="3" t="s">
        <x:v>319</x:v>
      </x:c>
      <x:c r="I215" s="3" t="s">
        <x:v>319</x:v>
      </x:c>
      <x:c r="J215" s="3" t="s">
        <x:v>320</x:v>
      </x:c>
      <x:c r="K215" s="3" t="s">
        <x:v>150</x:v>
      </x:c>
      <x:c r="L215" s="37" t="s">
        <x:v>332</x:v>
      </x:c>
      <x:c r="M215" s="37" t="s">
        <x:v>319</x:v>
      </x:c>
      <x:c r="N215" s="37" t="s">
        <x:v>319</x:v>
      </x:c>
      <x:c r="O215" s="36" t="s">
        <x:v>332</x:v>
      </x:c>
      <x:c r="P215" s="37" t="s">
        <x:v>151</x:v>
      </x:c>
      <x:c r="Q215" s="37" t="s">
        <x:v>151</x:v>
      </x:c>
      <x:c r="R215" s="37" t="s">
        <x:v>151</x:v>
      </x:c>
      <x:c r="S215" s="37" t="s">
        <x:v>152</x:v>
      </x:c>
      <x:c r="T215" s="36" t="s">
        <x:v>322</x:v>
      </x:c>
      <x:c r="U215" s="36" t="n">
        <x:f>IFERROR(O215*P215*Q215/R215*(1+S215)*T215,"")</x:f>
        <x:v>0.4794520547945205</x:v>
      </x:c>
      <x:c r="V215" s="33" t="s">
        <x:v>333</x:v>
      </x:c>
      <x:c r="W215" s="30">
        <x:v>46236.78357621528</x:v>
      </x:c>
      <x:c r="X215" s="30"/>
      <x:c r="Y215" s="3" t="s">
        <x:v>224</x:v>
      </x:c>
      <x:c r="Z215" s="3" t="s">
        <x:v>192</x:v>
      </x:c>
      <x:c r="AA215" s="17" t="s">
        <x:v>741</x:v>
      </x:c>
      <x:c r="AB215" s="33" t="str">
        <x:f>IF(A215="","",IF(COUNTIF($A$5:$A$1004,A215)&gt;1,"错误:重复成本规则ID",IF(OR(B215="",C215="",D215="",E215="",F215="",K215="",O215&lt;=0,P215&lt;=0,Q215&lt;=0,R215&lt;=0,S215&lt;0,T215&lt;=0,Y215="",Z215=""),"错误:必填项","OK")))</x:f>
        <x:v>OK</x:v>
      </x:c>
    </x:row>
    <x:row r="216" ht="52.79999923706055" customHeight="1">
      <x:c r="A216" s="3" t="s">
        <x:v>744</x:v>
      </x:c>
      <x:c r="B216" s="3" t="s">
        <x:v>189</x:v>
      </x:c>
      <x:c r="C216" s="3" t="s">
        <x:v>740</x:v>
      </x:c>
      <x:c r="D216" s="38" t="s">
        <x:v>244</x:v>
      </x:c>
      <x:c r="E216" s="3" t="s">
        <x:v>264</x:v>
      </x:c>
      <x:c r="F216" s="3" t="s">
        <x:v>331</x:v>
      </x:c>
      <x:c r="G216" s="3" t="s">
        <x:v>319</x:v>
      </x:c>
      <x:c r="H216" s="3" t="s">
        <x:v>319</x:v>
      </x:c>
      <x:c r="I216" s="3" t="s">
        <x:v>319</x:v>
      </x:c>
      <x:c r="J216" s="3" t="s">
        <x:v>320</x:v>
      </x:c>
      <x:c r="K216" s="3" t="s">
        <x:v>150</x:v>
      </x:c>
      <x:c r="L216" s="37" t="s">
        <x:v>332</x:v>
      </x:c>
      <x:c r="M216" s="37" t="s">
        <x:v>319</x:v>
      </x:c>
      <x:c r="N216" s="37" t="s">
        <x:v>319</x:v>
      </x:c>
      <x:c r="O216" s="36" t="s">
        <x:v>332</x:v>
      </x:c>
      <x:c r="P216" s="37" t="s">
        <x:v>151</x:v>
      </x:c>
      <x:c r="Q216" s="37" t="s">
        <x:v>151</x:v>
      </x:c>
      <x:c r="R216" s="37" t="s">
        <x:v>151</x:v>
      </x:c>
      <x:c r="S216" s="37" t="s">
        <x:v>152</x:v>
      </x:c>
      <x:c r="T216" s="36" t="s">
        <x:v>322</x:v>
      </x:c>
      <x:c r="U216" s="36" t="n">
        <x:f>IFERROR(O216*P216*Q216/R216*(1+S216)*T216,"")</x:f>
        <x:v>0.4794520547945205</x:v>
      </x:c>
      <x:c r="V216" s="33" t="s">
        <x:v>333</x:v>
      </x:c>
      <x:c r="W216" s="30">
        <x:v>46236.78357621528</x:v>
      </x:c>
      <x:c r="X216" s="30"/>
      <x:c r="Y216" s="3" t="s">
        <x:v>224</x:v>
      </x:c>
      <x:c r="Z216" s="3" t="s">
        <x:v>192</x:v>
      </x:c>
      <x:c r="AA216" s="17" t="s">
        <x:v>741</x:v>
      </x:c>
      <x:c r="AB216" s="33" t="str">
        <x:f>IF(A216="","",IF(COUNTIF($A$5:$A$1004,A216)&gt;1,"错误:重复成本规则ID",IF(OR(B216="",C216="",D216="",E216="",F216="",K216="",O216&lt;=0,P216&lt;=0,Q216&lt;=0,R216&lt;=0,S216&lt;0,T216&lt;=0,Y216="",Z216=""),"错误:必填项","OK")))</x:f>
        <x:v>OK</x:v>
      </x:c>
    </x:row>
    <x:row r="217">
      <x:c r="A217" t="s">
        <x:v>745</x:v>
      </x:c>
      <x:c r="B217" t="s">
        <x:v>189</x:v>
      </x:c>
      <x:c r="C217" t="s">
        <x:v>423</x:v>
      </x:c>
      <x:c r="D217" t="s">
        <x:v>232</x:v>
      </x:c>
      <x:c r="E217" t="s">
        <x:v>258</x:v>
      </x:c>
      <x:c r="F217" t="s">
        <x:v>318</x:v>
      </x:c>
      <x:c r="G217" t="s">
        <x:v>319</x:v>
      </x:c>
      <x:c r="H217" t="s">
        <x:v>319</x:v>
      </x:c>
      <x:c r="I217" t="s">
        <x:v>319</x:v>
      </x:c>
      <x:c r="J217" t="s">
        <x:v>320</x:v>
      </x:c>
      <x:c r="K217" t="s">
        <x:v>150</x:v>
      </x:c>
      <x:c r="L217" t="s">
        <x:v>319</x:v>
      </x:c>
      <x:c r="M217" t="s">
        <x:v>746</x:v>
      </x:c>
      <x:c r="N217" t="s">
        <x:v>319</x:v>
      </x:c>
      <x:c r="O217" t="s">
        <x:v>746</x:v>
      </x:c>
      <x:c r="P217" t="s">
        <x:v>151</x:v>
      </x:c>
      <x:c r="Q217" t="s">
        <x:v>151</x:v>
      </x:c>
      <x:c r="R217" t="s">
        <x:v>151</x:v>
      </x:c>
      <x:c r="S217" t="s">
        <x:v>152</x:v>
      </x:c>
      <x:c r="T217" t="s">
        <x:v>322</x:v>
      </x:c>
      <x:c r="U217" t="n">
        <x:f>IFERROR(O217*P217*Q217/R217*(1+S217)*T217,"")</x:f>
        <x:v>0.045205479452054796</x:v>
      </x:c>
      <x:c r="V217" t="s">
        <x:v>323</x:v>
      </x:c>
      <x:c r="W217" s="39">
        <x:v>46236.78357621528</x:v>
      </x:c>
      <x:c r="Y217" t="s">
        <x:v>224</x:v>
      </x:c>
      <x:c r="Z217" t="s">
        <x:v>192</x:v>
      </x:c>
      <x:c r="AA217" t="s">
        <x:v>747</x:v>
      </x:c>
      <x:c r="AB217" t="str">
        <x:f>IF(A217="","",IF(COUNTIF($A$5:$A$1004,A217)&gt;1,"错误:重复成本规则ID",IF(OR(B217="",C217="",D217="",E217="",F217="",K217="",O217&lt;=0,P217&lt;=0,Q217&lt;=0,R217&lt;=0,S217&lt;0,T217&lt;=0,Y217="",Z217=""),"错误:必填项","OK")))</x:f>
        <x:v>OK</x:v>
      </x:c>
    </x:row>
    <x:row r="218">
      <x:c r="A218" t="s">
        <x:v>748</x:v>
      </x:c>
      <x:c r="B218" t="s">
        <x:v>189</x:v>
      </x:c>
      <x:c r="C218" t="s">
        <x:v>423</x:v>
      </x:c>
      <x:c r="D218" t="s">
        <x:v>232</x:v>
      </x:c>
      <x:c r="E218" t="s">
        <x:v>264</x:v>
      </x:c>
      <x:c r="F218" t="s">
        <x:v>318</x:v>
      </x:c>
      <x:c r="G218" t="s">
        <x:v>319</x:v>
      </x:c>
      <x:c r="H218" t="s">
        <x:v>319</x:v>
      </x:c>
      <x:c r="I218" t="s">
        <x:v>319</x:v>
      </x:c>
      <x:c r="J218" t="s">
        <x:v>320</x:v>
      </x:c>
      <x:c r="K218" t="s">
        <x:v>150</x:v>
      </x:c>
      <x:c r="L218" t="s">
        <x:v>319</x:v>
      </x:c>
      <x:c r="M218" t="s">
        <x:v>746</x:v>
      </x:c>
      <x:c r="N218" t="s">
        <x:v>319</x:v>
      </x:c>
      <x:c r="O218" t="s">
        <x:v>746</x:v>
      </x:c>
      <x:c r="P218" t="s">
        <x:v>151</x:v>
      </x:c>
      <x:c r="Q218" t="s">
        <x:v>151</x:v>
      </x:c>
      <x:c r="R218" t="s">
        <x:v>151</x:v>
      </x:c>
      <x:c r="S218" t="s">
        <x:v>152</x:v>
      </x:c>
      <x:c r="T218" t="s">
        <x:v>322</x:v>
      </x:c>
      <x:c r="U218" t="n">
        <x:f>IFERROR(O218*P218*Q218/R218*(1+S218)*T218,"")</x:f>
        <x:v>0.045205479452054796</x:v>
      </x:c>
      <x:c r="V218" t="s">
        <x:v>323</x:v>
      </x:c>
      <x:c r="W218" s="39">
        <x:v>46236.78357621528</x:v>
      </x:c>
      <x:c r="Y218" t="s">
        <x:v>224</x:v>
      </x:c>
      <x:c r="Z218" t="s">
        <x:v>192</x:v>
      </x:c>
      <x:c r="AA218" t="s">
        <x:v>747</x:v>
      </x:c>
      <x:c r="AB218" t="str">
        <x:f>IF(A218="","",IF(COUNTIF($A$5:$A$1004,A218)&gt;1,"错误:重复成本规则ID",IF(OR(B218="",C218="",D218="",E218="",F218="",K218="",O218&lt;=0,P218&lt;=0,Q218&lt;=0,R218&lt;=0,S218&lt;0,T218&lt;=0,Y218="",Z218=""),"错误:必填项","OK")))</x:f>
        <x:v>OK</x:v>
      </x:c>
    </x:row>
    <x:row r="219">
      <x:c r="A219" t="s">
        <x:v>749</x:v>
      </x:c>
      <x:c r="B219" t="s">
        <x:v>189</x:v>
      </x:c>
      <x:c r="C219" t="s">
        <x:v>418</x:v>
      </x:c>
      <x:c r="D219" t="s">
        <x:v>227</x:v>
      </x:c>
      <x:c r="E219" t="s">
        <x:v>258</x:v>
      </x:c>
      <x:c r="F219" t="s">
        <x:v>318</x:v>
      </x:c>
      <x:c r="G219" t="s">
        <x:v>319</x:v>
      </x:c>
      <x:c r="H219" t="s">
        <x:v>319</x:v>
      </x:c>
      <x:c r="I219" t="s">
        <x:v>319</x:v>
      </x:c>
      <x:c r="J219" t="s">
        <x:v>320</x:v>
      </x:c>
      <x:c r="K219" t="s">
        <x:v>150</x:v>
      </x:c>
      <x:c r="L219" t="s">
        <x:v>319</x:v>
      </x:c>
      <x:c r="M219" t="s">
        <x:v>327</x:v>
      </x:c>
      <x:c r="N219" t="s">
        <x:v>319</x:v>
      </x:c>
      <x:c r="O219" t="s">
        <x:v>327</x:v>
      </x:c>
      <x:c r="P219" t="s">
        <x:v>151</x:v>
      </x:c>
      <x:c r="Q219" t="s">
        <x:v>151</x:v>
      </x:c>
      <x:c r="R219" t="s">
        <x:v>151</x:v>
      </x:c>
      <x:c r="S219" t="s">
        <x:v>152</x:v>
      </x:c>
      <x:c r="T219" t="s">
        <x:v>322</x:v>
      </x:c>
      <x:c r="U219" t="n">
        <x:f>IFERROR(O219*P219*Q219/R219*(1+S219)*T219,"")</x:f>
        <x:v>0.031506849315068496</x:v>
      </x:c>
      <x:c r="V219" t="s">
        <x:v>323</x:v>
      </x:c>
      <x:c r="W219" s="39">
        <x:v>46236.78357621528</x:v>
      </x:c>
      <x:c r="Y219" t="s">
        <x:v>224</x:v>
      </x:c>
      <x:c r="Z219" t="s">
        <x:v>192</x:v>
      </x:c>
      <x:c r="AA219" t="s">
        <x:v>750</x:v>
      </x:c>
      <x:c r="AB219" t="str">
        <x:f>IF(A219="","",IF(COUNTIF($A$5:$A$1004,A219)&gt;1,"错误:重复成本规则ID",IF(OR(B219="",C219="",D219="",E219="",F219="",K219="",O219&lt;=0,P219&lt;=0,Q219&lt;=0,R219&lt;=0,S219&lt;0,T219&lt;=0,Y219="",Z219=""),"错误:必填项","OK")))</x:f>
        <x:v>OK</x:v>
      </x:c>
    </x:row>
    <x:row r="220">
      <x:c r="A220" t="s">
        <x:v>751</x:v>
      </x:c>
      <x:c r="B220" t="s">
        <x:v>189</x:v>
      </x:c>
      <x:c r="C220" t="s">
        <x:v>418</x:v>
      </x:c>
      <x:c r="D220" t="s">
        <x:v>227</x:v>
      </x:c>
      <x:c r="E220" t="s">
        <x:v>264</x:v>
      </x:c>
      <x:c r="F220" t="s">
        <x:v>318</x:v>
      </x:c>
      <x:c r="G220" t="s">
        <x:v>319</x:v>
      </x:c>
      <x:c r="H220" t="s">
        <x:v>319</x:v>
      </x:c>
      <x:c r="I220" t="s">
        <x:v>319</x:v>
      </x:c>
      <x:c r="J220" t="s">
        <x:v>320</x:v>
      </x:c>
      <x:c r="K220" t="s">
        <x:v>150</x:v>
      </x:c>
      <x:c r="L220" t="s">
        <x:v>319</x:v>
      </x:c>
      <x:c r="M220" t="s">
        <x:v>327</x:v>
      </x:c>
      <x:c r="N220" t="s">
        <x:v>319</x:v>
      </x:c>
      <x:c r="O220" t="s">
        <x:v>327</x:v>
      </x:c>
      <x:c r="P220" t="s">
        <x:v>151</x:v>
      </x:c>
      <x:c r="Q220" t="s">
        <x:v>151</x:v>
      </x:c>
      <x:c r="R220" t="s">
        <x:v>151</x:v>
      </x:c>
      <x:c r="S220" t="s">
        <x:v>152</x:v>
      </x:c>
      <x:c r="T220" t="s">
        <x:v>322</x:v>
      </x:c>
      <x:c r="U220" t="n">
        <x:f>IFERROR(O220*P220*Q220/R220*(1+S220)*T220,"")</x:f>
        <x:v>0.031506849315068496</x:v>
      </x:c>
      <x:c r="V220" t="s">
        <x:v>323</x:v>
      </x:c>
      <x:c r="W220" s="39">
        <x:v>46236.78357621528</x:v>
      </x:c>
      <x:c r="Y220" t="s">
        <x:v>224</x:v>
      </x:c>
      <x:c r="Z220" t="s">
        <x:v>192</x:v>
      </x:c>
      <x:c r="AA220" t="s">
        <x:v>750</x:v>
      </x:c>
      <x:c r="AB220" t="str">
        <x:f>IF(A220="","",IF(COUNTIF($A$5:$A$1004,A220)&gt;1,"错误:重复成本规则ID",IF(OR(B220="",C220="",D220="",E220="",F220="",K220="",O220&lt;=0,P220&lt;=0,Q220&lt;=0,R220&lt;=0,S220&lt;0,T220&lt;=0,Y220="",Z220=""),"错误:必填项","OK")))</x:f>
        <x:v>OK</x:v>
      </x:c>
    </x:row>
    <x:row r="221">
      <x:c r="A221" t="s">
        <x:v>752</x:v>
      </x:c>
      <x:c r="B221" t="s">
        <x:v>189</x:v>
      </x:c>
      <x:c r="C221" t="s">
        <x:v>423</x:v>
      </x:c>
      <x:c r="D221" t="s">
        <x:v>232</x:v>
      </x:c>
      <x:c r="E221" t="s">
        <x:v>258</x:v>
      </x:c>
      <x:c r="F221" t="s">
        <x:v>318</x:v>
      </x:c>
      <x:c r="G221" t="s">
        <x:v>319</x:v>
      </x:c>
      <x:c r="H221" t="s">
        <x:v>319</x:v>
      </x:c>
      <x:c r="I221" t="s">
        <x:v>319</x:v>
      </x:c>
      <x:c r="J221" t="s">
        <x:v>320</x:v>
      </x:c>
      <x:c r="K221" t="s">
        <x:v>150</x:v>
      </x:c>
      <x:c r="L221" t="s">
        <x:v>319</x:v>
      </x:c>
      <x:c r="M221" t="s">
        <x:v>746</x:v>
      </x:c>
      <x:c r="N221" t="s">
        <x:v>319</x:v>
      </x:c>
      <x:c r="O221" t="s">
        <x:v>746</x:v>
      </x:c>
      <x:c r="P221" t="s">
        <x:v>151</x:v>
      </x:c>
      <x:c r="Q221" t="s">
        <x:v>151</x:v>
      </x:c>
      <x:c r="R221" t="s">
        <x:v>151</x:v>
      </x:c>
      <x:c r="S221" t="s">
        <x:v>152</x:v>
      </x:c>
      <x:c r="T221" t="s">
        <x:v>322</x:v>
      </x:c>
      <x:c r="U221" t="n">
        <x:f>IFERROR(O221*P221*Q221/R221*(1+S221)*T221,"")</x:f>
        <x:v>0.045205479452054796</x:v>
      </x:c>
      <x:c r="V221" t="s">
        <x:v>323</x:v>
      </x:c>
      <x:c r="W221" s="39">
        <x:v>46236.78357621528</x:v>
      </x:c>
      <x:c r="Y221" t="s">
        <x:v>224</x:v>
      </x:c>
      <x:c r="Z221" t="s">
        <x:v>192</x:v>
      </x:c>
      <x:c r="AA221" t="s">
        <x:v>747</x:v>
      </x:c>
      <x:c r="AB221" t="str">
        <x:f>IF(A221="","",IF(COUNTIF($A$5:$A$1004,A221)&gt;1,"错误:重复成本规则ID",IF(OR(B221="",C221="",D221="",E221="",F221="",K221="",O221&lt;=0,P221&lt;=0,Q221&lt;=0,R221&lt;=0,S221&lt;0,T221&lt;=0,Y221="",Z221=""),"错误:必填项","OK")))</x:f>
        <x:v>OK</x:v>
      </x:c>
    </x:row>
    <x:row r="222">
      <x:c r="A222" t="s">
        <x:v>753</x:v>
      </x:c>
      <x:c r="B222" t="s">
        <x:v>189</x:v>
      </x:c>
      <x:c r="C222" t="s">
        <x:v>423</x:v>
      </x:c>
      <x:c r="D222" t="s">
        <x:v>232</x:v>
      </x:c>
      <x:c r="E222" t="s">
        <x:v>264</x:v>
      </x:c>
      <x:c r="F222" t="s">
        <x:v>318</x:v>
      </x:c>
      <x:c r="G222" t="s">
        <x:v>319</x:v>
      </x:c>
      <x:c r="H222" t="s">
        <x:v>319</x:v>
      </x:c>
      <x:c r="I222" t="s">
        <x:v>319</x:v>
      </x:c>
      <x:c r="J222" t="s">
        <x:v>320</x:v>
      </x:c>
      <x:c r="K222" t="s">
        <x:v>150</x:v>
      </x:c>
      <x:c r="L222" t="s">
        <x:v>319</x:v>
      </x:c>
      <x:c r="M222" t="s">
        <x:v>746</x:v>
      </x:c>
      <x:c r="N222" t="s">
        <x:v>319</x:v>
      </x:c>
      <x:c r="O222" t="s">
        <x:v>746</x:v>
      </x:c>
      <x:c r="P222" t="s">
        <x:v>151</x:v>
      </x:c>
      <x:c r="Q222" t="s">
        <x:v>151</x:v>
      </x:c>
      <x:c r="R222" t="s">
        <x:v>151</x:v>
      </x:c>
      <x:c r="S222" t="s">
        <x:v>152</x:v>
      </x:c>
      <x:c r="T222" t="s">
        <x:v>322</x:v>
      </x:c>
      <x:c r="U222" t="n">
        <x:f>IFERROR(O222*P222*Q222/R222*(1+S222)*T222,"")</x:f>
        <x:v>0.045205479452054796</x:v>
      </x:c>
      <x:c r="V222" t="s">
        <x:v>323</x:v>
      </x:c>
      <x:c r="W222" s="39">
        <x:v>46236.78357621528</x:v>
      </x:c>
      <x:c r="Y222" t="s">
        <x:v>224</x:v>
      </x:c>
      <x:c r="Z222" t="s">
        <x:v>192</x:v>
      </x:c>
      <x:c r="AA222" t="s">
        <x:v>747</x:v>
      </x:c>
      <x:c r="AB222" t="str">
        <x:f>IF(A222="","",IF(COUNTIF($A$5:$A$1004,A222)&gt;1,"错误:重复成本规则ID",IF(OR(B222="",C222="",D222="",E222="",F222="",K222="",O222&lt;=0,P222&lt;=0,Q222&lt;=0,R222&lt;=0,S222&lt;0,T222&lt;=0,Y222="",Z222=""),"错误:必填项","OK")))</x:f>
        <x:v>OK</x:v>
      </x:c>
    </x:row>
    <x:row r="223">
      <x:c r="A223" t="s">
        <x:v>754</x:v>
      </x:c>
      <x:c r="B223" t="s">
        <x:v>189</x:v>
      </x:c>
      <x:c r="C223" t="s">
        <x:v>428</x:v>
      </x:c>
      <x:c r="D223" t="s">
        <x:v>234</x:v>
      </x:c>
      <x:c r="E223" t="s">
        <x:v>258</x:v>
      </x:c>
      <x:c r="F223" t="s">
        <x:v>318</x:v>
      </x:c>
      <x:c r="G223" t="s">
        <x:v>319</x:v>
      </x:c>
      <x:c r="H223" t="s">
        <x:v>319</x:v>
      </x:c>
      <x:c r="I223" t="s">
        <x:v>319</x:v>
      </x:c>
      <x:c r="J223" t="s">
        <x:v>320</x:v>
      </x:c>
      <x:c r="K223" t="s">
        <x:v>150</x:v>
      </x:c>
      <x:c r="L223" t="s">
        <x:v>319</x:v>
      </x:c>
      <x:c r="M223" t="s">
        <x:v>755</x:v>
      </x:c>
      <x:c r="N223" t="s">
        <x:v>319</x:v>
      </x:c>
      <x:c r="O223" t="s">
        <x:v>755</x:v>
      </x:c>
      <x:c r="P223" t="s">
        <x:v>151</x:v>
      </x:c>
      <x:c r="Q223" t="s">
        <x:v>151</x:v>
      </x:c>
      <x:c r="R223" t="s">
        <x:v>151</x:v>
      </x:c>
      <x:c r="S223" t="s">
        <x:v>152</x:v>
      </x:c>
      <x:c r="T223" t="s">
        <x:v>322</x:v>
      </x:c>
      <x:c r="U223" t="n">
        <x:f>IFERROR(O223*P223*Q223/R223*(1+S223)*T223,"")</x:f>
        <x:v>0.01780821917808219</x:v>
      </x:c>
      <x:c r="V223" t="s">
        <x:v>323</x:v>
      </x:c>
      <x:c r="W223" s="39">
        <x:v>46236.78357621528</x:v>
      </x:c>
      <x:c r="Y223" t="s">
        <x:v>224</x:v>
      </x:c>
      <x:c r="Z223" t="s">
        <x:v>192</x:v>
      </x:c>
      <x:c r="AA223" t="s">
        <x:v>756</x:v>
      </x:c>
      <x:c r="AB223" t="str">
        <x:f>IF(A223="","",IF(COUNTIF($A$5:$A$1004,A223)&gt;1,"错误:重复成本规则ID",IF(OR(B223="",C223="",D223="",E223="",F223="",K223="",O223&lt;=0,P223&lt;=0,Q223&lt;=0,R223&lt;=0,S223&lt;0,T223&lt;=0,Y223="",Z223=""),"错误:必填项","OK")))</x:f>
        <x:v>OK</x:v>
      </x:c>
    </x:row>
    <x:row r="224">
      <x:c r="A224" t="s">
        <x:v>757</x:v>
      </x:c>
      <x:c r="B224" t="s">
        <x:v>189</x:v>
      </x:c>
      <x:c r="C224" t="s">
        <x:v>428</x:v>
      </x:c>
      <x:c r="D224" t="s">
        <x:v>234</x:v>
      </x:c>
      <x:c r="E224" t="s">
        <x:v>264</x:v>
      </x:c>
      <x:c r="F224" t="s">
        <x:v>318</x:v>
      </x:c>
      <x:c r="G224" t="s">
        <x:v>319</x:v>
      </x:c>
      <x:c r="H224" t="s">
        <x:v>319</x:v>
      </x:c>
      <x:c r="I224" t="s">
        <x:v>319</x:v>
      </x:c>
      <x:c r="J224" t="s">
        <x:v>320</x:v>
      </x:c>
      <x:c r="K224" t="s">
        <x:v>150</x:v>
      </x:c>
      <x:c r="L224" t="s">
        <x:v>319</x:v>
      </x:c>
      <x:c r="M224" t="s">
        <x:v>755</x:v>
      </x:c>
      <x:c r="N224" t="s">
        <x:v>319</x:v>
      </x:c>
      <x:c r="O224" t="s">
        <x:v>755</x:v>
      </x:c>
      <x:c r="P224" t="s">
        <x:v>151</x:v>
      </x:c>
      <x:c r="Q224" t="s">
        <x:v>151</x:v>
      </x:c>
      <x:c r="R224" t="s">
        <x:v>151</x:v>
      </x:c>
      <x:c r="S224" t="s">
        <x:v>152</x:v>
      </x:c>
      <x:c r="T224" t="s">
        <x:v>322</x:v>
      </x:c>
      <x:c r="U224" t="n">
        <x:f>IFERROR(O224*P224*Q224/R224*(1+S224)*T224,"")</x:f>
        <x:v>0.01780821917808219</x:v>
      </x:c>
      <x:c r="V224" t="s">
        <x:v>323</x:v>
      </x:c>
      <x:c r="W224" s="39">
        <x:v>46236.78357621528</x:v>
      </x:c>
      <x:c r="Y224" t="s">
        <x:v>224</x:v>
      </x:c>
      <x:c r="Z224" t="s">
        <x:v>192</x:v>
      </x:c>
      <x:c r="AA224" t="s">
        <x:v>756</x:v>
      </x:c>
      <x:c r="AB224" t="str">
        <x:f>IF(A224="","",IF(COUNTIF($A$5:$A$1004,A224)&gt;1,"错误:重复成本规则ID",IF(OR(B224="",C224="",D224="",E224="",F224="",K224="",O224&lt;=0,P224&lt;=0,Q224&lt;=0,R224&lt;=0,S224&lt;0,T224&lt;=0,Y224="",Z224=""),"错误:必填项","OK")))</x:f>
        <x:v>OK</x:v>
      </x:c>
    </x:row>
    <x:row r="225">
      <x:c r="A225" t="s">
        <x:v>758</x:v>
      </x:c>
      <x:c r="B225" t="s">
        <x:v>189</x:v>
      </x:c>
      <x:c r="C225" t="s">
        <x:v>433</x:v>
      </x:c>
      <x:c r="D225" t="s">
        <x:v>238</x:v>
      </x:c>
      <x:c r="E225" t="s">
        <x:v>258</x:v>
      </x:c>
      <x:c r="F225" t="s">
        <x:v>318</x:v>
      </x:c>
      <x:c r="G225" t="s">
        <x:v>319</x:v>
      </x:c>
      <x:c r="H225" t="s">
        <x:v>319</x:v>
      </x:c>
      <x:c r="I225" t="s">
        <x:v>319</x:v>
      </x:c>
      <x:c r="J225" t="s">
        <x:v>320</x:v>
      </x:c>
      <x:c r="K225" t="s">
        <x:v>150</x:v>
      </x:c>
      <x:c r="L225" t="s">
        <x:v>319</x:v>
      </x:c>
      <x:c r="M225" t="s">
        <x:v>327</x:v>
      </x:c>
      <x:c r="N225" t="s">
        <x:v>319</x:v>
      </x:c>
      <x:c r="O225" t="s">
        <x:v>327</x:v>
      </x:c>
      <x:c r="P225" t="s">
        <x:v>151</x:v>
      </x:c>
      <x:c r="Q225" t="s">
        <x:v>151</x:v>
      </x:c>
      <x:c r="R225" t="s">
        <x:v>151</x:v>
      </x:c>
      <x:c r="S225" t="s">
        <x:v>152</x:v>
      </x:c>
      <x:c r="T225" t="s">
        <x:v>322</x:v>
      </x:c>
      <x:c r="U225" t="n">
        <x:f>IFERROR(O225*P225*Q225/R225*(1+S225)*T225,"")</x:f>
        <x:v>0.031506849315068496</x:v>
      </x:c>
      <x:c r="V225" t="s">
        <x:v>323</x:v>
      </x:c>
      <x:c r="W225" s="39">
        <x:v>46236.78357621528</x:v>
      </x:c>
      <x:c r="Y225" t="s">
        <x:v>224</x:v>
      </x:c>
      <x:c r="Z225" t="s">
        <x:v>192</x:v>
      </x:c>
      <x:c r="AA225" t="s">
        <x:v>759</x:v>
      </x:c>
      <x:c r="AB225" t="str">
        <x:f>IF(A225="","",IF(COUNTIF($A$5:$A$1004,A225)&gt;1,"错误:重复成本规则ID",IF(OR(B225="",C225="",D225="",E225="",F225="",K225="",O225&lt;=0,P225&lt;=0,Q225&lt;=0,R225&lt;=0,S225&lt;0,T225&lt;=0,Y225="",Z225=""),"错误:必填项","OK")))</x:f>
        <x:v>OK</x:v>
      </x:c>
    </x:row>
    <x:row r="226">
      <x:c r="A226" t="s">
        <x:v>760</x:v>
      </x:c>
      <x:c r="B226" t="s">
        <x:v>189</x:v>
      </x:c>
      <x:c r="C226" t="s">
        <x:v>433</x:v>
      </x:c>
      <x:c r="D226" t="s">
        <x:v>238</x:v>
      </x:c>
      <x:c r="E226" t="s">
        <x:v>264</x:v>
      </x:c>
      <x:c r="F226" t="s">
        <x:v>318</x:v>
      </x:c>
      <x:c r="G226" t="s">
        <x:v>319</x:v>
      </x:c>
      <x:c r="H226" t="s">
        <x:v>319</x:v>
      </x:c>
      <x:c r="I226" t="s">
        <x:v>319</x:v>
      </x:c>
      <x:c r="J226" t="s">
        <x:v>320</x:v>
      </x:c>
      <x:c r="K226" t="s">
        <x:v>150</x:v>
      </x:c>
      <x:c r="L226" t="s">
        <x:v>319</x:v>
      </x:c>
      <x:c r="M226" t="s">
        <x:v>327</x:v>
      </x:c>
      <x:c r="N226" t="s">
        <x:v>319</x:v>
      </x:c>
      <x:c r="O226" t="s">
        <x:v>327</x:v>
      </x:c>
      <x:c r="P226" t="s">
        <x:v>151</x:v>
      </x:c>
      <x:c r="Q226" t="s">
        <x:v>151</x:v>
      </x:c>
      <x:c r="R226" t="s">
        <x:v>151</x:v>
      </x:c>
      <x:c r="S226" t="s">
        <x:v>152</x:v>
      </x:c>
      <x:c r="T226" t="s">
        <x:v>322</x:v>
      </x:c>
      <x:c r="U226" t="n">
        <x:f>IFERROR(O226*P226*Q226/R226*(1+S226)*T226,"")</x:f>
        <x:v>0.031506849315068496</x:v>
      </x:c>
      <x:c r="V226" t="s">
        <x:v>323</x:v>
      </x:c>
      <x:c r="W226" s="39">
        <x:v>46236.78357621528</x:v>
      </x:c>
      <x:c r="Y226" t="s">
        <x:v>224</x:v>
      </x:c>
      <x:c r="Z226" t="s">
        <x:v>192</x:v>
      </x:c>
      <x:c r="AA226" t="s">
        <x:v>759</x:v>
      </x:c>
      <x:c r="AB226" t="str">
        <x:f>IF(A226="","",IF(COUNTIF($A$5:$A$1004,A226)&gt;1,"错误:重复成本规则ID",IF(OR(B226="",C226="",D226="",E226="",F226="",K226="",O226&lt;=0,P226&lt;=0,Q226&lt;=0,R226&lt;=0,S226&lt;0,T226&lt;=0,Y226="",Z226=""),"错误:必填项","OK")))</x:f>
        <x:v>OK</x:v>
      </x:c>
    </x:row>
    <x:row r="227">
      <x:c r="A227" t="s">
        <x:v>761</x:v>
      </x:c>
      <x:c r="B227" t="s">
        <x:v>189</x:v>
      </x:c>
      <x:c r="C227" t="s">
        <x:v>437</x:v>
      </x:c>
      <x:c r="D227" t="s">
        <x:v>240</x:v>
      </x:c>
      <x:c r="E227" t="s">
        <x:v>258</x:v>
      </x:c>
      <x:c r="F227" t="s">
        <x:v>318</x:v>
      </x:c>
      <x:c r="G227" t="s">
        <x:v>319</x:v>
      </x:c>
      <x:c r="H227" t="s">
        <x:v>319</x:v>
      </x:c>
      <x:c r="I227" t="s">
        <x:v>319</x:v>
      </x:c>
      <x:c r="J227" t="s">
        <x:v>320</x:v>
      </x:c>
      <x:c r="K227" t="s">
        <x:v>150</x:v>
      </x:c>
      <x:c r="L227" t="s">
        <x:v>319</x:v>
      </x:c>
      <x:c r="M227" t="s">
        <x:v>762</x:v>
      </x:c>
      <x:c r="N227" t="s">
        <x:v>319</x:v>
      </x:c>
      <x:c r="O227" t="s">
        <x:v>762</x:v>
      </x:c>
      <x:c r="P227" t="s">
        <x:v>151</x:v>
      </x:c>
      <x:c r="Q227" t="s">
        <x:v>151</x:v>
      </x:c>
      <x:c r="R227" t="s">
        <x:v>151</x:v>
      </x:c>
      <x:c r="S227" t="s">
        <x:v>152</x:v>
      </x:c>
      <x:c r="T227" t="s">
        <x:v>322</x:v>
      </x:c>
      <x:c r="U227" t="n">
        <x:f>IFERROR(O227*P227*Q227/R227*(1+S227)*T227,"")</x:f>
        <x:v>0.012328767123287671</x:v>
      </x:c>
      <x:c r="V227" t="s">
        <x:v>323</x:v>
      </x:c>
      <x:c r="W227" s="39">
        <x:v>46236.78357621528</x:v>
      </x:c>
      <x:c r="Y227" t="s">
        <x:v>224</x:v>
      </x:c>
      <x:c r="Z227" t="s">
        <x:v>192</x:v>
      </x:c>
      <x:c r="AA227" t="s">
        <x:v>763</x:v>
      </x:c>
      <x:c r="AB227" t="str">
        <x:f>IF(A227="","",IF(COUNTIF($A$5:$A$1004,A227)&gt;1,"错误:重复成本规则ID",IF(OR(B227="",C227="",D227="",E227="",F227="",K227="",O227&lt;=0,P227&lt;=0,Q227&lt;=0,R227&lt;=0,S227&lt;0,T227&lt;=0,Y227="",Z227=""),"错误:必填项","OK")))</x:f>
        <x:v>OK</x:v>
      </x:c>
    </x:row>
    <x:row r="228">
      <x:c r="A228" t="s">
        <x:v>764</x:v>
      </x:c>
      <x:c r="B228" t="s">
        <x:v>189</x:v>
      </x:c>
      <x:c r="C228" t="s">
        <x:v>437</x:v>
      </x:c>
      <x:c r="D228" t="s">
        <x:v>240</x:v>
      </x:c>
      <x:c r="E228" t="s">
        <x:v>264</x:v>
      </x:c>
      <x:c r="F228" t="s">
        <x:v>318</x:v>
      </x:c>
      <x:c r="G228" t="s">
        <x:v>319</x:v>
      </x:c>
      <x:c r="H228" t="s">
        <x:v>319</x:v>
      </x:c>
      <x:c r="I228" t="s">
        <x:v>319</x:v>
      </x:c>
      <x:c r="J228" t="s">
        <x:v>320</x:v>
      </x:c>
      <x:c r="K228" t="s">
        <x:v>150</x:v>
      </x:c>
      <x:c r="L228" t="s">
        <x:v>319</x:v>
      </x:c>
      <x:c r="M228" t="s">
        <x:v>762</x:v>
      </x:c>
      <x:c r="N228" t="s">
        <x:v>319</x:v>
      </x:c>
      <x:c r="O228" t="s">
        <x:v>762</x:v>
      </x:c>
      <x:c r="P228" t="s">
        <x:v>151</x:v>
      </x:c>
      <x:c r="Q228" t="s">
        <x:v>151</x:v>
      </x:c>
      <x:c r="R228" t="s">
        <x:v>151</x:v>
      </x:c>
      <x:c r="S228" t="s">
        <x:v>152</x:v>
      </x:c>
      <x:c r="T228" t="s">
        <x:v>322</x:v>
      </x:c>
      <x:c r="U228" t="n">
        <x:f>IFERROR(O228*P228*Q228/R228*(1+S228)*T228,"")</x:f>
        <x:v>0.012328767123287671</x:v>
      </x:c>
      <x:c r="V228" t="s">
        <x:v>323</x:v>
      </x:c>
      <x:c r="W228" s="39">
        <x:v>46236.78357621528</x:v>
      </x:c>
      <x:c r="Y228" t="s">
        <x:v>224</x:v>
      </x:c>
      <x:c r="Z228" t="s">
        <x:v>192</x:v>
      </x:c>
      <x:c r="AA228" t="s">
        <x:v>763</x:v>
      </x:c>
      <x:c r="AB228" t="str">
        <x:f>IF(A228="","",IF(COUNTIF($A$5:$A$1004,A228)&gt;1,"错误:重复成本规则ID",IF(OR(B228="",C228="",D228="",E228="",F228="",K228="",O228&lt;=0,P228&lt;=0,Q228&lt;=0,R228&lt;=0,S228&lt;0,T228&lt;=0,Y228="",Z228=""),"错误:必填项","OK")))</x:f>
        <x:v>OK</x:v>
      </x:c>
    </x:row>
    <x:row r="229">
      <x:c r="A229" t="s">
        <x:v>765</x:v>
      </x:c>
      <x:c r="B229" t="s">
        <x:v>189</x:v>
      </x:c>
      <x:c r="C229" t="s">
        <x:v>442</x:v>
      </x:c>
      <x:c r="D229" t="s">
        <x:v>244</x:v>
      </x:c>
      <x:c r="E229" t="s">
        <x:v>258</x:v>
      </x:c>
      <x:c r="F229" t="s">
        <x:v>318</x:v>
      </x:c>
      <x:c r="G229" t="s">
        <x:v>319</x:v>
      </x:c>
      <x:c r="H229" t="s">
        <x:v>319</x:v>
      </x:c>
      <x:c r="I229" t="s">
        <x:v>319</x:v>
      </x:c>
      <x:c r="J229" t="s">
        <x:v>320</x:v>
      </x:c>
      <x:c r="K229" t="s">
        <x:v>150</x:v>
      </x:c>
      <x:c r="L229" t="s">
        <x:v>319</x:v>
      </x:c>
      <x:c r="M229" t="s">
        <x:v>647</x:v>
      </x:c>
      <x:c r="N229" t="s">
        <x:v>319</x:v>
      </x:c>
      <x:c r="O229" t="s">
        <x:v>647</x:v>
      </x:c>
      <x:c r="P229" t="s">
        <x:v>151</x:v>
      </x:c>
      <x:c r="Q229" t="s">
        <x:v>151</x:v>
      </x:c>
      <x:c r="R229" t="s">
        <x:v>151</x:v>
      </x:c>
      <x:c r="S229" t="s">
        <x:v>152</x:v>
      </x:c>
      <x:c r="T229" t="s">
        <x:v>322</x:v>
      </x:c>
      <x:c r="U229" t="n">
        <x:f>IFERROR(O229*P229*Q229/R229*(1+S229)*T229,"")</x:f>
        <x:v>0.021917808219178082</x:v>
      </x:c>
      <x:c r="V229" t="s">
        <x:v>323</x:v>
      </x:c>
      <x:c r="W229" s="39">
        <x:v>46236.78357621528</x:v>
      </x:c>
      <x:c r="Y229" t="s">
        <x:v>224</x:v>
      </x:c>
      <x:c r="Z229" t="s">
        <x:v>192</x:v>
      </x:c>
      <x:c r="AA229" t="s">
        <x:v>766</x:v>
      </x:c>
      <x:c r="AB229" t="str">
        <x:f>IF(A229="","",IF(COUNTIF($A$5:$A$1004,A229)&gt;1,"错误:重复成本规则ID",IF(OR(B229="",C229="",D229="",E229="",F229="",K229="",O229&lt;=0,P229&lt;=0,Q229&lt;=0,R229&lt;=0,S229&lt;0,T229&lt;=0,Y229="",Z229=""),"错误:必填项","OK")))</x:f>
        <x:v>OK</x:v>
      </x:c>
    </x:row>
    <x:row r="230">
      <x:c r="A230" t="s">
        <x:v>767</x:v>
      </x:c>
      <x:c r="B230" t="s">
        <x:v>189</x:v>
      </x:c>
      <x:c r="C230" t="s">
        <x:v>442</x:v>
      </x:c>
      <x:c r="D230" t="s">
        <x:v>244</x:v>
      </x:c>
      <x:c r="E230" t="s">
        <x:v>264</x:v>
      </x:c>
      <x:c r="F230" t="s">
        <x:v>318</x:v>
      </x:c>
      <x:c r="G230" t="s">
        <x:v>319</x:v>
      </x:c>
      <x:c r="H230" t="s">
        <x:v>319</x:v>
      </x:c>
      <x:c r="I230" t="s">
        <x:v>319</x:v>
      </x:c>
      <x:c r="J230" t="s">
        <x:v>320</x:v>
      </x:c>
      <x:c r="K230" t="s">
        <x:v>150</x:v>
      </x:c>
      <x:c r="L230" t="s">
        <x:v>319</x:v>
      </x:c>
      <x:c r="M230" t="s">
        <x:v>647</x:v>
      </x:c>
      <x:c r="N230" t="s">
        <x:v>319</x:v>
      </x:c>
      <x:c r="O230" t="s">
        <x:v>647</x:v>
      </x:c>
      <x:c r="P230" t="s">
        <x:v>151</x:v>
      </x:c>
      <x:c r="Q230" t="s">
        <x:v>151</x:v>
      </x:c>
      <x:c r="R230" t="s">
        <x:v>151</x:v>
      </x:c>
      <x:c r="S230" t="s">
        <x:v>152</x:v>
      </x:c>
      <x:c r="T230" t="s">
        <x:v>322</x:v>
      </x:c>
      <x:c r="U230" t="n">
        <x:f>IFERROR(O230*P230*Q230/R230*(1+S230)*T230,"")</x:f>
        <x:v>0.021917808219178082</x:v>
      </x:c>
      <x:c r="V230" t="s">
        <x:v>323</x:v>
      </x:c>
      <x:c r="W230" s="39">
        <x:v>46236.78357621528</x:v>
      </x:c>
      <x:c r="Y230" t="s">
        <x:v>224</x:v>
      </x:c>
      <x:c r="Z230" t="s">
        <x:v>192</x:v>
      </x:c>
      <x:c r="AA230" t="s">
        <x:v>766</x:v>
      </x:c>
      <x:c r="AB230" t="str">
        <x:f>IF(A230="","",IF(COUNTIF($A$5:$A$1004,A230)&gt;1,"错误:重复成本规则ID",IF(OR(B230="",C230="",D230="",E230="",F230="",K230="",O230&lt;=0,P230&lt;=0,Q230&lt;=0,R230&lt;=0,S230&lt;0,T230&lt;=0,Y230="",Z230=""),"错误:必填项","OK")))</x:f>
        <x:v>OK</x:v>
      </x:c>
    </x:row>
    <x:row r="231">
      <x:c r="A231" t="s">
        <x:v>768</x:v>
      </x:c>
      <x:c r="B231" t="s">
        <x:v>199</x:v>
      </x:c>
      <x:c r="C231" t="s">
        <x:v>769</x:v>
      </x:c>
      <x:c r="D231" t="s">
        <x:v>232</x:v>
      </x:c>
      <x:c r="E231" t="s">
        <x:v>258</x:v>
      </x:c>
      <x:c r="F231" t="s">
        <x:v>331</x:v>
      </x:c>
      <x:c r="G231" t="s">
        <x:v>319</x:v>
      </x:c>
      <x:c r="H231" t="s">
        <x:v>319</x:v>
      </x:c>
      <x:c r="I231" t="s">
        <x:v>319</x:v>
      </x:c>
      <x:c r="J231" t="s">
        <x:v>320</x:v>
      </x:c>
      <x:c r="K231" t="s">
        <x:v>150</x:v>
      </x:c>
      <x:c r="L231" t="s">
        <x:v>770</x:v>
      </x:c>
      <x:c r="M231" t="s">
        <x:v>319</x:v>
      </x:c>
      <x:c r="N231" t="s">
        <x:v>319</x:v>
      </x:c>
      <x:c r="O231" t="s">
        <x:v>770</x:v>
      </x:c>
      <x:c r="P231" t="s">
        <x:v>151</x:v>
      </x:c>
      <x:c r="Q231" t="s">
        <x:v>151</x:v>
      </x:c>
      <x:c r="R231" t="s">
        <x:v>151</x:v>
      </x:c>
      <x:c r="S231" t="s">
        <x:v>152</x:v>
      </x:c>
      <x:c r="T231" t="s">
        <x:v>322</x:v>
      </x:c>
      <x:c r="U231" t="n">
        <x:f>IFERROR(O231*P231*Q231/R231*(1+S231)*T231,"")</x:f>
        <x:v>0.5205479452054794</x:v>
      </x:c>
      <x:c r="V231" t="s">
        <x:v>333</x:v>
      </x:c>
      <x:c r="W231" s="39">
        <x:v>46236.78357621528</x:v>
      </x:c>
      <x:c r="Y231" t="s">
        <x:v>224</x:v>
      </x:c>
      <x:c r="Z231" t="s">
        <x:v>202</x:v>
      </x:c>
      <x:c r="AA231" t="s">
        <x:v>771</x:v>
      </x:c>
      <x:c r="AB231" t="str">
        <x:f>IF(A231="","",IF(COUNTIF($A$5:$A$1004,A231)&gt;1,"错误:重复成本规则ID",IF(OR(B231="",C231="",D231="",E231="",F231="",K231="",O231&lt;=0,P231&lt;=0,Q231&lt;=0,R231&lt;=0,S231&lt;0,T231&lt;=0,Y231="",Z231=""),"错误:必填项","OK")))</x:f>
        <x:v>OK</x:v>
      </x:c>
    </x:row>
    <x:row r="232">
      <x:c r="A232" t="s">
        <x:v>772</x:v>
      </x:c>
      <x:c r="B232" t="s">
        <x:v>199</x:v>
      </x:c>
      <x:c r="C232" t="s">
        <x:v>769</x:v>
      </x:c>
      <x:c r="D232" t="s">
        <x:v>232</x:v>
      </x:c>
      <x:c r="E232" t="s">
        <x:v>264</x:v>
      </x:c>
      <x:c r="F232" t="s">
        <x:v>331</x:v>
      </x:c>
      <x:c r="G232" t="s">
        <x:v>319</x:v>
      </x:c>
      <x:c r="H232" t="s">
        <x:v>319</x:v>
      </x:c>
      <x:c r="I232" t="s">
        <x:v>319</x:v>
      </x:c>
      <x:c r="J232" t="s">
        <x:v>320</x:v>
      </x:c>
      <x:c r="K232" t="s">
        <x:v>150</x:v>
      </x:c>
      <x:c r="L232" t="s">
        <x:v>770</x:v>
      </x:c>
      <x:c r="M232" t="s">
        <x:v>319</x:v>
      </x:c>
      <x:c r="N232" t="s">
        <x:v>319</x:v>
      </x:c>
      <x:c r="O232" t="s">
        <x:v>770</x:v>
      </x:c>
      <x:c r="P232" t="s">
        <x:v>151</x:v>
      </x:c>
      <x:c r="Q232" t="s">
        <x:v>151</x:v>
      </x:c>
      <x:c r="R232" t="s">
        <x:v>151</x:v>
      </x:c>
      <x:c r="S232" t="s">
        <x:v>152</x:v>
      </x:c>
      <x:c r="T232" t="s">
        <x:v>322</x:v>
      </x:c>
      <x:c r="U232" t="n">
        <x:f>IFERROR(O232*P232*Q232/R232*(1+S232)*T232,"")</x:f>
        <x:v>0.5205479452054794</x:v>
      </x:c>
      <x:c r="V232" t="s">
        <x:v>333</x:v>
      </x:c>
      <x:c r="W232" s="39">
        <x:v>46236.78357621528</x:v>
      </x:c>
      <x:c r="Y232" t="s">
        <x:v>224</x:v>
      </x:c>
      <x:c r="Z232" t="s">
        <x:v>202</x:v>
      </x:c>
      <x:c r="AA232" t="s">
        <x:v>771</x:v>
      </x:c>
      <x:c r="AB232" t="str">
        <x:f>IF(A232="","",IF(COUNTIF($A$5:$A$1004,A232)&gt;1,"错误:重复成本规则ID",IF(OR(B232="",C232="",D232="",E232="",F232="",K232="",O232&lt;=0,P232&lt;=0,Q232&lt;=0,R232&lt;=0,S232&lt;0,T232&lt;=0,Y232="",Z232=""),"错误:必填项","OK")))</x:f>
        <x:v>OK</x:v>
      </x:c>
    </x:row>
    <x:row r="233">
      <x:c r="A233" t="s">
        <x:v>773</x:v>
      </x:c>
      <x:c r="B233" t="s">
        <x:v>199</x:v>
      </x:c>
      <x:c r="C233" t="s">
        <x:v>774</x:v>
      </x:c>
      <x:c r="D233" t="s">
        <x:v>232</x:v>
      </x:c>
      <x:c r="E233" t="s">
        <x:v>258</x:v>
      </x:c>
      <x:c r="F233" t="s">
        <x:v>318</x:v>
      </x:c>
      <x:c r="G233" t="s">
        <x:v>319</x:v>
      </x:c>
      <x:c r="H233" t="s">
        <x:v>319</x:v>
      </x:c>
      <x:c r="I233" t="s">
        <x:v>319</x:v>
      </x:c>
      <x:c r="J233" t="s">
        <x:v>320</x:v>
      </x:c>
      <x:c r="K233" t="s">
        <x:v>150</x:v>
      </x:c>
      <x:c r="L233" t="s">
        <x:v>319</x:v>
      </x:c>
      <x:c r="M233" t="s">
        <x:v>321</x:v>
      </x:c>
      <x:c r="N233" t="s">
        <x:v>319</x:v>
      </x:c>
      <x:c r="O233" t="s">
        <x:v>321</x:v>
      </x:c>
      <x:c r="P233" t="s">
        <x:v>151</x:v>
      </x:c>
      <x:c r="Q233" t="s">
        <x:v>151</x:v>
      </x:c>
      <x:c r="R233" t="s">
        <x:v>151</x:v>
      </x:c>
      <x:c r="S233" t="s">
        <x:v>152</x:v>
      </x:c>
      <x:c r="T233" t="s">
        <x:v>322</x:v>
      </x:c>
      <x:c r="U233" t="n">
        <x:f>IFERROR(O233*P233*Q233/R233*(1+S233)*T233,"")</x:f>
        <x:v>0.02054794520547945</x:v>
      </x:c>
      <x:c r="V233" t="s">
        <x:v>323</x:v>
      </x:c>
      <x:c r="W233" s="39">
        <x:v>46236.78357621528</x:v>
      </x:c>
      <x:c r="Y233" t="s">
        <x:v>224</x:v>
      </x:c>
      <x:c r="Z233" t="s">
        <x:v>202</x:v>
      </x:c>
      <x:c r="AA233" t="s">
        <x:v>775</x:v>
      </x:c>
      <x:c r="AB233" t="str">
        <x:f>IF(A233="","",IF(COUNTIF($A$5:$A$1004,A233)&gt;1,"错误:重复成本规则ID",IF(OR(B233="",C233="",D233="",E233="",F233="",K233="",O233&lt;=0,P233&lt;=0,Q233&lt;=0,R233&lt;=0,S233&lt;0,T233&lt;=0,Y233="",Z233=""),"错误:必填项","OK")))</x:f>
        <x:v>OK</x:v>
      </x:c>
    </x:row>
    <x:row r="234">
      <x:c r="A234" t="s">
        <x:v>776</x:v>
      </x:c>
      <x:c r="B234" t="s">
        <x:v>199</x:v>
      </x:c>
      <x:c r="C234" t="s">
        <x:v>774</x:v>
      </x:c>
      <x:c r="D234" t="s">
        <x:v>232</x:v>
      </x:c>
      <x:c r="E234" t="s">
        <x:v>264</x:v>
      </x:c>
      <x:c r="F234" t="s">
        <x:v>318</x:v>
      </x:c>
      <x:c r="G234" t="s">
        <x:v>319</x:v>
      </x:c>
      <x:c r="H234" t="s">
        <x:v>319</x:v>
      </x:c>
      <x:c r="I234" t="s">
        <x:v>319</x:v>
      </x:c>
      <x:c r="J234" t="s">
        <x:v>320</x:v>
      </x:c>
      <x:c r="K234" t="s">
        <x:v>150</x:v>
      </x:c>
      <x:c r="L234" t="s">
        <x:v>319</x:v>
      </x:c>
      <x:c r="M234" t="s">
        <x:v>321</x:v>
      </x:c>
      <x:c r="N234" t="s">
        <x:v>319</x:v>
      </x:c>
      <x:c r="O234" t="s">
        <x:v>321</x:v>
      </x:c>
      <x:c r="P234" t="s">
        <x:v>151</x:v>
      </x:c>
      <x:c r="Q234" t="s">
        <x:v>151</x:v>
      </x:c>
      <x:c r="R234" t="s">
        <x:v>151</x:v>
      </x:c>
      <x:c r="S234" t="s">
        <x:v>152</x:v>
      </x:c>
      <x:c r="T234" t="s">
        <x:v>322</x:v>
      </x:c>
      <x:c r="U234" t="n">
        <x:f>IFERROR(O234*P234*Q234/R234*(1+S234)*T234,"")</x:f>
        <x:v>0.02054794520547945</x:v>
      </x:c>
      <x:c r="V234" t="s">
        <x:v>323</x:v>
      </x:c>
      <x:c r="W234" s="39">
        <x:v>46236.78357621528</x:v>
      </x:c>
      <x:c r="Y234" t="s">
        <x:v>224</x:v>
      </x:c>
      <x:c r="Z234" t="s">
        <x:v>202</x:v>
      </x:c>
      <x:c r="AA234" t="s">
        <x:v>775</x:v>
      </x:c>
      <x:c r="AB234" t="str">
        <x:f>IF(A234="","",IF(COUNTIF($A$5:$A$1004,A234)&gt;1,"错误:重复成本规则ID",IF(OR(B234="",C234="",D234="",E234="",F234="",K234="",O234&lt;=0,P234&lt;=0,Q234&lt;=0,R234&lt;=0,S234&lt;0,T234&lt;=0,Y234="",Z234=""),"错误:必填项","OK")))</x:f>
        <x:v>OK</x:v>
      </x:c>
    </x:row>
    <x:row r="235">
      <x:c r="A235" t="s">
        <x:v>777</x:v>
      </x:c>
      <x:c r="B235" t="s">
        <x:v>199</x:v>
      </x:c>
      <x:c r="C235" t="s">
        <x:v>778</x:v>
      </x:c>
      <x:c r="D235" t="s">
        <x:v>232</x:v>
      </x:c>
      <x:c r="E235" t="s">
        <x:v>258</x:v>
      </x:c>
      <x:c r="F235" t="s">
        <x:v>318</x:v>
      </x:c>
      <x:c r="G235" t="s">
        <x:v>319</x:v>
      </x:c>
      <x:c r="H235" t="s">
        <x:v>319</x:v>
      </x:c>
      <x:c r="I235" t="s">
        <x:v>319</x:v>
      </x:c>
      <x:c r="J235" t="s">
        <x:v>320</x:v>
      </x:c>
      <x:c r="K235" t="s">
        <x:v>150</x:v>
      </x:c>
      <x:c r="L235" t="s">
        <x:v>319</x:v>
      </x:c>
      <x:c r="M235" t="s">
        <x:v>779</x:v>
      </x:c>
      <x:c r="N235" t="s">
        <x:v>319</x:v>
      </x:c>
      <x:c r="O235" t="s">
        <x:v>779</x:v>
      </x:c>
      <x:c r="P235" t="s">
        <x:v>151</x:v>
      </x:c>
      <x:c r="Q235" t="s">
        <x:v>151</x:v>
      </x:c>
      <x:c r="R235" t="s">
        <x:v>151</x:v>
      </x:c>
      <x:c r="S235" t="s">
        <x:v>152</x:v>
      </x:c>
      <x:c r="T235" t="s">
        <x:v>322</x:v>
      </x:c>
      <x:c r="U235" t="n">
        <x:f>IFERROR(O235*P235*Q235/R235*(1+S235)*T235,"")</x:f>
        <x:v>0.01643835616438356</x:v>
      </x:c>
      <x:c r="V235" t="s">
        <x:v>323</x:v>
      </x:c>
      <x:c r="W235" s="39">
        <x:v>46236.78357621528</x:v>
      </x:c>
      <x:c r="Y235" t="s">
        <x:v>224</x:v>
      </x:c>
      <x:c r="Z235" t="s">
        <x:v>202</x:v>
      </x:c>
      <x:c r="AA235" t="s">
        <x:v>780</x:v>
      </x:c>
      <x:c r="AB235" t="str">
        <x:f>IF(A235="","",IF(COUNTIF($A$5:$A$1004,A235)&gt;1,"错误:重复成本规则ID",IF(OR(B235="",C235="",D235="",E235="",F235="",K235="",O235&lt;=0,P235&lt;=0,Q235&lt;=0,R235&lt;=0,S235&lt;0,T235&lt;=0,Y235="",Z235=""),"错误:必填项","OK")))</x:f>
        <x:v>OK</x:v>
      </x:c>
    </x:row>
    <x:row r="236">
      <x:c r="A236" t="s">
        <x:v>781</x:v>
      </x:c>
      <x:c r="B236" t="s">
        <x:v>199</x:v>
      </x:c>
      <x:c r="C236" t="s">
        <x:v>778</x:v>
      </x:c>
      <x:c r="D236" t="s">
        <x:v>232</x:v>
      </x:c>
      <x:c r="E236" t="s">
        <x:v>264</x:v>
      </x:c>
      <x:c r="F236" t="s">
        <x:v>318</x:v>
      </x:c>
      <x:c r="G236" t="s">
        <x:v>319</x:v>
      </x:c>
      <x:c r="H236" t="s">
        <x:v>319</x:v>
      </x:c>
      <x:c r="I236" t="s">
        <x:v>319</x:v>
      </x:c>
      <x:c r="J236" t="s">
        <x:v>320</x:v>
      </x:c>
      <x:c r="K236" t="s">
        <x:v>150</x:v>
      </x:c>
      <x:c r="L236" t="s">
        <x:v>319</x:v>
      </x:c>
      <x:c r="M236" t="s">
        <x:v>779</x:v>
      </x:c>
      <x:c r="N236" t="s">
        <x:v>319</x:v>
      </x:c>
      <x:c r="O236" t="s">
        <x:v>779</x:v>
      </x:c>
      <x:c r="P236" t="s">
        <x:v>151</x:v>
      </x:c>
      <x:c r="Q236" t="s">
        <x:v>151</x:v>
      </x:c>
      <x:c r="R236" t="s">
        <x:v>151</x:v>
      </x:c>
      <x:c r="S236" t="s">
        <x:v>152</x:v>
      </x:c>
      <x:c r="T236" t="s">
        <x:v>322</x:v>
      </x:c>
      <x:c r="U236" t="n">
        <x:f>IFERROR(O236*P236*Q236/R236*(1+S236)*T236,"")</x:f>
        <x:v>0.01643835616438356</x:v>
      </x:c>
      <x:c r="V236" t="s">
        <x:v>323</x:v>
      </x:c>
      <x:c r="W236" s="39">
        <x:v>46236.78357621528</x:v>
      </x:c>
      <x:c r="Y236" t="s">
        <x:v>224</x:v>
      </x:c>
      <x:c r="Z236" t="s">
        <x:v>202</x:v>
      </x:c>
      <x:c r="AA236" t="s">
        <x:v>780</x:v>
      </x:c>
      <x:c r="AB236" t="str">
        <x:f>IF(A236="","",IF(COUNTIF($A$5:$A$1004,A236)&gt;1,"错误:重复成本规则ID",IF(OR(B236="",C236="",D236="",E236="",F236="",K236="",O236&lt;=0,P236&lt;=0,Q236&lt;=0,R236&lt;=0,S236&lt;0,T236&lt;=0,Y236="",Z236=""),"错误:必填项","OK")))</x:f>
        <x:v>OK</x:v>
      </x:c>
    </x:row>
    <x:row r="237">
      <x:c r="A237" t="s">
        <x:v>782</x:v>
      </x:c>
      <x:c r="B237" t="s">
        <x:v>199</x:v>
      </x:c>
      <x:c r="C237" t="s">
        <x:v>783</x:v>
      </x:c>
      <x:c r="D237" t="s">
        <x:v>232</x:v>
      </x:c>
      <x:c r="E237" t="s">
        <x:v>258</x:v>
      </x:c>
      <x:c r="F237" t="s">
        <x:v>318</x:v>
      </x:c>
      <x:c r="G237" t="s">
        <x:v>319</x:v>
      </x:c>
      <x:c r="H237" t="s">
        <x:v>319</x:v>
      </x:c>
      <x:c r="I237" t="s">
        <x:v>319</x:v>
      </x:c>
      <x:c r="J237" t="s">
        <x:v>320</x:v>
      </x:c>
      <x:c r="K237" t="s">
        <x:v>150</x:v>
      </x:c>
      <x:c r="L237" t="s">
        <x:v>319</x:v>
      </x:c>
      <x:c r="M237" t="s">
        <x:v>784</x:v>
      </x:c>
      <x:c r="N237" t="s">
        <x:v>319</x:v>
      </x:c>
      <x:c r="O237" t="s">
        <x:v>784</x:v>
      </x:c>
      <x:c r="P237" t="s">
        <x:v>151</x:v>
      </x:c>
      <x:c r="Q237" t="s">
        <x:v>151</x:v>
      </x:c>
      <x:c r="R237" t="s">
        <x:v>151</x:v>
      </x:c>
      <x:c r="S237" t="s">
        <x:v>152</x:v>
      </x:c>
      <x:c r="T237" t="s">
        <x:v>322</x:v>
      </x:c>
      <x:c r="U237" t="n">
        <x:f>IFERROR(O237*P237*Q237/R237*(1+S237)*T237,"")</x:f>
        <x:v>0.03013698630136986</x:v>
      </x:c>
      <x:c r="V237" t="s">
        <x:v>323</x:v>
      </x:c>
      <x:c r="W237" s="39">
        <x:v>46236.78357621528</x:v>
      </x:c>
      <x:c r="Y237" t="s">
        <x:v>224</x:v>
      </x:c>
      <x:c r="Z237" t="s">
        <x:v>202</x:v>
      </x:c>
      <x:c r="AA237" t="s">
        <x:v>785</x:v>
      </x:c>
      <x:c r="AB237" t="str">
        <x:f>IF(A237="","",IF(COUNTIF($A$5:$A$1004,A237)&gt;1,"错误:重复成本规则ID",IF(OR(B237="",C237="",D237="",E237="",F237="",K237="",O237&lt;=0,P237&lt;=0,Q237&lt;=0,R237&lt;=0,S237&lt;0,T237&lt;=0,Y237="",Z237=""),"错误:必填项","OK")))</x:f>
        <x:v>OK</x:v>
      </x:c>
    </x:row>
    <x:row r="238">
      <x:c r="A238" t="s">
        <x:v>786</x:v>
      </x:c>
      <x:c r="B238" t="s">
        <x:v>199</x:v>
      </x:c>
      <x:c r="C238" t="s">
        <x:v>783</x:v>
      </x:c>
      <x:c r="D238" t="s">
        <x:v>232</x:v>
      </x:c>
      <x:c r="E238" t="s">
        <x:v>264</x:v>
      </x:c>
      <x:c r="F238" t="s">
        <x:v>318</x:v>
      </x:c>
      <x:c r="G238" t="s">
        <x:v>319</x:v>
      </x:c>
      <x:c r="H238" t="s">
        <x:v>319</x:v>
      </x:c>
      <x:c r="I238" t="s">
        <x:v>319</x:v>
      </x:c>
      <x:c r="J238" t="s">
        <x:v>320</x:v>
      </x:c>
      <x:c r="K238" t="s">
        <x:v>150</x:v>
      </x:c>
      <x:c r="L238" t="s">
        <x:v>319</x:v>
      </x:c>
      <x:c r="M238" t="s">
        <x:v>784</x:v>
      </x:c>
      <x:c r="N238" t="s">
        <x:v>319</x:v>
      </x:c>
      <x:c r="O238" t="s">
        <x:v>784</x:v>
      </x:c>
      <x:c r="P238" t="s">
        <x:v>151</x:v>
      </x:c>
      <x:c r="Q238" t="s">
        <x:v>151</x:v>
      </x:c>
      <x:c r="R238" t="s">
        <x:v>151</x:v>
      </x:c>
      <x:c r="S238" t="s">
        <x:v>152</x:v>
      </x:c>
      <x:c r="T238" t="s">
        <x:v>322</x:v>
      </x:c>
      <x:c r="U238" t="n">
        <x:f>IFERROR(O238*P238*Q238/R238*(1+S238)*T238,"")</x:f>
        <x:v>0.03013698630136986</x:v>
      </x:c>
      <x:c r="V238" t="s">
        <x:v>323</x:v>
      </x:c>
      <x:c r="W238" s="39">
        <x:v>46236.78357621528</x:v>
      </x:c>
      <x:c r="Y238" t="s">
        <x:v>224</x:v>
      </x:c>
      <x:c r="Z238" t="s">
        <x:v>202</x:v>
      </x:c>
      <x:c r="AA238" t="s">
        <x:v>785</x:v>
      </x:c>
      <x:c r="AB238" t="str">
        <x:f>IF(A238="","",IF(COUNTIF($A$5:$A$1004,A238)&gt;1,"错误:重复成本规则ID",IF(OR(B238="",C238="",D238="",E238="",F238="",K238="",O238&lt;=0,P238&lt;=0,Q238&lt;=0,R238&lt;=0,S238&lt;0,T238&lt;=0,Y238="",Z238=""),"错误:必填项","OK")))</x:f>
        <x:v>OK</x:v>
      </x:c>
    </x:row>
    <x:row r="239">
      <x:c r="A239" t="s">
        <x:v>787</x:v>
      </x:c>
      <x:c r="B239" t="s">
        <x:v>157</x:v>
      </x:c>
      <x:c r="C239" t="s">
        <x:v>788</x:v>
      </x:c>
      <x:c r="D239" t="s">
        <x:v>232</x:v>
      </x:c>
      <x:c r="E239" t="s">
        <x:v>258</x:v>
      </x:c>
      <x:c r="F239" t="s">
        <x:v>331</x:v>
      </x:c>
      <x:c r="G239" t="s">
        <x:v>319</x:v>
      </x:c>
      <x:c r="H239" t="s">
        <x:v>319</x:v>
      </x:c>
      <x:c r="I239" t="s">
        <x:v>319</x:v>
      </x:c>
      <x:c r="J239" t="s">
        <x:v>320</x:v>
      </x:c>
      <x:c r="K239" t="s">
        <x:v>150</x:v>
      </x:c>
      <x:c r="L239" t="s">
        <x:v>789</x:v>
      </x:c>
      <x:c r="M239" t="s">
        <x:v>319</x:v>
      </x:c>
      <x:c r="N239" t="s">
        <x:v>319</x:v>
      </x:c>
      <x:c r="O239" t="s">
        <x:v>789</x:v>
      </x:c>
      <x:c r="P239" t="s">
        <x:v>151</x:v>
      </x:c>
      <x:c r="Q239" t="s">
        <x:v>151</x:v>
      </x:c>
      <x:c r="R239" t="s">
        <x:v>151</x:v>
      </x:c>
      <x:c r="S239" t="s">
        <x:v>152</x:v>
      </x:c>
      <x:c r="T239" t="s">
        <x:v>322</x:v>
      </x:c>
      <x:c r="U239" t="n">
        <x:f>IFERROR(O239*P239*Q239/R239*(1+S239)*T239,"")</x:f>
        <x:v>0.3150684931506849</x:v>
      </x:c>
      <x:c r="V239" t="s">
        <x:v>333</x:v>
      </x:c>
      <x:c r="W239" s="39">
        <x:v>46236.78357621528</x:v>
      </x:c>
      <x:c r="Y239" t="s">
        <x:v>224</x:v>
      </x:c>
      <x:c r="Z239" t="s">
        <x:v>160</x:v>
      </x:c>
      <x:c r="AA239" t="s">
        <x:v>790</x:v>
      </x:c>
      <x:c r="AB239" t="str">
        <x:f>IF(A239="","",IF(COUNTIF($A$5:$A$1004,A239)&gt;1,"错误:重复成本规则ID",IF(OR(B239="",C239="",D239="",E239="",F239="",K239="",O239&lt;=0,P239&lt;=0,Q239&lt;=0,R239&lt;=0,S239&lt;0,T239&lt;=0,Y239="",Z239=""),"错误:必填项","OK")))</x:f>
        <x:v>OK</x:v>
      </x:c>
    </x:row>
    <x:row r="240">
      <x:c r="A240" t="s">
        <x:v>791</x:v>
      </x:c>
      <x:c r="B240" t="s">
        <x:v>157</x:v>
      </x:c>
      <x:c r="C240" t="s">
        <x:v>788</x:v>
      </x:c>
      <x:c r="D240" t="s">
        <x:v>232</x:v>
      </x:c>
      <x:c r="E240" t="s">
        <x:v>264</x:v>
      </x:c>
      <x:c r="F240" t="s">
        <x:v>331</x:v>
      </x:c>
      <x:c r="G240" t="s">
        <x:v>319</x:v>
      </x:c>
      <x:c r="H240" t="s">
        <x:v>319</x:v>
      </x:c>
      <x:c r="I240" t="s">
        <x:v>319</x:v>
      </x:c>
      <x:c r="J240" t="s">
        <x:v>320</x:v>
      </x:c>
      <x:c r="K240" t="s">
        <x:v>150</x:v>
      </x:c>
      <x:c r="L240" t="s">
        <x:v>789</x:v>
      </x:c>
      <x:c r="M240" t="s">
        <x:v>319</x:v>
      </x:c>
      <x:c r="N240" t="s">
        <x:v>319</x:v>
      </x:c>
      <x:c r="O240" t="s">
        <x:v>789</x:v>
      </x:c>
      <x:c r="P240" t="s">
        <x:v>151</x:v>
      </x:c>
      <x:c r="Q240" t="s">
        <x:v>151</x:v>
      </x:c>
      <x:c r="R240" t="s">
        <x:v>151</x:v>
      </x:c>
      <x:c r="S240" t="s">
        <x:v>152</x:v>
      </x:c>
      <x:c r="T240" t="s">
        <x:v>322</x:v>
      </x:c>
      <x:c r="U240" t="n">
        <x:f>IFERROR(O240*P240*Q240/R240*(1+S240)*T240,"")</x:f>
        <x:v>0.3150684931506849</x:v>
      </x:c>
      <x:c r="V240" t="s">
        <x:v>333</x:v>
      </x:c>
      <x:c r="W240" s="39">
        <x:v>46236.78357621528</x:v>
      </x:c>
      <x:c r="Y240" t="s">
        <x:v>224</x:v>
      </x:c>
      <x:c r="Z240" t="s">
        <x:v>160</x:v>
      </x:c>
      <x:c r="AA240" t="s">
        <x:v>790</x:v>
      </x:c>
      <x:c r="AB240" t="str">
        <x:f>IF(A240="","",IF(COUNTIF($A$5:$A$1004,A240)&gt;1,"错误:重复成本规则ID",IF(OR(B240="",C240="",D240="",E240="",F240="",K240="",O240&lt;=0,P240&lt;=0,Q240&lt;=0,R240&lt;=0,S240&lt;0,T240&lt;=0,Y240="",Z240=""),"错误:必填项","OK")))</x:f>
        <x:v>OK</x:v>
      </x:c>
    </x:row>
    <x:row r="241">
      <x:c r="A241" t="s">
        <x:v>792</x:v>
      </x:c>
      <x:c r="B241" t="s">
        <x:v>157</x:v>
      </x:c>
      <x:c r="C241" t="s">
        <x:v>793</x:v>
      </x:c>
      <x:c r="D241" t="s">
        <x:v>238</x:v>
      </x:c>
      <x:c r="E241" t="s">
        <x:v>258</x:v>
      </x:c>
      <x:c r="F241" t="s">
        <x:v>331</x:v>
      </x:c>
      <x:c r="G241" t="s">
        <x:v>319</x:v>
      </x:c>
      <x:c r="H241" t="s">
        <x:v>319</x:v>
      </x:c>
      <x:c r="I241" t="s">
        <x:v>319</x:v>
      </x:c>
      <x:c r="J241" t="s">
        <x:v>320</x:v>
      </x:c>
      <x:c r="K241" t="s">
        <x:v>150</x:v>
      </x:c>
      <x:c r="L241" t="s">
        <x:v>794</x:v>
      </x:c>
      <x:c r="M241" t="s">
        <x:v>319</x:v>
      </x:c>
      <x:c r="N241" t="s">
        <x:v>319</x:v>
      </x:c>
      <x:c r="O241" t="s">
        <x:v>794</x:v>
      </x:c>
      <x:c r="P241" t="s">
        <x:v>151</x:v>
      </x:c>
      <x:c r="Q241" t="s">
        <x:v>151</x:v>
      </x:c>
      <x:c r="R241" t="s">
        <x:v>151</x:v>
      </x:c>
      <x:c r="S241" t="s">
        <x:v>152</x:v>
      </x:c>
      <x:c r="T241" t="s">
        <x:v>322</x:v>
      </x:c>
      <x:c r="U241" t="n">
        <x:f>IFERROR(O241*P241*Q241/R241*(1+S241)*T241,"")</x:f>
        <x:v>0.273972602739726</x:v>
      </x:c>
      <x:c r="V241" t="s">
        <x:v>333</x:v>
      </x:c>
      <x:c r="W241" s="39">
        <x:v>46236.78357621528</x:v>
      </x:c>
      <x:c r="Y241" t="s">
        <x:v>224</x:v>
      </x:c>
      <x:c r="Z241" t="s">
        <x:v>160</x:v>
      </x:c>
      <x:c r="AA241" t="s">
        <x:v>795</x:v>
      </x:c>
      <x:c r="AB241" t="str">
        <x:f>IF(A241="","",IF(COUNTIF($A$5:$A$1004,A241)&gt;1,"错误:重复成本规则ID",IF(OR(B241="",C241="",D241="",E241="",F241="",K241="",O241&lt;=0,P241&lt;=0,Q241&lt;=0,R241&lt;=0,S241&lt;0,T241&lt;=0,Y241="",Z241=""),"错误:必填项","OK")))</x:f>
        <x:v>OK</x:v>
      </x:c>
    </x:row>
    <x:row r="242">
      <x:c r="A242" t="s">
        <x:v>796</x:v>
      </x:c>
      <x:c r="B242" t="s">
        <x:v>157</x:v>
      </x:c>
      <x:c r="C242" t="s">
        <x:v>793</x:v>
      </x:c>
      <x:c r="D242" t="s">
        <x:v>238</x:v>
      </x:c>
      <x:c r="E242" t="s">
        <x:v>264</x:v>
      </x:c>
      <x:c r="F242" t="s">
        <x:v>331</x:v>
      </x:c>
      <x:c r="G242" t="s">
        <x:v>319</x:v>
      </x:c>
      <x:c r="H242" t="s">
        <x:v>319</x:v>
      </x:c>
      <x:c r="I242" t="s">
        <x:v>319</x:v>
      </x:c>
      <x:c r="J242" t="s">
        <x:v>320</x:v>
      </x:c>
      <x:c r="K242" t="s">
        <x:v>150</x:v>
      </x:c>
      <x:c r="L242" t="s">
        <x:v>794</x:v>
      </x:c>
      <x:c r="M242" t="s">
        <x:v>319</x:v>
      </x:c>
      <x:c r="N242" t="s">
        <x:v>319</x:v>
      </x:c>
      <x:c r="O242" t="s">
        <x:v>794</x:v>
      </x:c>
      <x:c r="P242" t="s">
        <x:v>151</x:v>
      </x:c>
      <x:c r="Q242" t="s">
        <x:v>151</x:v>
      </x:c>
      <x:c r="R242" t="s">
        <x:v>151</x:v>
      </x:c>
      <x:c r="S242" t="s">
        <x:v>152</x:v>
      </x:c>
      <x:c r="T242" t="s">
        <x:v>322</x:v>
      </x:c>
      <x:c r="U242" t="n">
        <x:f>IFERROR(O242*P242*Q242/R242*(1+S242)*T242,"")</x:f>
        <x:v>0.273972602739726</x:v>
      </x:c>
      <x:c r="V242" t="s">
        <x:v>333</x:v>
      </x:c>
      <x:c r="W242" s="39">
        <x:v>46236.78357621528</x:v>
      </x:c>
      <x:c r="Y242" t="s">
        <x:v>224</x:v>
      </x:c>
      <x:c r="Z242" t="s">
        <x:v>160</x:v>
      </x:c>
      <x:c r="AA242" t="s">
        <x:v>795</x:v>
      </x:c>
      <x:c r="AB242" t="str">
        <x:f>IF(A242="","",IF(COUNTIF($A$5:$A$1004,A242)&gt;1,"错误:重复成本规则ID",IF(OR(B242="",C242="",D242="",E242="",F242="",K242="",O242&lt;=0,P242&lt;=0,Q242&lt;=0,R242&lt;=0,S242&lt;0,T242&lt;=0,Y242="",Z242=""),"错误:必填项","OK")))</x:f>
        <x:v>OK</x:v>
      </x:c>
    </x:row>
    <x:row r="243">
      <x:c r="A243" t="s">
        <x:v>797</x:v>
      </x:c>
      <x:c r="B243" t="s">
        <x:v>157</x:v>
      </x:c>
      <x:c r="C243" t="s">
        <x:v>798</x:v>
      </x:c>
      <x:c r="D243" t="s">
        <x:v>227</x:v>
      </x:c>
      <x:c r="E243" t="s">
        <x:v>258</x:v>
      </x:c>
      <x:c r="F243" t="s">
        <x:v>331</x:v>
      </x:c>
      <x:c r="G243" t="s">
        <x:v>319</x:v>
      </x:c>
      <x:c r="H243" t="s">
        <x:v>319</x:v>
      </x:c>
      <x:c r="I243" t="s">
        <x:v>319</x:v>
      </x:c>
      <x:c r="J243" t="s">
        <x:v>320</x:v>
      </x:c>
      <x:c r="K243" t="s">
        <x:v>150</x:v>
      </x:c>
      <x:c r="L243" t="s">
        <x:v>799</x:v>
      </x:c>
      <x:c r="M243" t="s">
        <x:v>319</x:v>
      </x:c>
      <x:c r="N243" t="s">
        <x:v>319</x:v>
      </x:c>
      <x:c r="O243" t="s">
        <x:v>799</x:v>
      </x:c>
      <x:c r="P243" t="s">
        <x:v>151</x:v>
      </x:c>
      <x:c r="Q243" t="s">
        <x:v>151</x:v>
      </x:c>
      <x:c r="R243" t="s">
        <x:v>151</x:v>
      </x:c>
      <x:c r="S243" t="s">
        <x:v>152</x:v>
      </x:c>
      <x:c r="T243" t="s">
        <x:v>322</x:v>
      </x:c>
      <x:c r="U243" t="n">
        <x:f>IFERROR(O243*P243*Q243/R243*(1+S243)*T243,"")</x:f>
        <x:v>0.6575342465753424</x:v>
      </x:c>
      <x:c r="V243" t="s">
        <x:v>333</x:v>
      </x:c>
      <x:c r="W243" s="39">
        <x:v>46236.78357621528</x:v>
      </x:c>
      <x:c r="Y243" t="s">
        <x:v>224</x:v>
      </x:c>
      <x:c r="Z243" t="s">
        <x:v>160</x:v>
      </x:c>
      <x:c r="AA243" t="s">
        <x:v>800</x:v>
      </x:c>
      <x:c r="AB243" t="str">
        <x:f>IF(A243="","",IF(COUNTIF($A$5:$A$1004,A243)&gt;1,"错误:重复成本规则ID",IF(OR(B243="",C243="",D243="",E243="",F243="",K243="",O243&lt;=0,P243&lt;=0,Q243&lt;=0,R243&lt;=0,S243&lt;0,T243&lt;=0,Y243="",Z243=""),"错误:必填项","OK")))</x:f>
        <x:v>OK</x:v>
      </x:c>
    </x:row>
    <x:row r="244">
      <x:c r="A244" t="s">
        <x:v>801</x:v>
      </x:c>
      <x:c r="B244" t="s">
        <x:v>157</x:v>
      </x:c>
      <x:c r="C244" t="s">
        <x:v>798</x:v>
      </x:c>
      <x:c r="D244" t="s">
        <x:v>227</x:v>
      </x:c>
      <x:c r="E244" t="s">
        <x:v>264</x:v>
      </x:c>
      <x:c r="F244" t="s">
        <x:v>331</x:v>
      </x:c>
      <x:c r="G244" t="s">
        <x:v>319</x:v>
      </x:c>
      <x:c r="H244" t="s">
        <x:v>319</x:v>
      </x:c>
      <x:c r="I244" t="s">
        <x:v>319</x:v>
      </x:c>
      <x:c r="J244" t="s">
        <x:v>320</x:v>
      </x:c>
      <x:c r="K244" t="s">
        <x:v>150</x:v>
      </x:c>
      <x:c r="L244" t="s">
        <x:v>799</x:v>
      </x:c>
      <x:c r="M244" t="s">
        <x:v>319</x:v>
      </x:c>
      <x:c r="N244" t="s">
        <x:v>319</x:v>
      </x:c>
      <x:c r="O244" t="s">
        <x:v>799</x:v>
      </x:c>
      <x:c r="P244" t="s">
        <x:v>151</x:v>
      </x:c>
      <x:c r="Q244" t="s">
        <x:v>151</x:v>
      </x:c>
      <x:c r="R244" t="s">
        <x:v>151</x:v>
      </x:c>
      <x:c r="S244" t="s">
        <x:v>152</x:v>
      </x:c>
      <x:c r="T244" t="s">
        <x:v>322</x:v>
      </x:c>
      <x:c r="U244" t="n">
        <x:f>IFERROR(O244*P244*Q244/R244*(1+S244)*T244,"")</x:f>
        <x:v>0.6575342465753424</x:v>
      </x:c>
      <x:c r="V244" t="s">
        <x:v>333</x:v>
      </x:c>
      <x:c r="W244" s="39">
        <x:v>46236.78357621528</x:v>
      </x:c>
      <x:c r="Y244" t="s">
        <x:v>224</x:v>
      </x:c>
      <x:c r="Z244" t="s">
        <x:v>160</x:v>
      </x:c>
      <x:c r="AA244" t="s">
        <x:v>800</x:v>
      </x:c>
      <x:c r="AB244" t="str">
        <x:f>IF(A244="","",IF(COUNTIF($A$5:$A$1004,A244)&gt;1,"错误:重复成本规则ID",IF(OR(B244="",C244="",D244="",E244="",F244="",K244="",O244&lt;=0,P244&lt;=0,Q244&lt;=0,R244&lt;=0,S244&lt;0,T244&lt;=0,Y244="",Z244=""),"错误:必填项","OK")))</x:f>
        <x:v>OK</x:v>
      </x:c>
    </x:row>
    <x:row r="245">
      <x:c r="A245" t="s">
        <x:v>802</x:v>
      </x:c>
      <x:c r="B245" t="s">
        <x:v>157</x:v>
      </x:c>
      <x:c r="C245" t="s">
        <x:v>798</x:v>
      </x:c>
      <x:c r="D245" t="s">
        <x:v>232</x:v>
      </x:c>
      <x:c r="E245" t="s">
        <x:v>258</x:v>
      </x:c>
      <x:c r="F245" t="s">
        <x:v>331</x:v>
      </x:c>
      <x:c r="G245" t="s">
        <x:v>319</x:v>
      </x:c>
      <x:c r="H245" t="s">
        <x:v>319</x:v>
      </x:c>
      <x:c r="I245" t="s">
        <x:v>319</x:v>
      </x:c>
      <x:c r="J245" t="s">
        <x:v>320</x:v>
      </x:c>
      <x:c r="K245" t="s">
        <x:v>150</x:v>
      </x:c>
      <x:c r="L245" t="s">
        <x:v>803</x:v>
      </x:c>
      <x:c r="M245" t="s">
        <x:v>319</x:v>
      </x:c>
      <x:c r="N245" t="s">
        <x:v>319</x:v>
      </x:c>
      <x:c r="O245" t="s">
        <x:v>803</x:v>
      </x:c>
      <x:c r="P245" t="s">
        <x:v>151</x:v>
      </x:c>
      <x:c r="Q245" t="s">
        <x:v>151</x:v>
      </x:c>
      <x:c r="R245" t="s">
        <x:v>151</x:v>
      </x:c>
      <x:c r="S245" t="s">
        <x:v>152</x:v>
      </x:c>
      <x:c r="T245" t="s">
        <x:v>322</x:v>
      </x:c>
      <x:c r="U245" t="n">
        <x:f>IFERROR(O245*P245*Q245/R245*(1+S245)*T245,"")</x:f>
        <x:v>0.7945205479452054</x:v>
      </x:c>
      <x:c r="V245" t="s">
        <x:v>333</x:v>
      </x:c>
      <x:c r="W245" s="39">
        <x:v>46236.78357621528</x:v>
      </x:c>
      <x:c r="Y245" t="s">
        <x:v>224</x:v>
      </x:c>
      <x:c r="Z245" t="s">
        <x:v>160</x:v>
      </x:c>
      <x:c r="AA245" t="s">
        <x:v>800</x:v>
      </x:c>
      <x:c r="AB245" t="str">
        <x:f>IF(A245="","",IF(COUNTIF($A$5:$A$1004,A245)&gt;1,"错误:重复成本规则ID",IF(OR(B245="",C245="",D245="",E245="",F245="",K245="",O245&lt;=0,P245&lt;=0,Q245&lt;=0,R245&lt;=0,S245&lt;0,T245&lt;=0,Y245="",Z245=""),"错误:必填项","OK")))</x:f>
        <x:v>OK</x:v>
      </x:c>
    </x:row>
    <x:row r="246">
      <x:c r="A246" t="s">
        <x:v>804</x:v>
      </x:c>
      <x:c r="B246" t="s">
        <x:v>157</x:v>
      </x:c>
      <x:c r="C246" t="s">
        <x:v>798</x:v>
      </x:c>
      <x:c r="D246" t="s">
        <x:v>232</x:v>
      </x:c>
      <x:c r="E246" t="s">
        <x:v>264</x:v>
      </x:c>
      <x:c r="F246" t="s">
        <x:v>331</x:v>
      </x:c>
      <x:c r="G246" t="s">
        <x:v>319</x:v>
      </x:c>
      <x:c r="H246" t="s">
        <x:v>319</x:v>
      </x:c>
      <x:c r="I246" t="s">
        <x:v>319</x:v>
      </x:c>
      <x:c r="J246" t="s">
        <x:v>320</x:v>
      </x:c>
      <x:c r="K246" t="s">
        <x:v>150</x:v>
      </x:c>
      <x:c r="L246" t="s">
        <x:v>803</x:v>
      </x:c>
      <x:c r="M246" t="s">
        <x:v>319</x:v>
      </x:c>
      <x:c r="N246" t="s">
        <x:v>319</x:v>
      </x:c>
      <x:c r="O246" t="s">
        <x:v>803</x:v>
      </x:c>
      <x:c r="P246" t="s">
        <x:v>151</x:v>
      </x:c>
      <x:c r="Q246" t="s">
        <x:v>151</x:v>
      </x:c>
      <x:c r="R246" t="s">
        <x:v>151</x:v>
      </x:c>
      <x:c r="S246" t="s">
        <x:v>152</x:v>
      </x:c>
      <x:c r="T246" t="s">
        <x:v>322</x:v>
      </x:c>
      <x:c r="U246" t="n">
        <x:f>IFERROR(O246*P246*Q246/R246*(1+S246)*T246,"")</x:f>
        <x:v>0.7945205479452054</x:v>
      </x:c>
      <x:c r="V246" t="s">
        <x:v>333</x:v>
      </x:c>
      <x:c r="W246" s="39">
        <x:v>46236.78357621528</x:v>
      </x:c>
      <x:c r="Y246" t="s">
        <x:v>224</x:v>
      </x:c>
      <x:c r="Z246" t="s">
        <x:v>160</x:v>
      </x:c>
      <x:c r="AA246" t="s">
        <x:v>800</x:v>
      </x:c>
      <x:c r="AB246" t="str">
        <x:f>IF(A246="","",IF(COUNTIF($A$5:$A$1004,A246)&gt;1,"错误:重复成本规则ID",IF(OR(B246="",C246="",D246="",E246="",F246="",K246="",O246&lt;=0,P246&lt;=0,Q246&lt;=0,R246&lt;=0,S246&lt;0,T246&lt;=0,Y246="",Z246=""),"错误:必填项","OK")))</x:f>
        <x:v>OK</x:v>
      </x:c>
    </x:row>
    <x:row r="247">
      <x:c r="A247" t="s">
        <x:v>805</x:v>
      </x:c>
      <x:c r="B247" t="s">
        <x:v>157</x:v>
      </x:c>
      <x:c r="C247" t="s">
        <x:v>798</x:v>
      </x:c>
      <x:c r="D247" t="s">
        <x:v>217</x:v>
      </x:c>
      <x:c r="E247" t="s">
        <x:v>258</x:v>
      </x:c>
      <x:c r="F247" t="s">
        <x:v>318</x:v>
      </x:c>
      <x:c r="G247" t="s">
        <x:v>319</x:v>
      </x:c>
      <x:c r="H247" t="s">
        <x:v>319</x:v>
      </x:c>
      <x:c r="I247" t="s">
        <x:v>319</x:v>
      </x:c>
      <x:c r="J247" t="s">
        <x:v>320</x:v>
      </x:c>
      <x:c r="K247" t="s">
        <x:v>150</x:v>
      </x:c>
      <x:c r="L247" t="s">
        <x:v>319</x:v>
      </x:c>
      <x:c r="M247" t="s">
        <x:v>383</x:v>
      </x:c>
      <x:c r="N247" t="s">
        <x:v>319</x:v>
      </x:c>
      <x:c r="O247" t="s">
        <x:v>383</x:v>
      </x:c>
      <x:c r="P247" t="s">
        <x:v>151</x:v>
      </x:c>
      <x:c r="Q247" t="s">
        <x:v>151</x:v>
      </x:c>
      <x:c r="R247" t="s">
        <x:v>151</x:v>
      </x:c>
      <x:c r="S247" t="s">
        <x:v>152</x:v>
      </x:c>
      <x:c r="T247" t="s">
        <x:v>322</x:v>
      </x:c>
      <x:c r="U247" t="n">
        <x:f>IFERROR(O247*P247*Q247/R247*(1+S247)*T247,"")</x:f>
        <x:v>0.0821917808219178</x:v>
      </x:c>
      <x:c r="V247" t="s">
        <x:v>323</x:v>
      </x:c>
      <x:c r="W247" s="39">
        <x:v>46236.78357621528</x:v>
      </x:c>
      <x:c r="Y247" t="s">
        <x:v>224</x:v>
      </x:c>
      <x:c r="Z247" t="s">
        <x:v>160</x:v>
      </x:c>
      <x:c r="AA247" t="s">
        <x:v>800</x:v>
      </x:c>
      <x:c r="AB247" t="str">
        <x:f>IF(A247="","",IF(COUNTIF($A$5:$A$1004,A247)&gt;1,"错误:重复成本规则ID",IF(OR(B247="",C247="",D247="",E247="",F247="",K247="",O247&lt;=0,P247&lt;=0,Q247&lt;=0,R247&lt;=0,S247&lt;0,T247&lt;=0,Y247="",Z247=""),"错误:必填项","OK")))</x:f>
        <x:v>OK</x:v>
      </x:c>
    </x:row>
    <x:row r="248">
      <x:c r="A248" t="s">
        <x:v>806</x:v>
      </x:c>
      <x:c r="B248" t="s">
        <x:v>157</x:v>
      </x:c>
      <x:c r="C248" t="s">
        <x:v>798</x:v>
      </x:c>
      <x:c r="D248" t="s">
        <x:v>217</x:v>
      </x:c>
      <x:c r="E248" t="s">
        <x:v>264</x:v>
      </x:c>
      <x:c r="F248" t="s">
        <x:v>318</x:v>
      </x:c>
      <x:c r="G248" t="s">
        <x:v>319</x:v>
      </x:c>
      <x:c r="H248" t="s">
        <x:v>319</x:v>
      </x:c>
      <x:c r="I248" t="s">
        <x:v>319</x:v>
      </x:c>
      <x:c r="J248" t="s">
        <x:v>320</x:v>
      </x:c>
      <x:c r="K248" t="s">
        <x:v>150</x:v>
      </x:c>
      <x:c r="L248" t="s">
        <x:v>319</x:v>
      </x:c>
      <x:c r="M248" t="s">
        <x:v>383</x:v>
      </x:c>
      <x:c r="N248" t="s">
        <x:v>319</x:v>
      </x:c>
      <x:c r="O248" t="s">
        <x:v>383</x:v>
      </x:c>
      <x:c r="P248" t="s">
        <x:v>151</x:v>
      </x:c>
      <x:c r="Q248" t="s">
        <x:v>151</x:v>
      </x:c>
      <x:c r="R248" t="s">
        <x:v>151</x:v>
      </x:c>
      <x:c r="S248" t="s">
        <x:v>152</x:v>
      </x:c>
      <x:c r="T248" t="s">
        <x:v>322</x:v>
      </x:c>
      <x:c r="U248" t="n">
        <x:f>IFERROR(O248*P248*Q248/R248*(1+S248)*T248,"")</x:f>
        <x:v>0.0821917808219178</x:v>
      </x:c>
      <x:c r="V248" t="s">
        <x:v>323</x:v>
      </x:c>
      <x:c r="W248" s="39">
        <x:v>46236.78357621528</x:v>
      </x:c>
      <x:c r="Y248" t="s">
        <x:v>224</x:v>
      </x:c>
      <x:c r="Z248" t="s">
        <x:v>160</x:v>
      </x:c>
      <x:c r="AA248" t="s">
        <x:v>800</x:v>
      </x:c>
      <x:c r="AB248" t="str">
        <x:f>IF(A248="","",IF(COUNTIF($A$5:$A$1004,A248)&gt;1,"错误:重复成本规则ID",IF(OR(B248="",C248="",D248="",E248="",F248="",K248="",O248&lt;=0,P248&lt;=0,Q248&lt;=0,R248&lt;=0,S248&lt;0,T248&lt;=0,Y248="",Z248=""),"错误:必填项","OK")))</x:f>
        <x:v>OK</x:v>
      </x:c>
    </x:row>
    <x:row r="249">
      <x:c r="A249" t="s">
        <x:v>807</x:v>
      </x:c>
      <x:c r="B249" t="s">
        <x:v>157</x:v>
      </x:c>
      <x:c r="C249" t="s">
        <x:v>798</x:v>
      </x:c>
      <x:c r="D249" t="s">
        <x:v>230</x:v>
      </x:c>
      <x:c r="E249" t="s">
        <x:v>258</x:v>
      </x:c>
      <x:c r="F249" t="s">
        <x:v>318</x:v>
      </x:c>
      <x:c r="G249" t="s">
        <x:v>319</x:v>
      </x:c>
      <x:c r="H249" t="s">
        <x:v>319</x:v>
      </x:c>
      <x:c r="I249" t="s">
        <x:v>319</x:v>
      </x:c>
      <x:c r="J249" t="s">
        <x:v>320</x:v>
      </x:c>
      <x:c r="K249" t="s">
        <x:v>150</x:v>
      </x:c>
      <x:c r="L249" t="s">
        <x:v>319</x:v>
      </x:c>
      <x:c r="M249" t="s">
        <x:v>808</x:v>
      </x:c>
      <x:c r="N249" t="s">
        <x:v>319</x:v>
      </x:c>
      <x:c r="O249" t="s">
        <x:v>808</x:v>
      </x:c>
      <x:c r="P249" t="s">
        <x:v>151</x:v>
      </x:c>
      <x:c r="Q249" t="s">
        <x:v>151</x:v>
      </x:c>
      <x:c r="R249" t="s">
        <x:v>151</x:v>
      </x:c>
      <x:c r="S249" t="s">
        <x:v>152</x:v>
      </x:c>
      <x:c r="T249" t="s">
        <x:v>322</x:v>
      </x:c>
      <x:c r="U249" t="n">
        <x:f>IFERROR(O249*P249*Q249/R249*(1+S249)*T249,"")</x:f>
        <x:v>0.23424657534246573</x:v>
      </x:c>
      <x:c r="V249" t="s">
        <x:v>323</x:v>
      </x:c>
      <x:c r="W249" s="39">
        <x:v>46236.78357621528</x:v>
      </x:c>
      <x:c r="Y249" t="s">
        <x:v>224</x:v>
      </x:c>
      <x:c r="Z249" t="s">
        <x:v>160</x:v>
      </x:c>
      <x:c r="AA249" t="s">
        <x:v>800</x:v>
      </x:c>
      <x:c r="AB249" t="str">
        <x:f>IF(A249="","",IF(COUNTIF($A$5:$A$1004,A249)&gt;1,"错误:重复成本规则ID",IF(OR(B249="",C249="",D249="",E249="",F249="",K249="",O249&lt;=0,P249&lt;=0,Q249&lt;=0,R249&lt;=0,S249&lt;0,T249&lt;=0,Y249="",Z249=""),"错误:必填项","OK")))</x:f>
        <x:v>OK</x:v>
      </x:c>
    </x:row>
    <x:row r="250">
      <x:c r="A250" t="s">
        <x:v>809</x:v>
      </x:c>
      <x:c r="B250" t="s">
        <x:v>157</x:v>
      </x:c>
      <x:c r="C250" t="s">
        <x:v>798</x:v>
      </x:c>
      <x:c r="D250" t="s">
        <x:v>230</x:v>
      </x:c>
      <x:c r="E250" t="s">
        <x:v>264</x:v>
      </x:c>
      <x:c r="F250" t="s">
        <x:v>318</x:v>
      </x:c>
      <x:c r="G250" t="s">
        <x:v>319</x:v>
      </x:c>
      <x:c r="H250" t="s">
        <x:v>319</x:v>
      </x:c>
      <x:c r="I250" t="s">
        <x:v>319</x:v>
      </x:c>
      <x:c r="J250" t="s">
        <x:v>320</x:v>
      </x:c>
      <x:c r="K250" t="s">
        <x:v>150</x:v>
      </x:c>
      <x:c r="L250" t="s">
        <x:v>319</x:v>
      </x:c>
      <x:c r="M250" t="s">
        <x:v>808</x:v>
      </x:c>
      <x:c r="N250" t="s">
        <x:v>319</x:v>
      </x:c>
      <x:c r="O250" t="s">
        <x:v>808</x:v>
      </x:c>
      <x:c r="P250" t="s">
        <x:v>151</x:v>
      </x:c>
      <x:c r="Q250" t="s">
        <x:v>151</x:v>
      </x:c>
      <x:c r="R250" t="s">
        <x:v>151</x:v>
      </x:c>
      <x:c r="S250" t="s">
        <x:v>152</x:v>
      </x:c>
      <x:c r="T250" t="s">
        <x:v>322</x:v>
      </x:c>
      <x:c r="U250" t="n">
        <x:f>IFERROR(O250*P250*Q250/R250*(1+S250)*T250,"")</x:f>
        <x:v>0.23424657534246573</x:v>
      </x:c>
      <x:c r="V250" t="s">
        <x:v>323</x:v>
      </x:c>
      <x:c r="W250" s="39">
        <x:v>46236.78357621528</x:v>
      </x:c>
      <x:c r="Y250" t="s">
        <x:v>224</x:v>
      </x:c>
      <x:c r="Z250" t="s">
        <x:v>160</x:v>
      </x:c>
      <x:c r="AA250" t="s">
        <x:v>800</x:v>
      </x:c>
      <x:c r="AB250" t="str">
        <x:f>IF(A250="","",IF(COUNTIF($A$5:$A$1004,A250)&gt;1,"错误:重复成本规则ID",IF(OR(B250="",C250="",D250="",E250="",F250="",K250="",O250&lt;=0,P250&lt;=0,Q250&lt;=0,R250&lt;=0,S250&lt;0,T250&lt;=0,Y250="",Z250=""),"错误:必填项","OK")))</x:f>
        <x:v>OK</x:v>
      </x:c>
    </x:row>
    <x:row r="251">
      <x:c r="A251" t="s">
        <x:v>810</x:v>
      </x:c>
      <x:c r="B251" t="s">
        <x:v>157</x:v>
      </x:c>
      <x:c r="C251" t="s">
        <x:v>811</x:v>
      </x:c>
      <x:c r="D251" t="s">
        <x:v>234</x:v>
      </x:c>
      <x:c r="E251" t="s">
        <x:v>258</x:v>
      </x:c>
      <x:c r="F251" t="s">
        <x:v>331</x:v>
      </x:c>
      <x:c r="G251" t="s">
        <x:v>319</x:v>
      </x:c>
      <x:c r="H251" t="s">
        <x:v>319</x:v>
      </x:c>
      <x:c r="I251" t="s">
        <x:v>319</x:v>
      </x:c>
      <x:c r="J251" t="s">
        <x:v>320</x:v>
      </x:c>
      <x:c r="K251" t="s">
        <x:v>150</x:v>
      </x:c>
      <x:c r="L251" t="s">
        <x:v>812</x:v>
      </x:c>
      <x:c r="M251" t="s">
        <x:v>319</x:v>
      </x:c>
      <x:c r="N251" t="s">
        <x:v>319</x:v>
      </x:c>
      <x:c r="O251" t="s">
        <x:v>812</x:v>
      </x:c>
      <x:c r="P251" t="s">
        <x:v>151</x:v>
      </x:c>
      <x:c r="Q251" t="s">
        <x:v>151</x:v>
      </x:c>
      <x:c r="R251" t="s">
        <x:v>151</x:v>
      </x:c>
      <x:c r="S251" t="s">
        <x:v>152</x:v>
      </x:c>
      <x:c r="T251" t="s">
        <x:v>322</x:v>
      </x:c>
      <x:c r="U251" t="n">
        <x:f>IFERROR(O251*P251*Q251/R251*(1+S251)*T251,"")</x:f>
        <x:v>0.4520547945205479</x:v>
      </x:c>
      <x:c r="V251" t="s">
        <x:v>333</x:v>
      </x:c>
      <x:c r="W251" s="39">
        <x:v>46236.78357621528</x:v>
      </x:c>
      <x:c r="Y251" t="s">
        <x:v>224</x:v>
      </x:c>
      <x:c r="Z251" t="s">
        <x:v>160</x:v>
      </x:c>
      <x:c r="AA251" t="s">
        <x:v>813</x:v>
      </x:c>
      <x:c r="AB251" t="str">
        <x:f>IF(A251="","",IF(COUNTIF($A$5:$A$1004,A251)&gt;1,"错误:重复成本规则ID",IF(OR(B251="",C251="",D251="",E251="",F251="",K251="",O251&lt;=0,P251&lt;=0,Q251&lt;=0,R251&lt;=0,S251&lt;0,T251&lt;=0,Y251="",Z251=""),"错误:必填项","OK")))</x:f>
        <x:v>OK</x:v>
      </x:c>
    </x:row>
    <x:row r="252">
      <x:c r="A252" t="s">
        <x:v>814</x:v>
      </x:c>
      <x:c r="B252" t="s">
        <x:v>157</x:v>
      </x:c>
      <x:c r="C252" t="s">
        <x:v>811</x:v>
      </x:c>
      <x:c r="D252" t="s">
        <x:v>234</x:v>
      </x:c>
      <x:c r="E252" t="s">
        <x:v>264</x:v>
      </x:c>
      <x:c r="F252" t="s">
        <x:v>331</x:v>
      </x:c>
      <x:c r="G252" t="s">
        <x:v>319</x:v>
      </x:c>
      <x:c r="H252" t="s">
        <x:v>319</x:v>
      </x:c>
      <x:c r="I252" t="s">
        <x:v>319</x:v>
      </x:c>
      <x:c r="J252" t="s">
        <x:v>320</x:v>
      </x:c>
      <x:c r="K252" t="s">
        <x:v>150</x:v>
      </x:c>
      <x:c r="L252" t="s">
        <x:v>812</x:v>
      </x:c>
      <x:c r="M252" t="s">
        <x:v>319</x:v>
      </x:c>
      <x:c r="N252" t="s">
        <x:v>319</x:v>
      </x:c>
      <x:c r="O252" t="s">
        <x:v>812</x:v>
      </x:c>
      <x:c r="P252" t="s">
        <x:v>151</x:v>
      </x:c>
      <x:c r="Q252" t="s">
        <x:v>151</x:v>
      </x:c>
      <x:c r="R252" t="s">
        <x:v>151</x:v>
      </x:c>
      <x:c r="S252" t="s">
        <x:v>152</x:v>
      </x:c>
      <x:c r="T252" t="s">
        <x:v>322</x:v>
      </x:c>
      <x:c r="U252" t="n">
        <x:f>IFERROR(O252*P252*Q252/R252*(1+S252)*T252,"")</x:f>
        <x:v>0.4520547945205479</x:v>
      </x:c>
      <x:c r="V252" t="s">
        <x:v>333</x:v>
      </x:c>
      <x:c r="W252" s="39">
        <x:v>46236.78357621528</x:v>
      </x:c>
      <x:c r="Y252" t="s">
        <x:v>224</x:v>
      </x:c>
      <x:c r="Z252" t="s">
        <x:v>160</x:v>
      </x:c>
      <x:c r="AA252" t="s">
        <x:v>813</x:v>
      </x:c>
      <x:c r="AB252" t="str">
        <x:f>IF(A252="","",IF(COUNTIF($A$5:$A$1004,A252)&gt;1,"错误:重复成本规则ID",IF(OR(B252="",C252="",D252="",E252="",F252="",K252="",O252&lt;=0,P252&lt;=0,Q252&lt;=0,R252&lt;=0,S252&lt;0,T252&lt;=0,Y252="",Z252=""),"错误:必填项","OK")))</x:f>
        <x:v>OK</x:v>
      </x:c>
    </x:row>
    <x:row r="253">
      <x:c r="A253" t="s">
        <x:v>815</x:v>
      </x:c>
      <x:c r="B253" t="s">
        <x:v>157</x:v>
      </x:c>
      <x:c r="C253" t="s">
        <x:v>811</x:v>
      </x:c>
      <x:c r="D253" t="s">
        <x:v>238</x:v>
      </x:c>
      <x:c r="E253" t="s">
        <x:v>258</x:v>
      </x:c>
      <x:c r="F253" t="s">
        <x:v>331</x:v>
      </x:c>
      <x:c r="G253" t="s">
        <x:v>319</x:v>
      </x:c>
      <x:c r="H253" t="s">
        <x:v>319</x:v>
      </x:c>
      <x:c r="I253" t="s">
        <x:v>319</x:v>
      </x:c>
      <x:c r="J253" t="s">
        <x:v>320</x:v>
      </x:c>
      <x:c r="K253" t="s">
        <x:v>150</x:v>
      </x:c>
      <x:c r="L253" t="s">
        <x:v>812</x:v>
      </x:c>
      <x:c r="M253" t="s">
        <x:v>319</x:v>
      </x:c>
      <x:c r="N253" t="s">
        <x:v>319</x:v>
      </x:c>
      <x:c r="O253" t="s">
        <x:v>812</x:v>
      </x:c>
      <x:c r="P253" t="s">
        <x:v>151</x:v>
      </x:c>
      <x:c r="Q253" t="s">
        <x:v>151</x:v>
      </x:c>
      <x:c r="R253" t="s">
        <x:v>151</x:v>
      </x:c>
      <x:c r="S253" t="s">
        <x:v>152</x:v>
      </x:c>
      <x:c r="T253" t="s">
        <x:v>322</x:v>
      </x:c>
      <x:c r="U253" t="n">
        <x:f>IFERROR(O253*P253*Q253/R253*(1+S253)*T253,"")</x:f>
        <x:v>0.4520547945205479</x:v>
      </x:c>
      <x:c r="V253" t="s">
        <x:v>333</x:v>
      </x:c>
      <x:c r="W253" s="39">
        <x:v>46236.78357621528</x:v>
      </x:c>
      <x:c r="Y253" t="s">
        <x:v>224</x:v>
      </x:c>
      <x:c r="Z253" t="s">
        <x:v>160</x:v>
      </x:c>
      <x:c r="AA253" t="s">
        <x:v>813</x:v>
      </x:c>
      <x:c r="AB253" t="str">
        <x:f>IF(A253="","",IF(COUNTIF($A$5:$A$1004,A253)&gt;1,"错误:重复成本规则ID",IF(OR(B253="",C253="",D253="",E253="",F253="",K253="",O253&lt;=0,P253&lt;=0,Q253&lt;=0,R253&lt;=0,S253&lt;0,T253&lt;=0,Y253="",Z253=""),"错误:必填项","OK")))</x:f>
        <x:v>OK</x:v>
      </x:c>
    </x:row>
    <x:row r="254">
      <x:c r="A254" t="s">
        <x:v>816</x:v>
      </x:c>
      <x:c r="B254" t="s">
        <x:v>157</x:v>
      </x:c>
      <x:c r="C254" t="s">
        <x:v>811</x:v>
      </x:c>
      <x:c r="D254" t="s">
        <x:v>238</x:v>
      </x:c>
      <x:c r="E254" t="s">
        <x:v>264</x:v>
      </x:c>
      <x:c r="F254" t="s">
        <x:v>331</x:v>
      </x:c>
      <x:c r="G254" t="s">
        <x:v>319</x:v>
      </x:c>
      <x:c r="H254" t="s">
        <x:v>319</x:v>
      </x:c>
      <x:c r="I254" t="s">
        <x:v>319</x:v>
      </x:c>
      <x:c r="J254" t="s">
        <x:v>320</x:v>
      </x:c>
      <x:c r="K254" t="s">
        <x:v>150</x:v>
      </x:c>
      <x:c r="L254" t="s">
        <x:v>812</x:v>
      </x:c>
      <x:c r="M254" t="s">
        <x:v>319</x:v>
      </x:c>
      <x:c r="N254" t="s">
        <x:v>319</x:v>
      </x:c>
      <x:c r="O254" t="s">
        <x:v>812</x:v>
      </x:c>
      <x:c r="P254" t="s">
        <x:v>151</x:v>
      </x:c>
      <x:c r="Q254" t="s">
        <x:v>151</x:v>
      </x:c>
      <x:c r="R254" t="s">
        <x:v>151</x:v>
      </x:c>
      <x:c r="S254" t="s">
        <x:v>152</x:v>
      </x:c>
      <x:c r="T254" t="s">
        <x:v>322</x:v>
      </x:c>
      <x:c r="U254" t="n">
        <x:f>IFERROR(O254*P254*Q254/R254*(1+S254)*T254,"")</x:f>
        <x:v>0.4520547945205479</x:v>
      </x:c>
      <x:c r="V254" t="s">
        <x:v>333</x:v>
      </x:c>
      <x:c r="W254" s="39">
        <x:v>46236.78357621528</x:v>
      </x:c>
      <x:c r="Y254" t="s">
        <x:v>224</x:v>
      </x:c>
      <x:c r="Z254" t="s">
        <x:v>160</x:v>
      </x:c>
      <x:c r="AA254" t="s">
        <x:v>813</x:v>
      </x:c>
      <x:c r="AB254" t="str">
        <x:f>IF(A254="","",IF(COUNTIF($A$5:$A$1004,A254)&gt;1,"错误:重复成本规则ID",IF(OR(B254="",C254="",D254="",E254="",F254="",K254="",O254&lt;=0,P254&lt;=0,Q254&lt;=0,R254&lt;=0,S254&lt;0,T254&lt;=0,Y254="",Z254=""),"错误:必填项","OK")))</x:f>
        <x:v>OK</x:v>
      </x:c>
    </x:row>
    <x:row r="255">
      <x:c r="A255" t="s">
        <x:v>817</x:v>
      </x:c>
      <x:c r="B255" t="s">
        <x:v>157</x:v>
      </x:c>
      <x:c r="C255" t="s">
        <x:v>818</x:v>
      </x:c>
      <x:c r="D255" t="s">
        <x:v>240</x:v>
      </x:c>
      <x:c r="E255" t="s">
        <x:v>258</x:v>
      </x:c>
      <x:c r="F255" t="s">
        <x:v>331</x:v>
      </x:c>
      <x:c r="G255" t="s">
        <x:v>319</x:v>
      </x:c>
      <x:c r="H255" t="s">
        <x:v>319</x:v>
      </x:c>
      <x:c r="I255" t="s">
        <x:v>319</x:v>
      </x:c>
      <x:c r="J255" t="s">
        <x:v>320</x:v>
      </x:c>
      <x:c r="K255" t="s">
        <x:v>150</x:v>
      </x:c>
      <x:c r="L255" t="s">
        <x:v>789</x:v>
      </x:c>
      <x:c r="M255" t="s">
        <x:v>319</x:v>
      </x:c>
      <x:c r="N255" t="s">
        <x:v>319</x:v>
      </x:c>
      <x:c r="O255" t="s">
        <x:v>789</x:v>
      </x:c>
      <x:c r="P255" t="s">
        <x:v>151</x:v>
      </x:c>
      <x:c r="Q255" t="s">
        <x:v>151</x:v>
      </x:c>
      <x:c r="R255" t="s">
        <x:v>151</x:v>
      </x:c>
      <x:c r="S255" t="s">
        <x:v>152</x:v>
      </x:c>
      <x:c r="T255" t="s">
        <x:v>322</x:v>
      </x:c>
      <x:c r="U255" t="n">
        <x:f>IFERROR(O255*P255*Q255/R255*(1+S255)*T255,"")</x:f>
        <x:v>0.3150684931506849</x:v>
      </x:c>
      <x:c r="V255" t="s">
        <x:v>333</x:v>
      </x:c>
      <x:c r="W255" s="39">
        <x:v>46236.78357621528</x:v>
      </x:c>
      <x:c r="Y255" t="s">
        <x:v>224</x:v>
      </x:c>
      <x:c r="Z255" t="s">
        <x:v>160</x:v>
      </x:c>
      <x:c r="AA255" t="s">
        <x:v>819</x:v>
      </x:c>
      <x:c r="AB255" t="str">
        <x:f>IF(A255="","",IF(COUNTIF($A$5:$A$1004,A255)&gt;1,"错误:重复成本规则ID",IF(OR(B255="",C255="",D255="",E255="",F255="",K255="",O255&lt;=0,P255&lt;=0,Q255&lt;=0,R255&lt;=0,S255&lt;0,T255&lt;=0,Y255="",Z255=""),"错误:必填项","OK")))</x:f>
        <x:v>OK</x:v>
      </x:c>
    </x:row>
    <x:row r="256">
      <x:c r="A256" t="s">
        <x:v>820</x:v>
      </x:c>
      <x:c r="B256" t="s">
        <x:v>157</x:v>
      </x:c>
      <x:c r="C256" t="s">
        <x:v>818</x:v>
      </x:c>
      <x:c r="D256" t="s">
        <x:v>240</x:v>
      </x:c>
      <x:c r="E256" t="s">
        <x:v>264</x:v>
      </x:c>
      <x:c r="F256" t="s">
        <x:v>331</x:v>
      </x:c>
      <x:c r="G256" t="s">
        <x:v>319</x:v>
      </x:c>
      <x:c r="H256" t="s">
        <x:v>319</x:v>
      </x:c>
      <x:c r="I256" t="s">
        <x:v>319</x:v>
      </x:c>
      <x:c r="J256" t="s">
        <x:v>320</x:v>
      </x:c>
      <x:c r="K256" t="s">
        <x:v>150</x:v>
      </x:c>
      <x:c r="L256" t="s">
        <x:v>789</x:v>
      </x:c>
      <x:c r="M256" t="s">
        <x:v>319</x:v>
      </x:c>
      <x:c r="N256" t="s">
        <x:v>319</x:v>
      </x:c>
      <x:c r="O256" t="s">
        <x:v>789</x:v>
      </x:c>
      <x:c r="P256" t="s">
        <x:v>151</x:v>
      </x:c>
      <x:c r="Q256" t="s">
        <x:v>151</x:v>
      </x:c>
      <x:c r="R256" t="s">
        <x:v>151</x:v>
      </x:c>
      <x:c r="S256" t="s">
        <x:v>152</x:v>
      </x:c>
      <x:c r="T256" t="s">
        <x:v>322</x:v>
      </x:c>
      <x:c r="U256" t="n">
        <x:f>IFERROR(O256*P256*Q256/R256*(1+S256)*T256,"")</x:f>
        <x:v>0.3150684931506849</x:v>
      </x:c>
      <x:c r="V256" t="s">
        <x:v>333</x:v>
      </x:c>
      <x:c r="W256" s="39">
        <x:v>46236.78357621528</x:v>
      </x:c>
      <x:c r="Y256" t="s">
        <x:v>224</x:v>
      </x:c>
      <x:c r="Z256" t="s">
        <x:v>160</x:v>
      </x:c>
      <x:c r="AA256" t="s">
        <x:v>819</x:v>
      </x:c>
      <x:c r="AB256" t="str">
        <x:f>IF(A256="","",IF(COUNTIF($A$5:$A$1004,A256)&gt;1,"错误:重复成本规则ID",IF(OR(B256="",C256="",D256="",E256="",F256="",K256="",O256&lt;=0,P256&lt;=0,Q256&lt;=0,R256&lt;=0,S256&lt;0,T256&lt;=0,Y256="",Z256=""),"错误:必填项","OK")))</x:f>
        <x:v>OK</x:v>
      </x:c>
    </x:row>
    <x:row r="257">
      <x:c r="A257" t="s">
        <x:v>821</x:v>
      </x:c>
      <x:c r="B257" t="s">
        <x:v>157</x:v>
      </x:c>
      <x:c r="C257" t="s">
        <x:v>818</x:v>
      </x:c>
      <x:c r="D257" t="s">
        <x:v>244</x:v>
      </x:c>
      <x:c r="E257" t="s">
        <x:v>258</x:v>
      </x:c>
      <x:c r="F257" t="s">
        <x:v>331</x:v>
      </x:c>
      <x:c r="G257" t="s">
        <x:v>319</x:v>
      </x:c>
      <x:c r="H257" t="s">
        <x:v>319</x:v>
      </x:c>
      <x:c r="I257" t="s">
        <x:v>319</x:v>
      </x:c>
      <x:c r="J257" t="s">
        <x:v>320</x:v>
      </x:c>
      <x:c r="K257" t="s">
        <x:v>150</x:v>
      </x:c>
      <x:c r="L257" t="s">
        <x:v>789</x:v>
      </x:c>
      <x:c r="M257" t="s">
        <x:v>319</x:v>
      </x:c>
      <x:c r="N257" t="s">
        <x:v>319</x:v>
      </x:c>
      <x:c r="O257" t="s">
        <x:v>789</x:v>
      </x:c>
      <x:c r="P257" t="s">
        <x:v>151</x:v>
      </x:c>
      <x:c r="Q257" t="s">
        <x:v>151</x:v>
      </x:c>
      <x:c r="R257" t="s">
        <x:v>151</x:v>
      </x:c>
      <x:c r="S257" t="s">
        <x:v>152</x:v>
      </x:c>
      <x:c r="T257" t="s">
        <x:v>322</x:v>
      </x:c>
      <x:c r="U257" t="n">
        <x:f>IFERROR(O257*P257*Q257/R257*(1+S257)*T257,"")</x:f>
        <x:v>0.3150684931506849</x:v>
      </x:c>
      <x:c r="V257" t="s">
        <x:v>333</x:v>
      </x:c>
      <x:c r="W257" s="39">
        <x:v>46236.78357621528</x:v>
      </x:c>
      <x:c r="Y257" t="s">
        <x:v>224</x:v>
      </x:c>
      <x:c r="Z257" t="s">
        <x:v>160</x:v>
      </x:c>
      <x:c r="AA257" t="s">
        <x:v>819</x:v>
      </x:c>
      <x:c r="AB257" t="str">
        <x:f>IF(A257="","",IF(COUNTIF($A$5:$A$1004,A257)&gt;1,"错误:重复成本规则ID",IF(OR(B257="",C257="",D257="",E257="",F257="",K257="",O257&lt;=0,P257&lt;=0,Q257&lt;=0,R257&lt;=0,S257&lt;0,T257&lt;=0,Y257="",Z257=""),"错误:必填项","OK")))</x:f>
        <x:v>OK</x:v>
      </x:c>
    </x:row>
    <x:row r="258">
      <x:c r="A258" t="s">
        <x:v>822</x:v>
      </x:c>
      <x:c r="B258" t="s">
        <x:v>157</x:v>
      </x:c>
      <x:c r="C258" t="s">
        <x:v>818</x:v>
      </x:c>
      <x:c r="D258" t="s">
        <x:v>244</x:v>
      </x:c>
      <x:c r="E258" t="s">
        <x:v>264</x:v>
      </x:c>
      <x:c r="F258" t="s">
        <x:v>331</x:v>
      </x:c>
      <x:c r="G258" t="s">
        <x:v>319</x:v>
      </x:c>
      <x:c r="H258" t="s">
        <x:v>319</x:v>
      </x:c>
      <x:c r="I258" t="s">
        <x:v>319</x:v>
      </x:c>
      <x:c r="J258" t="s">
        <x:v>320</x:v>
      </x:c>
      <x:c r="K258" t="s">
        <x:v>150</x:v>
      </x:c>
      <x:c r="L258" t="s">
        <x:v>789</x:v>
      </x:c>
      <x:c r="M258" t="s">
        <x:v>319</x:v>
      </x:c>
      <x:c r="N258" t="s">
        <x:v>319</x:v>
      </x:c>
      <x:c r="O258" t="s">
        <x:v>789</x:v>
      </x:c>
      <x:c r="P258" t="s">
        <x:v>151</x:v>
      </x:c>
      <x:c r="Q258" t="s">
        <x:v>151</x:v>
      </x:c>
      <x:c r="R258" t="s">
        <x:v>151</x:v>
      </x:c>
      <x:c r="S258" t="s">
        <x:v>152</x:v>
      </x:c>
      <x:c r="T258" t="s">
        <x:v>322</x:v>
      </x:c>
      <x:c r="U258" t="n">
        <x:f>IFERROR(O258*P258*Q258/R258*(1+S258)*T258,"")</x:f>
        <x:v>0.3150684931506849</x:v>
      </x:c>
      <x:c r="V258" t="s">
        <x:v>333</x:v>
      </x:c>
      <x:c r="W258" s="39">
        <x:v>46236.78357621528</x:v>
      </x:c>
      <x:c r="Y258" t="s">
        <x:v>224</x:v>
      </x:c>
      <x:c r="Z258" t="s">
        <x:v>160</x:v>
      </x:c>
      <x:c r="AA258" t="s">
        <x:v>819</x:v>
      </x:c>
      <x:c r="AB258" t="str">
        <x:f>IF(A258="","",IF(COUNTIF($A$5:$A$1004,A258)&gt;1,"错误:重复成本规则ID",IF(OR(B258="",C258="",D258="",E258="",F258="",K258="",O258&lt;=0,P258&lt;=0,Q258&lt;=0,R258&lt;=0,S258&lt;0,T258&lt;=0,Y258="",Z258=""),"错误:必填项","OK")))</x:f>
        <x:v>OK</x:v>
      </x:c>
    </x:row>
    <x:row r="259">
      <x:c r="A259" t="s">
        <x:v>823</x:v>
      </x:c>
      <x:c r="B259" t="s">
        <x:v>157</x:v>
      </x:c>
      <x:c r="C259" t="s">
        <x:v>824</x:v>
      </x:c>
      <x:c r="D259" t="s">
        <x:v>227</x:v>
      </x:c>
      <x:c r="E259" t="s">
        <x:v>258</x:v>
      </x:c>
      <x:c r="F259" t="s">
        <x:v>318</x:v>
      </x:c>
      <x:c r="G259" t="s">
        <x:v>319</x:v>
      </x:c>
      <x:c r="H259" t="s">
        <x:v>319</x:v>
      </x:c>
      <x:c r="I259" t="s">
        <x:v>319</x:v>
      </x:c>
      <x:c r="J259" t="s">
        <x:v>320</x:v>
      </x:c>
      <x:c r="K259" t="s">
        <x:v>150</x:v>
      </x:c>
      <x:c r="L259" t="s">
        <x:v>319</x:v>
      </x:c>
      <x:c r="M259" t="s">
        <x:v>825</x:v>
      </x:c>
      <x:c r="N259" t="s">
        <x:v>319</x:v>
      </x:c>
      <x:c r="O259" t="s">
        <x:v>825</x:v>
      </x:c>
      <x:c r="P259" t="s">
        <x:v>151</x:v>
      </x:c>
      <x:c r="Q259" t="s">
        <x:v>151</x:v>
      </x:c>
      <x:c r="R259" t="s">
        <x:v>151</x:v>
      </x:c>
      <x:c r="S259" t="s">
        <x:v>152</x:v>
      </x:c>
      <x:c r="T259" t="s">
        <x:v>322</x:v>
      </x:c>
      <x:c r="U259" t="n">
        <x:f>IFERROR(O259*P259*Q259/R259*(1+S259)*T259,"")</x:f>
        <x:v>0.036986301369863014</x:v>
      </x:c>
      <x:c r="V259" t="s">
        <x:v>323</x:v>
      </x:c>
      <x:c r="W259" s="39">
        <x:v>46236.78357621528</x:v>
      </x:c>
      <x:c r="Y259" t="s">
        <x:v>224</x:v>
      </x:c>
      <x:c r="Z259" t="s">
        <x:v>160</x:v>
      </x:c>
      <x:c r="AA259" t="s">
        <x:v>826</x:v>
      </x:c>
      <x:c r="AB259" t="str">
        <x:f>IF(A259="","",IF(COUNTIF($A$5:$A$1004,A259)&gt;1,"错误:重复成本规则ID",IF(OR(B259="",C259="",D259="",E259="",F259="",K259="",O259&lt;=0,P259&lt;=0,Q259&lt;=0,R259&lt;=0,S259&lt;0,T259&lt;=0,Y259="",Z259=""),"错误:必填项","OK")))</x:f>
        <x:v>OK</x:v>
      </x:c>
    </x:row>
    <x:row r="260">
      <x:c r="A260" t="s">
        <x:v>827</x:v>
      </x:c>
      <x:c r="B260" t="s">
        <x:v>157</x:v>
      </x:c>
      <x:c r="C260" t="s">
        <x:v>824</x:v>
      </x:c>
      <x:c r="D260" t="s">
        <x:v>227</x:v>
      </x:c>
      <x:c r="E260" t="s">
        <x:v>264</x:v>
      </x:c>
      <x:c r="F260" t="s">
        <x:v>318</x:v>
      </x:c>
      <x:c r="G260" t="s">
        <x:v>319</x:v>
      </x:c>
      <x:c r="H260" t="s">
        <x:v>319</x:v>
      </x:c>
      <x:c r="I260" t="s">
        <x:v>319</x:v>
      </x:c>
      <x:c r="J260" t="s">
        <x:v>320</x:v>
      </x:c>
      <x:c r="K260" t="s">
        <x:v>150</x:v>
      </x:c>
      <x:c r="L260" t="s">
        <x:v>319</x:v>
      </x:c>
      <x:c r="M260" t="s">
        <x:v>825</x:v>
      </x:c>
      <x:c r="N260" t="s">
        <x:v>319</x:v>
      </x:c>
      <x:c r="O260" t="s">
        <x:v>825</x:v>
      </x:c>
      <x:c r="P260" t="s">
        <x:v>151</x:v>
      </x:c>
      <x:c r="Q260" t="s">
        <x:v>151</x:v>
      </x:c>
      <x:c r="R260" t="s">
        <x:v>151</x:v>
      </x:c>
      <x:c r="S260" t="s">
        <x:v>152</x:v>
      </x:c>
      <x:c r="T260" t="s">
        <x:v>322</x:v>
      </x:c>
      <x:c r="U260" t="n">
        <x:f>IFERROR(O260*P260*Q260/R260*(1+S260)*T260,"")</x:f>
        <x:v>0.036986301369863014</x:v>
      </x:c>
      <x:c r="V260" t="s">
        <x:v>323</x:v>
      </x:c>
      <x:c r="W260" s="39">
        <x:v>46236.78357621528</x:v>
      </x:c>
      <x:c r="Y260" t="s">
        <x:v>224</x:v>
      </x:c>
      <x:c r="Z260" t="s">
        <x:v>160</x:v>
      </x:c>
      <x:c r="AA260" t="s">
        <x:v>826</x:v>
      </x:c>
      <x:c r="AB260" t="str">
        <x:f>IF(A260="","",IF(COUNTIF($A$5:$A$1004,A260)&gt;1,"错误:重复成本规则ID",IF(OR(B260="",C260="",D260="",E260="",F260="",K260="",O260&lt;=0,P260&lt;=0,Q260&lt;=0,R260&lt;=0,S260&lt;0,T260&lt;=0,Y260="",Z260=""),"错误:必填项","OK")))</x:f>
        <x:v>OK</x:v>
      </x:c>
    </x:row>
    <x:row r="261">
      <x:c r="A261" t="s">
        <x:v>828</x:v>
      </x:c>
      <x:c r="B261" t="s">
        <x:v>157</x:v>
      </x:c>
      <x:c r="C261" t="s">
        <x:v>824</x:v>
      </x:c>
      <x:c r="D261" t="s">
        <x:v>232</x:v>
      </x:c>
      <x:c r="E261" t="s">
        <x:v>258</x:v>
      </x:c>
      <x:c r="F261" t="s">
        <x:v>318</x:v>
      </x:c>
      <x:c r="G261" t="s">
        <x:v>319</x:v>
      </x:c>
      <x:c r="H261" t="s">
        <x:v>319</x:v>
      </x:c>
      <x:c r="I261" t="s">
        <x:v>319</x:v>
      </x:c>
      <x:c r="J261" t="s">
        <x:v>320</x:v>
      </x:c>
      <x:c r="K261" t="s">
        <x:v>150</x:v>
      </x:c>
      <x:c r="L261" t="s">
        <x:v>319</x:v>
      </x:c>
      <x:c r="M261" t="s">
        <x:v>829</x:v>
      </x:c>
      <x:c r="N261" t="s">
        <x:v>319</x:v>
      </x:c>
      <x:c r="O261" t="s">
        <x:v>829</x:v>
      </x:c>
      <x:c r="P261" t="s">
        <x:v>151</x:v>
      </x:c>
      <x:c r="Q261" t="s">
        <x:v>151</x:v>
      </x:c>
      <x:c r="R261" t="s">
        <x:v>151</x:v>
      </x:c>
      <x:c r="S261" t="s">
        <x:v>152</x:v>
      </x:c>
      <x:c r="T261" t="s">
        <x:v>322</x:v>
      </x:c>
      <x:c r="U261" t="n">
        <x:f>IFERROR(O261*P261*Q261/R261*(1+S261)*T261,"")</x:f>
        <x:v>0.050684931506849315</x:v>
      </x:c>
      <x:c r="V261" t="s">
        <x:v>323</x:v>
      </x:c>
      <x:c r="W261" s="39">
        <x:v>46236.78357621528</x:v>
      </x:c>
      <x:c r="Y261" t="s">
        <x:v>224</x:v>
      </x:c>
      <x:c r="Z261" t="s">
        <x:v>160</x:v>
      </x:c>
      <x:c r="AA261" t="s">
        <x:v>826</x:v>
      </x:c>
      <x:c r="AB261" t="str">
        <x:f>IF(A261="","",IF(COUNTIF($A$5:$A$1004,A261)&gt;1,"错误:重复成本规则ID",IF(OR(B261="",C261="",D261="",E261="",F261="",K261="",O261&lt;=0,P261&lt;=0,Q261&lt;=0,R261&lt;=0,S261&lt;0,T261&lt;=0,Y261="",Z261=""),"错误:必填项","OK")))</x:f>
        <x:v>OK</x:v>
      </x:c>
    </x:row>
    <x:row r="262">
      <x:c r="A262" t="s">
        <x:v>830</x:v>
      </x:c>
      <x:c r="B262" t="s">
        <x:v>157</x:v>
      </x:c>
      <x:c r="C262" t="s">
        <x:v>824</x:v>
      </x:c>
      <x:c r="D262" t="s">
        <x:v>232</x:v>
      </x:c>
      <x:c r="E262" t="s">
        <x:v>264</x:v>
      </x:c>
      <x:c r="F262" t="s">
        <x:v>318</x:v>
      </x:c>
      <x:c r="G262" t="s">
        <x:v>319</x:v>
      </x:c>
      <x:c r="H262" t="s">
        <x:v>319</x:v>
      </x:c>
      <x:c r="I262" t="s">
        <x:v>319</x:v>
      </x:c>
      <x:c r="J262" t="s">
        <x:v>320</x:v>
      </x:c>
      <x:c r="K262" t="s">
        <x:v>150</x:v>
      </x:c>
      <x:c r="L262" t="s">
        <x:v>319</x:v>
      </x:c>
      <x:c r="M262" t="s">
        <x:v>829</x:v>
      </x:c>
      <x:c r="N262" t="s">
        <x:v>319</x:v>
      </x:c>
      <x:c r="O262" t="s">
        <x:v>829</x:v>
      </x:c>
      <x:c r="P262" t="s">
        <x:v>151</x:v>
      </x:c>
      <x:c r="Q262" t="s">
        <x:v>151</x:v>
      </x:c>
      <x:c r="R262" t="s">
        <x:v>151</x:v>
      </x:c>
      <x:c r="S262" t="s">
        <x:v>152</x:v>
      </x:c>
      <x:c r="T262" t="s">
        <x:v>322</x:v>
      </x:c>
      <x:c r="U262" t="n">
        <x:f>IFERROR(O262*P262*Q262/R262*(1+S262)*T262,"")</x:f>
        <x:v>0.050684931506849315</x:v>
      </x:c>
      <x:c r="V262" t="s">
        <x:v>323</x:v>
      </x:c>
      <x:c r="W262" s="39">
        <x:v>46236.78357621528</x:v>
      </x:c>
      <x:c r="Y262" t="s">
        <x:v>224</x:v>
      </x:c>
      <x:c r="Z262" t="s">
        <x:v>160</x:v>
      </x:c>
      <x:c r="AA262" t="s">
        <x:v>826</x:v>
      </x:c>
      <x:c r="AB262" t="str">
        <x:f>IF(A262="","",IF(COUNTIF($A$5:$A$1004,A262)&gt;1,"错误:重复成本规则ID",IF(OR(B262="",C262="",D262="",E262="",F262="",K262="",O262&lt;=0,P262&lt;=0,Q262&lt;=0,R262&lt;=0,S262&lt;0,T262&lt;=0,Y262="",Z262=""),"错误:必填项","OK")))</x:f>
        <x:v>OK</x:v>
      </x:c>
    </x:row>
    <x:row r="263">
      <x:c r="A263" t="s">
        <x:v>831</x:v>
      </x:c>
      <x:c r="B263" t="s">
        <x:v>157</x:v>
      </x:c>
      <x:c r="C263" t="s">
        <x:v>832</x:v>
      </x:c>
      <x:c r="D263" t="s">
        <x:v>234</x:v>
      </x:c>
      <x:c r="E263" t="s">
        <x:v>258</x:v>
      </x:c>
      <x:c r="F263" t="s">
        <x:v>318</x:v>
      </x:c>
      <x:c r="G263" t="s">
        <x:v>319</x:v>
      </x:c>
      <x:c r="H263" t="s">
        <x:v>319</x:v>
      </x:c>
      <x:c r="I263" t="s">
        <x:v>319</x:v>
      </x:c>
      <x:c r="J263" t="s">
        <x:v>320</x:v>
      </x:c>
      <x:c r="K263" t="s">
        <x:v>150</x:v>
      </x:c>
      <x:c r="L263" t="s">
        <x:v>319</x:v>
      </x:c>
      <x:c r="M263" t="s">
        <x:v>833</x:v>
      </x:c>
      <x:c r="N263" t="s">
        <x:v>319</x:v>
      </x:c>
      <x:c r="O263" t="s">
        <x:v>833</x:v>
      </x:c>
      <x:c r="P263" t="s">
        <x:v>151</x:v>
      </x:c>
      <x:c r="Q263" t="s">
        <x:v>151</x:v>
      </x:c>
      <x:c r="R263" t="s">
        <x:v>151</x:v>
      </x:c>
      <x:c r="S263" t="s">
        <x:v>152</x:v>
      </x:c>
      <x:c r="T263" t="s">
        <x:v>322</x:v>
      </x:c>
      <x:c r="U263" t="n">
        <x:f>IFERROR(O263*P263*Q263/R263*(1+S263)*T263,"")</x:f>
        <x:v>0.023287671232876714</x:v>
      </x:c>
      <x:c r="V263" t="s">
        <x:v>323</x:v>
      </x:c>
      <x:c r="W263" s="39">
        <x:v>46236.78357621528</x:v>
      </x:c>
      <x:c r="Y263" t="s">
        <x:v>224</x:v>
      </x:c>
      <x:c r="Z263" t="s">
        <x:v>160</x:v>
      </x:c>
      <x:c r="AA263" t="s">
        <x:v>834</x:v>
      </x:c>
      <x:c r="AB263" t="str">
        <x:f>IF(A263="","",IF(COUNTIF($A$5:$A$1004,A263)&gt;1,"错误:重复成本规则ID",IF(OR(B263="",C263="",D263="",E263="",F263="",K263="",O263&lt;=0,P263&lt;=0,Q263&lt;=0,R263&lt;=0,S263&lt;0,T263&lt;=0,Y263="",Z263=""),"错误:必填项","OK")))</x:f>
        <x:v>OK</x:v>
      </x:c>
    </x:row>
    <x:row r="264">
      <x:c r="A264" t="s">
        <x:v>835</x:v>
      </x:c>
      <x:c r="B264" t="s">
        <x:v>157</x:v>
      </x:c>
      <x:c r="C264" t="s">
        <x:v>832</x:v>
      </x:c>
      <x:c r="D264" t="s">
        <x:v>234</x:v>
      </x:c>
      <x:c r="E264" t="s">
        <x:v>264</x:v>
      </x:c>
      <x:c r="F264" t="s">
        <x:v>318</x:v>
      </x:c>
      <x:c r="G264" t="s">
        <x:v>319</x:v>
      </x:c>
      <x:c r="H264" t="s">
        <x:v>319</x:v>
      </x:c>
      <x:c r="I264" t="s">
        <x:v>319</x:v>
      </x:c>
      <x:c r="J264" t="s">
        <x:v>320</x:v>
      </x:c>
      <x:c r="K264" t="s">
        <x:v>150</x:v>
      </x:c>
      <x:c r="L264" t="s">
        <x:v>319</x:v>
      </x:c>
      <x:c r="M264" t="s">
        <x:v>833</x:v>
      </x:c>
      <x:c r="N264" t="s">
        <x:v>319</x:v>
      </x:c>
      <x:c r="O264" t="s">
        <x:v>833</x:v>
      </x:c>
      <x:c r="P264" t="s">
        <x:v>151</x:v>
      </x:c>
      <x:c r="Q264" t="s">
        <x:v>151</x:v>
      </x:c>
      <x:c r="R264" t="s">
        <x:v>151</x:v>
      </x:c>
      <x:c r="S264" t="s">
        <x:v>152</x:v>
      </x:c>
      <x:c r="T264" t="s">
        <x:v>322</x:v>
      </x:c>
      <x:c r="U264" t="n">
        <x:f>IFERROR(O264*P264*Q264/R264*(1+S264)*T264,"")</x:f>
        <x:v>0.023287671232876714</x:v>
      </x:c>
      <x:c r="V264" t="s">
        <x:v>323</x:v>
      </x:c>
      <x:c r="W264" s="39">
        <x:v>46236.78357621528</x:v>
      </x:c>
      <x:c r="Y264" t="s">
        <x:v>224</x:v>
      </x:c>
      <x:c r="Z264" t="s">
        <x:v>160</x:v>
      </x:c>
      <x:c r="AA264" t="s">
        <x:v>834</x:v>
      </x:c>
      <x:c r="AB264" t="str">
        <x:f>IF(A264="","",IF(COUNTIF($A$5:$A$1004,A264)&gt;1,"错误:重复成本规则ID",IF(OR(B264="",C264="",D264="",E264="",F264="",K264="",O264&lt;=0,P264&lt;=0,Q264&lt;=0,R264&lt;=0,S264&lt;0,T264&lt;=0,Y264="",Z264=""),"错误:必填项","OK")))</x:f>
        <x:v>OK</x:v>
      </x:c>
    </x:row>
    <x:row r="265">
      <x:c r="A265" t="s">
        <x:v>836</x:v>
      </x:c>
      <x:c r="B265" t="s">
        <x:v>157</x:v>
      </x:c>
      <x:c r="C265" t="s">
        <x:v>832</x:v>
      </x:c>
      <x:c r="D265" t="s">
        <x:v>238</x:v>
      </x:c>
      <x:c r="E265" t="s">
        <x:v>258</x:v>
      </x:c>
      <x:c r="F265" t="s">
        <x:v>318</x:v>
      </x:c>
      <x:c r="G265" t="s">
        <x:v>319</x:v>
      </x:c>
      <x:c r="H265" t="s">
        <x:v>319</x:v>
      </x:c>
      <x:c r="I265" t="s">
        <x:v>319</x:v>
      </x:c>
      <x:c r="J265" t="s">
        <x:v>320</x:v>
      </x:c>
      <x:c r="K265" t="s">
        <x:v>150</x:v>
      </x:c>
      <x:c r="L265" t="s">
        <x:v>319</x:v>
      </x:c>
      <x:c r="M265" t="s">
        <x:v>825</x:v>
      </x:c>
      <x:c r="N265" t="s">
        <x:v>319</x:v>
      </x:c>
      <x:c r="O265" t="s">
        <x:v>825</x:v>
      </x:c>
      <x:c r="P265" t="s">
        <x:v>151</x:v>
      </x:c>
      <x:c r="Q265" t="s">
        <x:v>151</x:v>
      </x:c>
      <x:c r="R265" t="s">
        <x:v>151</x:v>
      </x:c>
      <x:c r="S265" t="s">
        <x:v>152</x:v>
      </x:c>
      <x:c r="T265" t="s">
        <x:v>322</x:v>
      </x:c>
      <x:c r="U265" t="n">
        <x:f>IFERROR(O265*P265*Q265/R265*(1+S265)*T265,"")</x:f>
        <x:v>0.036986301369863014</x:v>
      </x:c>
      <x:c r="V265" t="s">
        <x:v>323</x:v>
      </x:c>
      <x:c r="W265" s="39">
        <x:v>46236.78357621528</x:v>
      </x:c>
      <x:c r="Y265" t="s">
        <x:v>224</x:v>
      </x:c>
      <x:c r="Z265" t="s">
        <x:v>160</x:v>
      </x:c>
      <x:c r="AA265" t="s">
        <x:v>834</x:v>
      </x:c>
      <x:c r="AB265" t="str">
        <x:f>IF(A265="","",IF(COUNTIF($A$5:$A$1004,A265)&gt;1,"错误:重复成本规则ID",IF(OR(B265="",C265="",D265="",E265="",F265="",K265="",O265&lt;=0,P265&lt;=0,Q265&lt;=0,R265&lt;=0,S265&lt;0,T265&lt;=0,Y265="",Z265=""),"错误:必填项","OK")))</x:f>
        <x:v>OK</x:v>
      </x:c>
    </x:row>
    <x:row r="266">
      <x:c r="A266" t="s">
        <x:v>837</x:v>
      </x:c>
      <x:c r="B266" t="s">
        <x:v>157</x:v>
      </x:c>
      <x:c r="C266" t="s">
        <x:v>832</x:v>
      </x:c>
      <x:c r="D266" t="s">
        <x:v>238</x:v>
      </x:c>
      <x:c r="E266" t="s">
        <x:v>264</x:v>
      </x:c>
      <x:c r="F266" t="s">
        <x:v>318</x:v>
      </x:c>
      <x:c r="G266" t="s">
        <x:v>319</x:v>
      </x:c>
      <x:c r="H266" t="s">
        <x:v>319</x:v>
      </x:c>
      <x:c r="I266" t="s">
        <x:v>319</x:v>
      </x:c>
      <x:c r="J266" t="s">
        <x:v>320</x:v>
      </x:c>
      <x:c r="K266" t="s">
        <x:v>150</x:v>
      </x:c>
      <x:c r="L266" t="s">
        <x:v>319</x:v>
      </x:c>
      <x:c r="M266" t="s">
        <x:v>825</x:v>
      </x:c>
      <x:c r="N266" t="s">
        <x:v>319</x:v>
      </x:c>
      <x:c r="O266" t="s">
        <x:v>825</x:v>
      </x:c>
      <x:c r="P266" t="s">
        <x:v>151</x:v>
      </x:c>
      <x:c r="Q266" t="s">
        <x:v>151</x:v>
      </x:c>
      <x:c r="R266" t="s">
        <x:v>151</x:v>
      </x:c>
      <x:c r="S266" t="s">
        <x:v>152</x:v>
      </x:c>
      <x:c r="T266" t="s">
        <x:v>322</x:v>
      </x:c>
      <x:c r="U266" t="n">
        <x:f>IFERROR(O266*P266*Q266/R266*(1+S266)*T266,"")</x:f>
        <x:v>0.036986301369863014</x:v>
      </x:c>
      <x:c r="V266" t="s">
        <x:v>323</x:v>
      </x:c>
      <x:c r="W266" s="39">
        <x:v>46236.78357621528</x:v>
      </x:c>
      <x:c r="Y266" t="s">
        <x:v>224</x:v>
      </x:c>
      <x:c r="Z266" t="s">
        <x:v>160</x:v>
      </x:c>
      <x:c r="AA266" t="s">
        <x:v>834</x:v>
      </x:c>
      <x:c r="AB266" t="str">
        <x:f>IF(A266="","",IF(COUNTIF($A$5:$A$1004,A266)&gt;1,"错误:重复成本规则ID",IF(OR(B266="",C266="",D266="",E266="",F266="",K266="",O266&lt;=0,P266&lt;=0,Q266&lt;=0,R266&lt;=0,S266&lt;0,T266&lt;=0,Y266="",Z266=""),"错误:必填项","OK")))</x:f>
        <x:v>OK</x:v>
      </x:c>
    </x:row>
    <x:row r="267">
      <x:c r="A267" t="s">
        <x:v>838</x:v>
      </x:c>
      <x:c r="B267" t="s">
        <x:v>157</x:v>
      </x:c>
      <x:c r="C267" t="s">
        <x:v>839</x:v>
      </x:c>
      <x:c r="D267" t="s">
        <x:v>240</x:v>
      </x:c>
      <x:c r="E267" t="s">
        <x:v>258</x:v>
      </x:c>
      <x:c r="F267" t="s">
        <x:v>318</x:v>
      </x:c>
      <x:c r="G267" t="s">
        <x:v>319</x:v>
      </x:c>
      <x:c r="H267" t="s">
        <x:v>319</x:v>
      </x:c>
      <x:c r="I267" t="s">
        <x:v>319</x:v>
      </x:c>
      <x:c r="J267" t="s">
        <x:v>320</x:v>
      </x:c>
      <x:c r="K267" t="s">
        <x:v>150</x:v>
      </x:c>
      <x:c r="L267" t="s">
        <x:v>319</x:v>
      </x:c>
      <x:c r="M267" t="s">
        <x:v>438</x:v>
      </x:c>
      <x:c r="N267" t="s">
        <x:v>319</x:v>
      </x:c>
      <x:c r="O267" t="s">
        <x:v>438</x:v>
      </x:c>
      <x:c r="P267" t="s">
        <x:v>151</x:v>
      </x:c>
      <x:c r="Q267" t="s">
        <x:v>151</x:v>
      </x:c>
      <x:c r="R267" t="s">
        <x:v>151</x:v>
      </x:c>
      <x:c r="S267" t="s">
        <x:v>152</x:v>
      </x:c>
      <x:c r="T267" t="s">
        <x:v>322</x:v>
      </x:c>
      <x:c r="U267" t="n">
        <x:f>IFERROR(O267*P267*Q267/R267*(1+S267)*T267,"")</x:f>
        <x:v>0.019178082191780823</x:v>
      </x:c>
      <x:c r="V267" t="s">
        <x:v>323</x:v>
      </x:c>
      <x:c r="W267" s="39">
        <x:v>46236.78357621528</x:v>
      </x:c>
      <x:c r="Y267" t="s">
        <x:v>224</x:v>
      </x:c>
      <x:c r="Z267" t="s">
        <x:v>160</x:v>
      </x:c>
      <x:c r="AA267" t="s">
        <x:v>840</x:v>
      </x:c>
      <x:c r="AB267" t="str">
        <x:f>IF(A267="","",IF(COUNTIF($A$5:$A$1004,A267)&gt;1,"错误:重复成本规则ID",IF(OR(B267="",C267="",D267="",E267="",F267="",K267="",O267&lt;=0,P267&lt;=0,Q267&lt;=0,R267&lt;=0,S267&lt;0,T267&lt;=0,Y267="",Z267=""),"错误:必填项","OK")))</x:f>
        <x:v>OK</x:v>
      </x:c>
    </x:row>
    <x:row r="268">
      <x:c r="A268" t="s">
        <x:v>841</x:v>
      </x:c>
      <x:c r="B268" t="s">
        <x:v>157</x:v>
      </x:c>
      <x:c r="C268" t="s">
        <x:v>839</x:v>
      </x:c>
      <x:c r="D268" t="s">
        <x:v>240</x:v>
      </x:c>
      <x:c r="E268" t="s">
        <x:v>264</x:v>
      </x:c>
      <x:c r="F268" t="s">
        <x:v>318</x:v>
      </x:c>
      <x:c r="G268" t="s">
        <x:v>319</x:v>
      </x:c>
      <x:c r="H268" t="s">
        <x:v>319</x:v>
      </x:c>
      <x:c r="I268" t="s">
        <x:v>319</x:v>
      </x:c>
      <x:c r="J268" t="s">
        <x:v>320</x:v>
      </x:c>
      <x:c r="K268" t="s">
        <x:v>150</x:v>
      </x:c>
      <x:c r="L268" t="s">
        <x:v>319</x:v>
      </x:c>
      <x:c r="M268" t="s">
        <x:v>438</x:v>
      </x:c>
      <x:c r="N268" t="s">
        <x:v>319</x:v>
      </x:c>
      <x:c r="O268" t="s">
        <x:v>438</x:v>
      </x:c>
      <x:c r="P268" t="s">
        <x:v>151</x:v>
      </x:c>
      <x:c r="Q268" t="s">
        <x:v>151</x:v>
      </x:c>
      <x:c r="R268" t="s">
        <x:v>151</x:v>
      </x:c>
      <x:c r="S268" t="s">
        <x:v>152</x:v>
      </x:c>
      <x:c r="T268" t="s">
        <x:v>322</x:v>
      </x:c>
      <x:c r="U268" t="n">
        <x:f>IFERROR(O268*P268*Q268/R268*(1+S268)*T268,"")</x:f>
        <x:v>0.019178082191780823</x:v>
      </x:c>
      <x:c r="V268" t="s">
        <x:v>323</x:v>
      </x:c>
      <x:c r="W268" s="39">
        <x:v>46236.78357621528</x:v>
      </x:c>
      <x:c r="Y268" t="s">
        <x:v>224</x:v>
      </x:c>
      <x:c r="Z268" t="s">
        <x:v>160</x:v>
      </x:c>
      <x:c r="AA268" t="s">
        <x:v>840</x:v>
      </x:c>
      <x:c r="AB268" t="str">
        <x:f>IF(A268="","",IF(COUNTIF($A$5:$A$1004,A268)&gt;1,"错误:重复成本规则ID",IF(OR(B268="",C268="",D268="",E268="",F268="",K268="",O268&lt;=0,P268&lt;=0,Q268&lt;=0,R268&lt;=0,S268&lt;0,T268&lt;=0,Y268="",Z268=""),"错误:必填项","OK")))</x:f>
        <x:v>OK</x:v>
      </x:c>
    </x:row>
    <x:row r="269">
      <x:c r="A269" t="s">
        <x:v>842</x:v>
      </x:c>
      <x:c r="B269" t="s">
        <x:v>157</x:v>
      </x:c>
      <x:c r="C269" t="s">
        <x:v>839</x:v>
      </x:c>
      <x:c r="D269" t="s">
        <x:v>244</x:v>
      </x:c>
      <x:c r="E269" t="s">
        <x:v>258</x:v>
      </x:c>
      <x:c r="F269" t="s">
        <x:v>318</x:v>
      </x:c>
      <x:c r="G269" t="s">
        <x:v>319</x:v>
      </x:c>
      <x:c r="H269" t="s">
        <x:v>319</x:v>
      </x:c>
      <x:c r="I269" t="s">
        <x:v>319</x:v>
      </x:c>
      <x:c r="J269" t="s">
        <x:v>320</x:v>
      </x:c>
      <x:c r="K269" t="s">
        <x:v>150</x:v>
      </x:c>
      <x:c r="L269" t="s">
        <x:v>319</x:v>
      </x:c>
      <x:c r="M269" t="s">
        <x:v>429</x:v>
      </x:c>
      <x:c r="N269" t="s">
        <x:v>319</x:v>
      </x:c>
      <x:c r="O269" t="s">
        <x:v>429</x:v>
      </x:c>
      <x:c r="P269" t="s">
        <x:v>151</x:v>
      </x:c>
      <x:c r="Q269" t="s">
        <x:v>151</x:v>
      </x:c>
      <x:c r="R269" t="s">
        <x:v>151</x:v>
      </x:c>
      <x:c r="S269" t="s">
        <x:v>152</x:v>
      </x:c>
      <x:c r="T269" t="s">
        <x:v>322</x:v>
      </x:c>
      <x:c r="U269" t="n">
        <x:f>IFERROR(O269*P269*Q269/R269*(1+S269)*T269,"")</x:f>
        <x:v>0.0273972602739726</x:v>
      </x:c>
      <x:c r="V269" t="s">
        <x:v>323</x:v>
      </x:c>
      <x:c r="W269" s="39">
        <x:v>46236.78357621528</x:v>
      </x:c>
      <x:c r="Y269" t="s">
        <x:v>224</x:v>
      </x:c>
      <x:c r="Z269" t="s">
        <x:v>160</x:v>
      </x:c>
      <x:c r="AA269" t="s">
        <x:v>840</x:v>
      </x:c>
      <x:c r="AB269" t="str">
        <x:f>IF(A269="","",IF(COUNTIF($A$5:$A$1004,A269)&gt;1,"错误:重复成本规则ID",IF(OR(B269="",C269="",D269="",E269="",F269="",K269="",O269&lt;=0,P269&lt;=0,Q269&lt;=0,R269&lt;=0,S269&lt;0,T269&lt;=0,Y269="",Z269=""),"错误:必填项","OK")))</x:f>
        <x:v>OK</x:v>
      </x:c>
    </x:row>
    <x:row r="270">
      <x:c r="A270" t="s">
        <x:v>843</x:v>
      </x:c>
      <x:c r="B270" t="s">
        <x:v>157</x:v>
      </x:c>
      <x:c r="C270" t="s">
        <x:v>839</x:v>
      </x:c>
      <x:c r="D270" t="s">
        <x:v>244</x:v>
      </x:c>
      <x:c r="E270" t="s">
        <x:v>264</x:v>
      </x:c>
      <x:c r="F270" t="s">
        <x:v>318</x:v>
      </x:c>
      <x:c r="G270" t="s">
        <x:v>319</x:v>
      </x:c>
      <x:c r="H270" t="s">
        <x:v>319</x:v>
      </x:c>
      <x:c r="I270" t="s">
        <x:v>319</x:v>
      </x:c>
      <x:c r="J270" t="s">
        <x:v>320</x:v>
      </x:c>
      <x:c r="K270" t="s">
        <x:v>150</x:v>
      </x:c>
      <x:c r="L270" t="s">
        <x:v>319</x:v>
      </x:c>
      <x:c r="M270" t="s">
        <x:v>429</x:v>
      </x:c>
      <x:c r="N270" t="s">
        <x:v>319</x:v>
      </x:c>
      <x:c r="O270" t="s">
        <x:v>429</x:v>
      </x:c>
      <x:c r="P270" t="s">
        <x:v>151</x:v>
      </x:c>
      <x:c r="Q270" t="s">
        <x:v>151</x:v>
      </x:c>
      <x:c r="R270" t="s">
        <x:v>151</x:v>
      </x:c>
      <x:c r="S270" t="s">
        <x:v>152</x:v>
      </x:c>
      <x:c r="T270" t="s">
        <x:v>322</x:v>
      </x:c>
      <x:c r="U270" t="n">
        <x:f>IFERROR(O270*P270*Q270/R270*(1+S270)*T270,"")</x:f>
        <x:v>0.0273972602739726</x:v>
      </x:c>
      <x:c r="V270" t="s">
        <x:v>323</x:v>
      </x:c>
      <x:c r="W270" s="39">
        <x:v>46236.78357621528</x:v>
      </x:c>
      <x:c r="Y270" t="s">
        <x:v>224</x:v>
      </x:c>
      <x:c r="Z270" t="s">
        <x:v>160</x:v>
      </x:c>
      <x:c r="AA270" t="s">
        <x:v>840</x:v>
      </x:c>
      <x:c r="AB270" t="str">
        <x:f>IF(A270="","",IF(COUNTIF($A$5:$A$1004,A270)&gt;1,"错误:重复成本规则ID",IF(OR(B270="",C270="",D270="",E270="",F270="",K270="",O270&lt;=0,P270&lt;=0,Q270&lt;=0,R270&lt;=0,S270&lt;0,T270&lt;=0,Y270="",Z270=""),"错误:必填项","OK")))</x:f>
        <x:v>OK</x:v>
      </x:c>
    </x:row>
    <x:row r="271">
      <x:c r="A271" t="s">
        <x:v>844</x:v>
      </x:c>
      <x:c r="B271" t="s">
        <x:v>157</x:v>
      </x:c>
      <x:c r="C271" t="s">
        <x:v>845</x:v>
      </x:c>
      <x:c r="D271" t="s">
        <x:v>232</x:v>
      </x:c>
      <x:c r="E271" t="s">
        <x:v>258</x:v>
      </x:c>
      <x:c r="F271" t="s">
        <x:v>331</x:v>
      </x:c>
      <x:c r="G271" t="s">
        <x:v>319</x:v>
      </x:c>
      <x:c r="H271" t="s">
        <x:v>319</x:v>
      </x:c>
      <x:c r="I271" t="s">
        <x:v>319</x:v>
      </x:c>
      <x:c r="J271" t="s">
        <x:v>320</x:v>
      </x:c>
      <x:c r="K271" t="s">
        <x:v>150</x:v>
      </x:c>
      <x:c r="L271" t="s">
        <x:v>846</x:v>
      </x:c>
      <x:c r="M271" t="s">
        <x:v>319</x:v>
      </x:c>
      <x:c r="N271" t="s">
        <x:v>319</x:v>
      </x:c>
      <x:c r="O271" t="s">
        <x:v>846</x:v>
      </x:c>
      <x:c r="P271" t="s">
        <x:v>151</x:v>
      </x:c>
      <x:c r="Q271" t="s">
        <x:v>151</x:v>
      </x:c>
      <x:c r="R271" t="s">
        <x:v>151</x:v>
      </x:c>
      <x:c r="S271" t="s">
        <x:v>152</x:v>
      </x:c>
      <x:c r="T271" t="s">
        <x:v>322</x:v>
      </x:c>
      <x:c r="U271" t="n">
        <x:f>IFERROR(O271*P271*Q271/R271*(1+S271)*T271,"")</x:f>
        <x:v>0.547945205479452</x:v>
      </x:c>
      <x:c r="V271" t="s">
        <x:v>333</x:v>
      </x:c>
      <x:c r="W271" s="39">
        <x:v>46236.78357621528</x:v>
      </x:c>
      <x:c r="Y271" t="s">
        <x:v>224</x:v>
      </x:c>
      <x:c r="Z271" t="s">
        <x:v>160</x:v>
      </x:c>
      <x:c r="AA271" t="s">
        <x:v>847</x:v>
      </x:c>
      <x:c r="AB271" t="str">
        <x:f>IF(A271="","",IF(COUNTIF($A$5:$A$1004,A271)&gt;1,"错误:重复成本规则ID",IF(OR(B271="",C271="",D271="",E271="",F271="",K271="",O271&lt;=0,P271&lt;=0,Q271&lt;=0,R271&lt;=0,S271&lt;0,T271&lt;=0,Y271="",Z271=""),"错误:必填项","OK")))</x:f>
        <x:v>OK</x:v>
      </x:c>
    </x:row>
    <x:row r="272">
      <x:c r="A272" t="s">
        <x:v>848</x:v>
      </x:c>
      <x:c r="B272" t="s">
        <x:v>157</x:v>
      </x:c>
      <x:c r="C272" t="s">
        <x:v>845</x:v>
      </x:c>
      <x:c r="D272" t="s">
        <x:v>232</x:v>
      </x:c>
      <x:c r="E272" t="s">
        <x:v>264</x:v>
      </x:c>
      <x:c r="F272" t="s">
        <x:v>331</x:v>
      </x:c>
      <x:c r="G272" t="s">
        <x:v>319</x:v>
      </x:c>
      <x:c r="H272" t="s">
        <x:v>319</x:v>
      </x:c>
      <x:c r="I272" t="s">
        <x:v>319</x:v>
      </x:c>
      <x:c r="J272" t="s">
        <x:v>320</x:v>
      </x:c>
      <x:c r="K272" t="s">
        <x:v>150</x:v>
      </x:c>
      <x:c r="L272" t="s">
        <x:v>846</x:v>
      </x:c>
      <x:c r="M272" t="s">
        <x:v>319</x:v>
      </x:c>
      <x:c r="N272" t="s">
        <x:v>319</x:v>
      </x:c>
      <x:c r="O272" t="s">
        <x:v>846</x:v>
      </x:c>
      <x:c r="P272" t="s">
        <x:v>151</x:v>
      </x:c>
      <x:c r="Q272" t="s">
        <x:v>151</x:v>
      </x:c>
      <x:c r="R272" t="s">
        <x:v>151</x:v>
      </x:c>
      <x:c r="S272" t="s">
        <x:v>152</x:v>
      </x:c>
      <x:c r="T272" t="s">
        <x:v>322</x:v>
      </x:c>
      <x:c r="U272" t="n">
        <x:f>IFERROR(O272*P272*Q272/R272*(1+S272)*T272,"")</x:f>
        <x:v>0.547945205479452</x:v>
      </x:c>
      <x:c r="V272" t="s">
        <x:v>333</x:v>
      </x:c>
      <x:c r="W272" s="39">
        <x:v>46236.78357621528</x:v>
      </x:c>
      <x:c r="Y272" t="s">
        <x:v>224</x:v>
      </x:c>
      <x:c r="Z272" t="s">
        <x:v>160</x:v>
      </x:c>
      <x:c r="AA272" t="s">
        <x:v>847</x:v>
      </x:c>
      <x:c r="AB272" t="str">
        <x:f>IF(A272="","",IF(COUNTIF($A$5:$A$1004,A272)&gt;1,"错误:重复成本规则ID",IF(OR(B272="",C272="",D272="",E272="",F272="",K272="",O272&lt;=0,P272&lt;=0,Q272&lt;=0,R272&lt;=0,S272&lt;0,T272&lt;=0,Y272="",Z272=""),"错误:必填项","OK")))</x:f>
        <x:v>OK</x:v>
      </x:c>
    </x:row>
    <x:row r="273">
      <x:c r="A273" t="s">
        <x:v>849</x:v>
      </x:c>
      <x:c r="B273" t="s">
        <x:v>157</x:v>
      </x:c>
      <x:c r="C273" t="s">
        <x:v>850</x:v>
      </x:c>
      <x:c r="D273" t="s">
        <x:v>232</x:v>
      </x:c>
      <x:c r="E273" t="s">
        <x:v>258</x:v>
      </x:c>
      <x:c r="F273" t="s">
        <x:v>331</x:v>
      </x:c>
      <x:c r="G273" t="s">
        <x:v>319</x:v>
      </x:c>
      <x:c r="H273" t="s">
        <x:v>319</x:v>
      </x:c>
      <x:c r="I273" t="s">
        <x:v>319</x:v>
      </x:c>
      <x:c r="J273" t="s">
        <x:v>320</x:v>
      </x:c>
      <x:c r="K273" t="s">
        <x:v>150</x:v>
      </x:c>
      <x:c r="L273" t="s">
        <x:v>846</x:v>
      </x:c>
      <x:c r="M273" t="s">
        <x:v>319</x:v>
      </x:c>
      <x:c r="N273" t="s">
        <x:v>319</x:v>
      </x:c>
      <x:c r="O273" t="s">
        <x:v>846</x:v>
      </x:c>
      <x:c r="P273" t="s">
        <x:v>151</x:v>
      </x:c>
      <x:c r="Q273" t="s">
        <x:v>151</x:v>
      </x:c>
      <x:c r="R273" t="s">
        <x:v>151</x:v>
      </x:c>
      <x:c r="S273" t="s">
        <x:v>152</x:v>
      </x:c>
      <x:c r="T273" t="s">
        <x:v>322</x:v>
      </x:c>
      <x:c r="U273" t="n">
        <x:f>IFERROR(O273*P273*Q273/R273*(1+S273)*T273,"")</x:f>
        <x:v>0.547945205479452</x:v>
      </x:c>
      <x:c r="V273" t="s">
        <x:v>333</x:v>
      </x:c>
      <x:c r="W273" s="39">
        <x:v>46236.78357621528</x:v>
      </x:c>
      <x:c r="Y273" t="s">
        <x:v>224</x:v>
      </x:c>
      <x:c r="Z273" t="s">
        <x:v>160</x:v>
      </x:c>
      <x:c r="AA273" t="s">
        <x:v>851</x:v>
      </x:c>
      <x:c r="AB273" t="str">
        <x:f>IF(A273="","",IF(COUNTIF($A$5:$A$1004,A273)&gt;1,"错误:重复成本规则ID",IF(OR(B273="",C273="",D273="",E273="",F273="",K273="",O273&lt;=0,P273&lt;=0,Q273&lt;=0,R273&lt;=0,S273&lt;0,T273&lt;=0,Y273="",Z273=""),"错误:必填项","OK")))</x:f>
        <x:v>OK</x:v>
      </x:c>
    </x:row>
    <x:row r="274">
      <x:c r="A274" t="s">
        <x:v>852</x:v>
      </x:c>
      <x:c r="B274" t="s">
        <x:v>157</x:v>
      </x:c>
      <x:c r="C274" t="s">
        <x:v>850</x:v>
      </x:c>
      <x:c r="D274" t="s">
        <x:v>232</x:v>
      </x:c>
      <x:c r="E274" t="s">
        <x:v>264</x:v>
      </x:c>
      <x:c r="F274" t="s">
        <x:v>331</x:v>
      </x:c>
      <x:c r="G274" t="s">
        <x:v>319</x:v>
      </x:c>
      <x:c r="H274" t="s">
        <x:v>319</x:v>
      </x:c>
      <x:c r="I274" t="s">
        <x:v>319</x:v>
      </x:c>
      <x:c r="J274" t="s">
        <x:v>320</x:v>
      </x:c>
      <x:c r="K274" t="s">
        <x:v>150</x:v>
      </x:c>
      <x:c r="L274" t="s">
        <x:v>846</x:v>
      </x:c>
      <x:c r="M274" t="s">
        <x:v>319</x:v>
      </x:c>
      <x:c r="N274" t="s">
        <x:v>319</x:v>
      </x:c>
      <x:c r="O274" t="s">
        <x:v>846</x:v>
      </x:c>
      <x:c r="P274" t="s">
        <x:v>151</x:v>
      </x:c>
      <x:c r="Q274" t="s">
        <x:v>151</x:v>
      </x:c>
      <x:c r="R274" t="s">
        <x:v>151</x:v>
      </x:c>
      <x:c r="S274" t="s">
        <x:v>152</x:v>
      </x:c>
      <x:c r="T274" t="s">
        <x:v>322</x:v>
      </x:c>
      <x:c r="U274" t="n">
        <x:f>IFERROR(O274*P274*Q274/R274*(1+S274)*T274,"")</x:f>
        <x:v>0.547945205479452</x:v>
      </x:c>
      <x:c r="V274" t="s">
        <x:v>333</x:v>
      </x:c>
      <x:c r="W274" s="39">
        <x:v>46236.78357621528</x:v>
      </x:c>
      <x:c r="Y274" t="s">
        <x:v>224</x:v>
      </x:c>
      <x:c r="Z274" t="s">
        <x:v>160</x:v>
      </x:c>
      <x:c r="AA274" t="s">
        <x:v>851</x:v>
      </x:c>
      <x:c r="AB274" t="str">
        <x:f>IF(A274="","",IF(COUNTIF($A$5:$A$1004,A274)&gt;1,"错误:重复成本规则ID",IF(OR(B274="",C274="",D274="",E274="",F274="",K274="",O274&lt;=0,P274&lt;=0,Q274&lt;=0,R274&lt;=0,S274&lt;0,T274&lt;=0,Y274="",Z274=""),"错误:必填项","OK")))</x:f>
        <x:v>OK</x:v>
      </x:c>
    </x:row>
    <x:row r="275">
      <x:c r="A275" t="s">
        <x:v>853</x:v>
      </x:c>
      <x:c r="B275" t="s">
        <x:v>157</x:v>
      </x:c>
      <x:c r="C275" t="s">
        <x:v>854</x:v>
      </x:c>
      <x:c r="D275" t="s">
        <x:v>232</x:v>
      </x:c>
      <x:c r="E275" t="s">
        <x:v>258</x:v>
      </x:c>
      <x:c r="F275" t="s">
        <x:v>331</x:v>
      </x:c>
      <x:c r="G275" t="s">
        <x:v>319</x:v>
      </x:c>
      <x:c r="H275" t="s">
        <x:v>319</x:v>
      </x:c>
      <x:c r="I275" t="s">
        <x:v>319</x:v>
      </x:c>
      <x:c r="J275" t="s">
        <x:v>320</x:v>
      </x:c>
      <x:c r="K275" t="s">
        <x:v>150</x:v>
      </x:c>
      <x:c r="L275" t="s">
        <x:v>345</x:v>
      </x:c>
      <x:c r="M275" t="s">
        <x:v>319</x:v>
      </x:c>
      <x:c r="N275" t="s">
        <x:v>319</x:v>
      </x:c>
      <x:c r="O275" t="s">
        <x:v>345</x:v>
      </x:c>
      <x:c r="P275" t="s">
        <x:v>151</x:v>
      </x:c>
      <x:c r="Q275" t="s">
        <x:v>151</x:v>
      </x:c>
      <x:c r="R275" t="s">
        <x:v>151</x:v>
      </x:c>
      <x:c r="S275" t="s">
        <x:v>152</x:v>
      </x:c>
      <x:c r="T275" t="s">
        <x:v>322</x:v>
      </x:c>
      <x:c r="U275" t="n">
        <x:f>IFERROR(O275*P275*Q275/R275*(1+S275)*T275,"")</x:f>
        <x:v>0.6164383561643836</x:v>
      </x:c>
      <x:c r="V275" t="s">
        <x:v>333</x:v>
      </x:c>
      <x:c r="W275" s="39">
        <x:v>46236.78357621528</x:v>
      </x:c>
      <x:c r="Y275" t="s">
        <x:v>224</x:v>
      </x:c>
      <x:c r="Z275" t="s">
        <x:v>160</x:v>
      </x:c>
      <x:c r="AA275" t="s">
        <x:v>855</x:v>
      </x:c>
      <x:c r="AB275" t="str">
        <x:f>IF(A275="","",IF(COUNTIF($A$5:$A$1004,A275)&gt;1,"错误:重复成本规则ID",IF(OR(B275="",C275="",D275="",E275="",F275="",K275="",O275&lt;=0,P275&lt;=0,Q275&lt;=0,R275&lt;=0,S275&lt;0,T275&lt;=0,Y275="",Z275=""),"错误:必填项","OK")))</x:f>
        <x:v>OK</x:v>
      </x:c>
    </x:row>
    <x:row r="276">
      <x:c r="A276" t="s">
        <x:v>856</x:v>
      </x:c>
      <x:c r="B276" t="s">
        <x:v>157</x:v>
      </x:c>
      <x:c r="C276" t="s">
        <x:v>854</x:v>
      </x:c>
      <x:c r="D276" t="s">
        <x:v>232</x:v>
      </x:c>
      <x:c r="E276" t="s">
        <x:v>264</x:v>
      </x:c>
      <x:c r="F276" t="s">
        <x:v>331</x:v>
      </x:c>
      <x:c r="G276" t="s">
        <x:v>319</x:v>
      </x:c>
      <x:c r="H276" t="s">
        <x:v>319</x:v>
      </x:c>
      <x:c r="I276" t="s">
        <x:v>319</x:v>
      </x:c>
      <x:c r="J276" t="s">
        <x:v>320</x:v>
      </x:c>
      <x:c r="K276" t="s">
        <x:v>150</x:v>
      </x:c>
      <x:c r="L276" t="s">
        <x:v>345</x:v>
      </x:c>
      <x:c r="M276" t="s">
        <x:v>319</x:v>
      </x:c>
      <x:c r="N276" t="s">
        <x:v>319</x:v>
      </x:c>
      <x:c r="O276" t="s">
        <x:v>345</x:v>
      </x:c>
      <x:c r="P276" t="s">
        <x:v>151</x:v>
      </x:c>
      <x:c r="Q276" t="s">
        <x:v>151</x:v>
      </x:c>
      <x:c r="R276" t="s">
        <x:v>151</x:v>
      </x:c>
      <x:c r="S276" t="s">
        <x:v>152</x:v>
      </x:c>
      <x:c r="T276" t="s">
        <x:v>322</x:v>
      </x:c>
      <x:c r="U276" t="n">
        <x:f>IFERROR(O276*P276*Q276/R276*(1+S276)*T276,"")</x:f>
        <x:v>0.6164383561643836</x:v>
      </x:c>
      <x:c r="V276" t="s">
        <x:v>333</x:v>
      </x:c>
      <x:c r="W276" s="39">
        <x:v>46236.78357621528</x:v>
      </x:c>
      <x:c r="Y276" t="s">
        <x:v>224</x:v>
      </x:c>
      <x:c r="Z276" t="s">
        <x:v>160</x:v>
      </x:c>
      <x:c r="AA276" t="s">
        <x:v>855</x:v>
      </x:c>
      <x:c r="AB276" t="str">
        <x:f>IF(A276="","",IF(COUNTIF($A$5:$A$1004,A276)&gt;1,"错误:重复成本规则ID",IF(OR(B276="",C276="",D276="",E276="",F276="",K276="",O276&lt;=0,P276&lt;=0,Q276&lt;=0,R276&lt;=0,S276&lt;0,T276&lt;=0,Y276="",Z276=""),"错误:必填项","OK")))</x:f>
        <x:v>OK</x:v>
      </x:c>
    </x:row>
    <x:row r="277">
      <x:c r="A277" t="s">
        <x:v>857</x:v>
      </x:c>
      <x:c r="B277" t="s">
        <x:v>157</x:v>
      </x:c>
      <x:c r="C277" t="s">
        <x:v>858</x:v>
      </x:c>
      <x:c r="D277" t="s">
        <x:v>232</x:v>
      </x:c>
      <x:c r="E277" t="s">
        <x:v>258</x:v>
      </x:c>
      <x:c r="F277" t="s">
        <x:v>331</x:v>
      </x:c>
      <x:c r="G277" t="s">
        <x:v>319</x:v>
      </x:c>
      <x:c r="H277" t="s">
        <x:v>319</x:v>
      </x:c>
      <x:c r="I277" t="s">
        <x:v>319</x:v>
      </x:c>
      <x:c r="J277" t="s">
        <x:v>320</x:v>
      </x:c>
      <x:c r="K277" t="s">
        <x:v>150</x:v>
      </x:c>
      <x:c r="L277" t="s">
        <x:v>846</x:v>
      </x:c>
      <x:c r="M277" t="s">
        <x:v>319</x:v>
      </x:c>
      <x:c r="N277" t="s">
        <x:v>319</x:v>
      </x:c>
      <x:c r="O277" t="s">
        <x:v>846</x:v>
      </x:c>
      <x:c r="P277" t="s">
        <x:v>151</x:v>
      </x:c>
      <x:c r="Q277" t="s">
        <x:v>151</x:v>
      </x:c>
      <x:c r="R277" t="s">
        <x:v>151</x:v>
      </x:c>
      <x:c r="S277" t="s">
        <x:v>152</x:v>
      </x:c>
      <x:c r="T277" t="s">
        <x:v>322</x:v>
      </x:c>
      <x:c r="U277" t="n">
        <x:f>IFERROR(O277*P277*Q277/R277*(1+S277)*T277,"")</x:f>
        <x:v>0.547945205479452</x:v>
      </x:c>
      <x:c r="V277" t="s">
        <x:v>333</x:v>
      </x:c>
      <x:c r="W277" s="39">
        <x:v>46236.78357621528</x:v>
      </x:c>
      <x:c r="Y277" t="s">
        <x:v>224</x:v>
      </x:c>
      <x:c r="Z277" t="s">
        <x:v>160</x:v>
      </x:c>
      <x:c r="AA277" t="s">
        <x:v>859</x:v>
      </x:c>
      <x:c r="AB277" t="str">
        <x:f>IF(A277="","",IF(COUNTIF($A$5:$A$1004,A277)&gt;1,"错误:重复成本规则ID",IF(OR(B277="",C277="",D277="",E277="",F277="",K277="",O277&lt;=0,P277&lt;=0,Q277&lt;=0,R277&lt;=0,S277&lt;0,T277&lt;=0,Y277="",Z277=""),"错误:必填项","OK")))</x:f>
        <x:v>OK</x:v>
      </x:c>
    </x:row>
    <x:row r="278">
      <x:c r="A278" t="s">
        <x:v>860</x:v>
      </x:c>
      <x:c r="B278" t="s">
        <x:v>157</x:v>
      </x:c>
      <x:c r="C278" t="s">
        <x:v>858</x:v>
      </x:c>
      <x:c r="D278" t="s">
        <x:v>232</x:v>
      </x:c>
      <x:c r="E278" t="s">
        <x:v>264</x:v>
      </x:c>
      <x:c r="F278" t="s">
        <x:v>331</x:v>
      </x:c>
      <x:c r="G278" t="s">
        <x:v>319</x:v>
      </x:c>
      <x:c r="H278" t="s">
        <x:v>319</x:v>
      </x:c>
      <x:c r="I278" t="s">
        <x:v>319</x:v>
      </x:c>
      <x:c r="J278" t="s">
        <x:v>320</x:v>
      </x:c>
      <x:c r="K278" t="s">
        <x:v>150</x:v>
      </x:c>
      <x:c r="L278" t="s">
        <x:v>846</x:v>
      </x:c>
      <x:c r="M278" t="s">
        <x:v>319</x:v>
      </x:c>
      <x:c r="N278" t="s">
        <x:v>319</x:v>
      </x:c>
      <x:c r="O278" t="s">
        <x:v>846</x:v>
      </x:c>
      <x:c r="P278" t="s">
        <x:v>151</x:v>
      </x:c>
      <x:c r="Q278" t="s">
        <x:v>151</x:v>
      </x:c>
      <x:c r="R278" t="s">
        <x:v>151</x:v>
      </x:c>
      <x:c r="S278" t="s">
        <x:v>152</x:v>
      </x:c>
      <x:c r="T278" t="s">
        <x:v>322</x:v>
      </x:c>
      <x:c r="U278" t="n">
        <x:f>IFERROR(O278*P278*Q278/R278*(1+S278)*T278,"")</x:f>
        <x:v>0.547945205479452</x:v>
      </x:c>
      <x:c r="V278" t="s">
        <x:v>333</x:v>
      </x:c>
      <x:c r="W278" s="39">
        <x:v>46236.78357621528</x:v>
      </x:c>
      <x:c r="Y278" t="s">
        <x:v>224</x:v>
      </x:c>
      <x:c r="Z278" t="s">
        <x:v>160</x:v>
      </x:c>
      <x:c r="AA278" t="s">
        <x:v>859</x:v>
      </x:c>
      <x:c r="AB278" t="str">
        <x:f>IF(A278="","",IF(COUNTIF($A$5:$A$1004,A278)&gt;1,"错误:重复成本规则ID",IF(OR(B278="",C278="",D278="",E278="",F278="",K278="",O278&lt;=0,P278&lt;=0,Q278&lt;=0,R278&lt;=0,S278&lt;0,T278&lt;=0,Y278="",Z278=""),"错误:必填项","OK")))</x:f>
        <x:v>OK</x:v>
      </x:c>
    </x:row>
    <x:row r="279">
      <x:c r="A279" t="s">
        <x:v>861</x:v>
      </x:c>
      <x:c r="B279" t="s">
        <x:v>173</x:v>
      </x:c>
      <x:c r="C279" t="s">
        <x:v>862</x:v>
      </x:c>
      <x:c r="D279" t="s">
        <x:v>232</x:v>
      </x:c>
      <x:c r="E279" t="s">
        <x:v>258</x:v>
      </x:c>
      <x:c r="F279" t="s">
        <x:v>318</x:v>
      </x:c>
      <x:c r="G279" t="s">
        <x:v>319</x:v>
      </x:c>
      <x:c r="H279" t="s">
        <x:v>319</x:v>
      </x:c>
      <x:c r="I279" t="s">
        <x:v>319</x:v>
      </x:c>
      <x:c r="J279" t="s">
        <x:v>320</x:v>
      </x:c>
      <x:c r="K279" t="s">
        <x:v>150</x:v>
      </x:c>
      <x:c r="L279" t="s">
        <x:v>319</x:v>
      </x:c>
      <x:c r="M279" t="s">
        <x:v>565</x:v>
      </x:c>
      <x:c r="N279" t="s">
        <x:v>319</x:v>
      </x:c>
      <x:c r="O279" t="s">
        <x:v>565</x:v>
      </x:c>
      <x:c r="P279" t="s">
        <x:v>151</x:v>
      </x:c>
      <x:c r="Q279" t="s">
        <x:v>151</x:v>
      </x:c>
      <x:c r="R279" t="s">
        <x:v>151</x:v>
      </x:c>
      <x:c r="S279" t="s">
        <x:v>176</x:v>
      </x:c>
      <x:c r="T279" t="s">
        <x:v>322</x:v>
      </x:c>
      <x:c r="U279" t="n">
        <x:f>IFERROR(O279*P279*Q279/R279*(1+S279)*T279,"")</x:f>
        <x:v>0.09171232876712329</x:v>
      </x:c>
      <x:c r="V279" t="s">
        <x:v>323</x:v>
      </x:c>
      <x:c r="W279" s="39">
        <x:v>46236.78357621528</x:v>
      </x:c>
      <x:c r="Y279" t="s">
        <x:v>224</x:v>
      </x:c>
      <x:c r="Z279" t="s">
        <x:v>177</x:v>
      </x:c>
      <x:c r="AA279" t="s">
        <x:v>863</x:v>
      </x:c>
      <x:c r="AB279" t="str">
        <x:f>IF(A279="","",IF(COUNTIF($A$5:$A$1004,A279)&gt;1,"错误:重复成本规则ID",IF(OR(B279="",C279="",D279="",E279="",F279="",K279="",O279&lt;=0,P279&lt;=0,Q279&lt;=0,R279&lt;=0,S279&lt;0,T279&lt;=0,Y279="",Z279=""),"错误:必填项","OK")))</x:f>
        <x:v>OK</x:v>
      </x:c>
    </x:row>
    <x:row r="280">
      <x:c r="A280" t="s">
        <x:v>864</x:v>
      </x:c>
      <x:c r="B280" t="s">
        <x:v>173</x:v>
      </x:c>
      <x:c r="C280" t="s">
        <x:v>862</x:v>
      </x:c>
      <x:c r="D280" t="s">
        <x:v>232</x:v>
      </x:c>
      <x:c r="E280" t="s">
        <x:v>264</x:v>
      </x:c>
      <x:c r="F280" t="s">
        <x:v>318</x:v>
      </x:c>
      <x:c r="G280" t="s">
        <x:v>319</x:v>
      </x:c>
      <x:c r="H280" t="s">
        <x:v>319</x:v>
      </x:c>
      <x:c r="I280" t="s">
        <x:v>319</x:v>
      </x:c>
      <x:c r="J280" t="s">
        <x:v>320</x:v>
      </x:c>
      <x:c r="K280" t="s">
        <x:v>150</x:v>
      </x:c>
      <x:c r="L280" t="s">
        <x:v>319</x:v>
      </x:c>
      <x:c r="M280" t="s">
        <x:v>565</x:v>
      </x:c>
      <x:c r="N280" t="s">
        <x:v>319</x:v>
      </x:c>
      <x:c r="O280" t="s">
        <x:v>565</x:v>
      </x:c>
      <x:c r="P280" t="s">
        <x:v>151</x:v>
      </x:c>
      <x:c r="Q280" t="s">
        <x:v>151</x:v>
      </x:c>
      <x:c r="R280" t="s">
        <x:v>151</x:v>
      </x:c>
      <x:c r="S280" t="s">
        <x:v>176</x:v>
      </x:c>
      <x:c r="T280" t="s">
        <x:v>322</x:v>
      </x:c>
      <x:c r="U280" t="n">
        <x:f>IFERROR(O280*P280*Q280/R280*(1+S280)*T280,"")</x:f>
        <x:v>0.09171232876712329</x:v>
      </x:c>
      <x:c r="V280" t="s">
        <x:v>323</x:v>
      </x:c>
      <x:c r="W280" s="39">
        <x:v>46236.78357621528</x:v>
      </x:c>
      <x:c r="Y280" t="s">
        <x:v>224</x:v>
      </x:c>
      <x:c r="Z280" t="s">
        <x:v>177</x:v>
      </x:c>
      <x:c r="AA280" t="s">
        <x:v>863</x:v>
      </x:c>
      <x:c r="AB280" t="str">
        <x:f>IF(A280="","",IF(COUNTIF($A$5:$A$1004,A280)&gt;1,"错误:重复成本规则ID",IF(OR(B280="",C280="",D280="",E280="",F280="",K280="",O280&lt;=0,P280&lt;=0,Q280&lt;=0,R280&lt;=0,S280&lt;0,T280&lt;=0,Y280="",Z280=""),"错误:必填项","OK")))</x:f>
        <x:v>OK</x:v>
      </x:c>
    </x:row>
    <x:row r="281">
      <x:c r="A281" t="s">
        <x:v>865</x:v>
      </x:c>
      <x:c r="B281" t="s">
        <x:v>173</x:v>
      </x:c>
      <x:c r="C281" t="s">
        <x:v>862</x:v>
      </x:c>
      <x:c r="D281" t="s">
        <x:v>232</x:v>
      </x:c>
      <x:c r="E281" t="s">
        <x:v>258</x:v>
      </x:c>
      <x:c r="F281" t="s">
        <x:v>331</x:v>
      </x:c>
      <x:c r="G281" t="s">
        <x:v>319</x:v>
      </x:c>
      <x:c r="H281" t="s">
        <x:v>319</x:v>
      </x:c>
      <x:c r="I281" t="s">
        <x:v>319</x:v>
      </x:c>
      <x:c r="J281" t="s">
        <x:v>320</x:v>
      </x:c>
      <x:c r="K281" t="s">
        <x:v>150</x:v>
      </x:c>
      <x:c r="L281" t="s">
        <x:v>866</x:v>
      </x:c>
      <x:c r="M281" t="s">
        <x:v>319</x:v>
      </x:c>
      <x:c r="N281" t="s">
        <x:v>319</x:v>
      </x:c>
      <x:c r="O281" t="s">
        <x:v>866</x:v>
      </x:c>
      <x:c r="P281" t="s">
        <x:v>151</x:v>
      </x:c>
      <x:c r="Q281" t="s">
        <x:v>151</x:v>
      </x:c>
      <x:c r="R281" t="s">
        <x:v>151</x:v>
      </x:c>
      <x:c r="S281" t="s">
        <x:v>176</x:v>
      </x:c>
      <x:c r="T281" t="s">
        <x:v>322</x:v>
      </x:c>
      <x:c r="U281" t="n">
        <x:f>IFERROR(O281*P281*Q281/R281*(1+S281)*T281,"")</x:f>
        <x:v>0.9594520547945204</x:v>
      </x:c>
      <x:c r="V281" t="s">
        <x:v>333</x:v>
      </x:c>
      <x:c r="W281" s="39">
        <x:v>46236.78357621528</x:v>
      </x:c>
      <x:c r="Y281" t="s">
        <x:v>224</x:v>
      </x:c>
      <x:c r="Z281" t="s">
        <x:v>177</x:v>
      </x:c>
      <x:c r="AA281" t="s">
        <x:v>867</x:v>
      </x:c>
      <x:c r="AB281" t="str">
        <x:f>IF(A281="","",IF(COUNTIF($A$5:$A$1004,A281)&gt;1,"错误:重复成本规则ID",IF(OR(B281="",C281="",D281="",E281="",F281="",K281="",O281&lt;=0,P281&lt;=0,Q281&lt;=0,R281&lt;=0,S281&lt;0,T281&lt;=0,Y281="",Z281=""),"错误:必填项","OK")))</x:f>
        <x:v>OK</x:v>
      </x:c>
    </x:row>
    <x:row r="282">
      <x:c r="A282" t="s">
        <x:v>868</x:v>
      </x:c>
      <x:c r="B282" t="s">
        <x:v>173</x:v>
      </x:c>
      <x:c r="C282" t="s">
        <x:v>862</x:v>
      </x:c>
      <x:c r="D282" t="s">
        <x:v>232</x:v>
      </x:c>
      <x:c r="E282" t="s">
        <x:v>264</x:v>
      </x:c>
      <x:c r="F282" t="s">
        <x:v>331</x:v>
      </x:c>
      <x:c r="G282" t="s">
        <x:v>319</x:v>
      </x:c>
      <x:c r="H282" t="s">
        <x:v>319</x:v>
      </x:c>
      <x:c r="I282" t="s">
        <x:v>319</x:v>
      </x:c>
      <x:c r="J282" t="s">
        <x:v>320</x:v>
      </x:c>
      <x:c r="K282" t="s">
        <x:v>150</x:v>
      </x:c>
      <x:c r="L282" t="s">
        <x:v>866</x:v>
      </x:c>
      <x:c r="M282" t="s">
        <x:v>319</x:v>
      </x:c>
      <x:c r="N282" t="s">
        <x:v>319</x:v>
      </x:c>
      <x:c r="O282" t="s">
        <x:v>866</x:v>
      </x:c>
      <x:c r="P282" t="s">
        <x:v>151</x:v>
      </x:c>
      <x:c r="Q282" t="s">
        <x:v>151</x:v>
      </x:c>
      <x:c r="R282" t="s">
        <x:v>151</x:v>
      </x:c>
      <x:c r="S282" t="s">
        <x:v>176</x:v>
      </x:c>
      <x:c r="T282" t="s">
        <x:v>322</x:v>
      </x:c>
      <x:c r="U282" t="n">
        <x:f>IFERROR(O282*P282*Q282/R282*(1+S282)*T282,"")</x:f>
        <x:v>0.9594520547945204</x:v>
      </x:c>
      <x:c r="V282" t="s">
        <x:v>333</x:v>
      </x:c>
      <x:c r="W282" s="39">
        <x:v>46236.78357621528</x:v>
      </x:c>
      <x:c r="Y282" t="s">
        <x:v>224</x:v>
      </x:c>
      <x:c r="Z282" t="s">
        <x:v>177</x:v>
      </x:c>
      <x:c r="AA282" t="s">
        <x:v>867</x:v>
      </x:c>
      <x:c r="AB282" t="str">
        <x:f>IF(A282="","",IF(COUNTIF($A$5:$A$1004,A282)&gt;1,"错误:重复成本规则ID",IF(OR(B282="",C282="",D282="",E282="",F282="",K282="",O282&lt;=0,P282&lt;=0,Q282&lt;=0,R282&lt;=0,S282&lt;0,T282&lt;=0,Y282="",Z282=""),"错误:必填项","OK")))</x:f>
        <x:v>OK</x:v>
      </x:c>
    </x:row>
    <x:row r="283">
      <x:c r="A283" t="s">
        <x:v>869</x:v>
      </x:c>
      <x:c r="B283" t="s">
        <x:v>173</x:v>
      </x:c>
      <x:c r="C283" t="s">
        <x:v>862</x:v>
      </x:c>
      <x:c r="D283" t="s">
        <x:v>217</x:v>
      </x:c>
      <x:c r="E283" t="s">
        <x:v>258</x:v>
      </x:c>
      <x:c r="F283" t="s">
        <x:v>331</x:v>
      </x:c>
      <x:c r="G283" t="s">
        <x:v>319</x:v>
      </x:c>
      <x:c r="H283" t="s">
        <x:v>319</x:v>
      </x:c>
      <x:c r="I283" t="s">
        <x:v>319</x:v>
      </x:c>
      <x:c r="J283" t="s">
        <x:v>320</x:v>
      </x:c>
      <x:c r="K283" t="s">
        <x:v>150</x:v>
      </x:c>
      <x:c r="L283" t="s">
        <x:v>870</x:v>
      </x:c>
      <x:c r="M283" t="s">
        <x:v>319</x:v>
      </x:c>
      <x:c r="N283" t="s">
        <x:v>319</x:v>
      </x:c>
      <x:c r="O283" t="s">
        <x:v>870</x:v>
      </x:c>
      <x:c r="P283" t="s">
        <x:v>151</x:v>
      </x:c>
      <x:c r="Q283" t="s">
        <x:v>151</x:v>
      </x:c>
      <x:c r="R283" t="s">
        <x:v>151</x:v>
      </x:c>
      <x:c r="S283" t="s">
        <x:v>176</x:v>
      </x:c>
      <x:c r="T283" t="s">
        <x:v>322</x:v>
      </x:c>
      <x:c r="U283" t="n">
        <x:f>IFERROR(O283*P283*Q283/R283*(1+S283)*T283,"")</x:f>
        <x:v>1.918904109589041</x:v>
      </x:c>
      <x:c r="V283" t="s">
        <x:v>333</x:v>
      </x:c>
      <x:c r="W283" s="39">
        <x:v>46236.78357621528</x:v>
      </x:c>
      <x:c r="Y283" t="s">
        <x:v>224</x:v>
      </x:c>
      <x:c r="Z283" t="s">
        <x:v>177</x:v>
      </x:c>
      <x:c r="AA283" t="s">
        <x:v>871</x:v>
      </x:c>
      <x:c r="AB283" t="str">
        <x:f>IF(A283="","",IF(COUNTIF($A$5:$A$1004,A283)&gt;1,"错误:重复成本规则ID",IF(OR(B283="",C283="",D283="",E283="",F283="",K283="",O283&lt;=0,P283&lt;=0,Q283&lt;=0,R283&lt;=0,S283&lt;0,T283&lt;=0,Y283="",Z283=""),"错误:必填项","OK")))</x:f>
        <x:v>OK</x:v>
      </x:c>
    </x:row>
    <x:row r="284">
      <x:c r="A284" t="s">
        <x:v>872</x:v>
      </x:c>
      <x:c r="B284" t="s">
        <x:v>173</x:v>
      </x:c>
      <x:c r="C284" t="s">
        <x:v>862</x:v>
      </x:c>
      <x:c r="D284" t="s">
        <x:v>217</x:v>
      </x:c>
      <x:c r="E284" t="s">
        <x:v>264</x:v>
      </x:c>
      <x:c r="F284" t="s">
        <x:v>331</x:v>
      </x:c>
      <x:c r="G284" t="s">
        <x:v>319</x:v>
      </x:c>
      <x:c r="H284" t="s">
        <x:v>319</x:v>
      </x:c>
      <x:c r="I284" t="s">
        <x:v>319</x:v>
      </x:c>
      <x:c r="J284" t="s">
        <x:v>320</x:v>
      </x:c>
      <x:c r="K284" t="s">
        <x:v>150</x:v>
      </x:c>
      <x:c r="L284" t="s">
        <x:v>870</x:v>
      </x:c>
      <x:c r="M284" t="s">
        <x:v>319</x:v>
      </x:c>
      <x:c r="N284" t="s">
        <x:v>319</x:v>
      </x:c>
      <x:c r="O284" t="s">
        <x:v>870</x:v>
      </x:c>
      <x:c r="P284" t="s">
        <x:v>151</x:v>
      </x:c>
      <x:c r="Q284" t="s">
        <x:v>151</x:v>
      </x:c>
      <x:c r="R284" t="s">
        <x:v>151</x:v>
      </x:c>
      <x:c r="S284" t="s">
        <x:v>176</x:v>
      </x:c>
      <x:c r="T284" t="s">
        <x:v>322</x:v>
      </x:c>
      <x:c r="U284" t="n">
        <x:f>IFERROR(O284*P284*Q284/R284*(1+S284)*T284,"")</x:f>
        <x:v>1.918904109589041</x:v>
      </x:c>
      <x:c r="V284" t="s">
        <x:v>333</x:v>
      </x:c>
      <x:c r="W284" s="39">
        <x:v>46236.78357621528</x:v>
      </x:c>
      <x:c r="Y284" t="s">
        <x:v>224</x:v>
      </x:c>
      <x:c r="Z284" t="s">
        <x:v>177</x:v>
      </x:c>
      <x:c r="AA284" t="s">
        <x:v>871</x:v>
      </x:c>
      <x:c r="AB284" t="str">
        <x:f>IF(A284="","",IF(COUNTIF($A$5:$A$1004,A284)&gt;1,"错误:重复成本规则ID",IF(OR(B284="",C284="",D284="",E284="",F284="",K284="",O284&lt;=0,P284&lt;=0,Q284&lt;=0,R284&lt;=0,S284&lt;0,T284&lt;=0,Y284="",Z284=""),"错误:必填项","OK")))</x:f>
        <x:v>OK</x:v>
      </x:c>
    </x:row>
    <x:row r="285">
      <x:c r="A285" t="s">
        <x:v>873</x:v>
      </x:c>
      <x:c r="B285" t="s">
        <x:v>173</x:v>
      </x:c>
      <x:c r="C285" t="s">
        <x:v>862</x:v>
      </x:c>
      <x:c r="D285" t="s">
        <x:v>230</x:v>
      </x:c>
      <x:c r="E285" t="s">
        <x:v>258</x:v>
      </x:c>
      <x:c r="F285" t="s">
        <x:v>331</x:v>
      </x:c>
      <x:c r="G285" t="s">
        <x:v>319</x:v>
      </x:c>
      <x:c r="H285" t="s">
        <x:v>319</x:v>
      </x:c>
      <x:c r="I285" t="s">
        <x:v>319</x:v>
      </x:c>
      <x:c r="J285" t="s">
        <x:v>320</x:v>
      </x:c>
      <x:c r="K285" t="s">
        <x:v>150</x:v>
      </x:c>
      <x:c r="L285" t="s">
        <x:v>874</x:v>
      </x:c>
      <x:c r="M285" t="s">
        <x:v>319</x:v>
      </x:c>
      <x:c r="N285" t="s">
        <x:v>319</x:v>
      </x:c>
      <x:c r="O285" t="s">
        <x:v>874</x:v>
      </x:c>
      <x:c r="P285" t="s">
        <x:v>151</x:v>
      </x:c>
      <x:c r="Q285" t="s">
        <x:v>151</x:v>
      </x:c>
      <x:c r="R285" t="s">
        <x:v>151</x:v>
      </x:c>
      <x:c r="S285" t="s">
        <x:v>176</x:v>
      </x:c>
      <x:c r="T285" t="s">
        <x:v>322</x:v>
      </x:c>
      <x:c r="U285" t="n">
        <x:f>IFERROR(O285*P285*Q285/R285*(1+S285)*T285,"")</x:f>
        <x:v>3.837808219178082</x:v>
      </x:c>
      <x:c r="V285" t="s">
        <x:v>333</x:v>
      </x:c>
      <x:c r="W285" s="39">
        <x:v>46236.78357621528</x:v>
      </x:c>
      <x:c r="Y285" t="s">
        <x:v>224</x:v>
      </x:c>
      <x:c r="Z285" t="s">
        <x:v>177</x:v>
      </x:c>
      <x:c r="AA285" t="s">
        <x:v>871</x:v>
      </x:c>
      <x:c r="AB285" t="str">
        <x:f>IF(A285="","",IF(COUNTIF($A$5:$A$1004,A285)&gt;1,"错误:重复成本规则ID",IF(OR(B285="",C285="",D285="",E285="",F285="",K285="",O285&lt;=0,P285&lt;=0,Q285&lt;=0,R285&lt;=0,S285&lt;0,T285&lt;=0,Y285="",Z285=""),"错误:必填项","OK")))</x:f>
        <x:v>OK</x:v>
      </x:c>
    </x:row>
    <x:row r="286">
      <x:c r="A286" t="s">
        <x:v>875</x:v>
      </x:c>
      <x:c r="B286" t="s">
        <x:v>173</x:v>
      </x:c>
      <x:c r="C286" t="s">
        <x:v>862</x:v>
      </x:c>
      <x:c r="D286" t="s">
        <x:v>230</x:v>
      </x:c>
      <x:c r="E286" t="s">
        <x:v>264</x:v>
      </x:c>
      <x:c r="F286" t="s">
        <x:v>331</x:v>
      </x:c>
      <x:c r="G286" t="s">
        <x:v>319</x:v>
      </x:c>
      <x:c r="H286" t="s">
        <x:v>319</x:v>
      </x:c>
      <x:c r="I286" t="s">
        <x:v>319</x:v>
      </x:c>
      <x:c r="J286" t="s">
        <x:v>320</x:v>
      </x:c>
      <x:c r="K286" t="s">
        <x:v>150</x:v>
      </x:c>
      <x:c r="L286" t="s">
        <x:v>874</x:v>
      </x:c>
      <x:c r="M286" t="s">
        <x:v>319</x:v>
      </x:c>
      <x:c r="N286" t="s">
        <x:v>319</x:v>
      </x:c>
      <x:c r="O286" t="s">
        <x:v>874</x:v>
      </x:c>
      <x:c r="P286" t="s">
        <x:v>151</x:v>
      </x:c>
      <x:c r="Q286" t="s">
        <x:v>151</x:v>
      </x:c>
      <x:c r="R286" t="s">
        <x:v>151</x:v>
      </x:c>
      <x:c r="S286" t="s">
        <x:v>176</x:v>
      </x:c>
      <x:c r="T286" t="s">
        <x:v>322</x:v>
      </x:c>
      <x:c r="U286" t="n">
        <x:f>IFERROR(O286*P286*Q286/R286*(1+S286)*T286,"")</x:f>
        <x:v>3.837808219178082</x:v>
      </x:c>
      <x:c r="V286" t="s">
        <x:v>333</x:v>
      </x:c>
      <x:c r="W286" s="39">
        <x:v>46236.78357621528</x:v>
      </x:c>
      <x:c r="Y286" t="s">
        <x:v>224</x:v>
      </x:c>
      <x:c r="Z286" t="s">
        <x:v>177</x:v>
      </x:c>
      <x:c r="AA286" t="s">
        <x:v>871</x:v>
      </x:c>
      <x:c r="AB286" t="str">
        <x:f>IF(A286="","",IF(COUNTIF($A$5:$A$1004,A286)&gt;1,"错误:重复成本规则ID",IF(OR(B286="",C286="",D286="",E286="",F286="",K286="",O286&lt;=0,P286&lt;=0,Q286&lt;=0,R286&lt;=0,S286&lt;0,T286&lt;=0,Y286="",Z286=""),"错误:必填项","OK")))</x:f>
        <x:v>OK</x:v>
      </x:c>
    </x:row>
    <x:row r="287">
      <x:c r="A287" t="s">
        <x:v>876</x:v>
      </x:c>
      <x:c r="B287" t="s">
        <x:v>173</x:v>
      </x:c>
      <x:c r="C287" t="s">
        <x:v>877</x:v>
      </x:c>
      <x:c r="D287" t="s">
        <x:v>238</x:v>
      </x:c>
      <x:c r="E287" t="s">
        <x:v>258</x:v>
      </x:c>
      <x:c r="F287" t="s">
        <x:v>331</x:v>
      </x:c>
      <x:c r="G287" t="s">
        <x:v>319</x:v>
      </x:c>
      <x:c r="H287" t="s">
        <x:v>319</x:v>
      </x:c>
      <x:c r="I287" t="s">
        <x:v>319</x:v>
      </x:c>
      <x:c r="J287" t="s">
        <x:v>320</x:v>
      </x:c>
      <x:c r="K287" t="s">
        <x:v>150</x:v>
      </x:c>
      <x:c r="L287" t="s">
        <x:v>803</x:v>
      </x:c>
      <x:c r="M287" t="s">
        <x:v>319</x:v>
      </x:c>
      <x:c r="N287" t="s">
        <x:v>319</x:v>
      </x:c>
      <x:c r="O287" t="s">
        <x:v>803</x:v>
      </x:c>
      <x:c r="P287" t="s">
        <x:v>151</x:v>
      </x:c>
      <x:c r="Q287" t="s">
        <x:v>151</x:v>
      </x:c>
      <x:c r="R287" t="s">
        <x:v>151</x:v>
      </x:c>
      <x:c r="S287" t="s">
        <x:v>176</x:v>
      </x:c>
      <x:c r="T287" t="s">
        <x:v>322</x:v>
      </x:c>
      <x:c r="U287" t="n">
        <x:f>IFERROR(O287*P287*Q287/R287*(1+S287)*T287,"")</x:f>
        <x:v>0.8183561643835616</x:v>
      </x:c>
      <x:c r="V287" t="s">
        <x:v>333</x:v>
      </x:c>
      <x:c r="W287" s="39">
        <x:v>46236.78357621528</x:v>
      </x:c>
      <x:c r="Y287" t="s">
        <x:v>224</x:v>
      </x:c>
      <x:c r="Z287" t="s">
        <x:v>177</x:v>
      </x:c>
      <x:c r="AA287" t="s">
        <x:v>878</x:v>
      </x:c>
      <x:c r="AB287" t="str">
        <x:f>IF(A287="","",IF(COUNTIF($A$5:$A$1004,A287)&gt;1,"错误:重复成本规则ID",IF(OR(B287="",C287="",D287="",E287="",F287="",K287="",O287&lt;=0,P287&lt;=0,Q287&lt;=0,R287&lt;=0,S287&lt;0,T287&lt;=0,Y287="",Z287=""),"错误:必填项","OK")))</x:f>
        <x:v>OK</x:v>
      </x:c>
    </x:row>
    <x:row r="288">
      <x:c r="A288" t="s">
        <x:v>879</x:v>
      </x:c>
      <x:c r="B288" t="s">
        <x:v>173</x:v>
      </x:c>
      <x:c r="C288" t="s">
        <x:v>877</x:v>
      </x:c>
      <x:c r="D288" t="s">
        <x:v>238</x:v>
      </x:c>
      <x:c r="E288" t="s">
        <x:v>264</x:v>
      </x:c>
      <x:c r="F288" t="s">
        <x:v>331</x:v>
      </x:c>
      <x:c r="G288" t="s">
        <x:v>319</x:v>
      </x:c>
      <x:c r="H288" t="s">
        <x:v>319</x:v>
      </x:c>
      <x:c r="I288" t="s">
        <x:v>319</x:v>
      </x:c>
      <x:c r="J288" t="s">
        <x:v>320</x:v>
      </x:c>
      <x:c r="K288" t="s">
        <x:v>150</x:v>
      </x:c>
      <x:c r="L288" t="s">
        <x:v>803</x:v>
      </x:c>
      <x:c r="M288" t="s">
        <x:v>319</x:v>
      </x:c>
      <x:c r="N288" t="s">
        <x:v>319</x:v>
      </x:c>
      <x:c r="O288" t="s">
        <x:v>803</x:v>
      </x:c>
      <x:c r="P288" t="s">
        <x:v>151</x:v>
      </x:c>
      <x:c r="Q288" t="s">
        <x:v>151</x:v>
      </x:c>
      <x:c r="R288" t="s">
        <x:v>151</x:v>
      </x:c>
      <x:c r="S288" t="s">
        <x:v>176</x:v>
      </x:c>
      <x:c r="T288" t="s">
        <x:v>322</x:v>
      </x:c>
      <x:c r="U288" t="n">
        <x:f>IFERROR(O288*P288*Q288/R288*(1+S288)*T288,"")</x:f>
        <x:v>0.8183561643835616</x:v>
      </x:c>
      <x:c r="V288" t="s">
        <x:v>333</x:v>
      </x:c>
      <x:c r="W288" s="39">
        <x:v>46236.78357621528</x:v>
      </x:c>
      <x:c r="Y288" t="s">
        <x:v>224</x:v>
      </x:c>
      <x:c r="Z288" t="s">
        <x:v>177</x:v>
      </x:c>
      <x:c r="AA288" t="s">
        <x:v>878</x:v>
      </x:c>
      <x:c r="AB288" t="str">
        <x:f>IF(A288="","",IF(COUNTIF($A$5:$A$1004,A288)&gt;1,"错误:重复成本规则ID",IF(OR(B288="",C288="",D288="",E288="",F288="",K288="",O288&lt;=0,P288&lt;=0,Q288&lt;=0,R288&lt;=0,S288&lt;0,T288&lt;=0,Y288="",Z288=""),"错误:必填项","OK")))</x:f>
        <x:v>OK</x:v>
      </x:c>
    </x:row>
    <x:row r="289">
      <x:c r="A289" t="s">
        <x:v>880</x:v>
      </x:c>
      <x:c r="B289" t="s">
        <x:v>173</x:v>
      </x:c>
      <x:c r="C289" t="s">
        <x:v>881</x:v>
      </x:c>
      <x:c r="D289" t="s">
        <x:v>244</x:v>
      </x:c>
      <x:c r="E289" t="s">
        <x:v>258</x:v>
      </x:c>
      <x:c r="F289" t="s">
        <x:v>331</x:v>
      </x:c>
      <x:c r="G289" t="s">
        <x:v>319</x:v>
      </x:c>
      <x:c r="H289" t="s">
        <x:v>319</x:v>
      </x:c>
      <x:c r="I289" t="s">
        <x:v>319</x:v>
      </x:c>
      <x:c r="J289" t="s">
        <x:v>320</x:v>
      </x:c>
      <x:c r="K289" t="s">
        <x:v>150</x:v>
      </x:c>
      <x:c r="L289" t="s">
        <x:v>703</x:v>
      </x:c>
      <x:c r="M289" t="s">
        <x:v>319</x:v>
      </x:c>
      <x:c r="N289" t="s">
        <x:v>319</x:v>
      </x:c>
      <x:c r="O289" t="s">
        <x:v>703</x:v>
      </x:c>
      <x:c r="P289" t="s">
        <x:v>151</x:v>
      </x:c>
      <x:c r="Q289" t="s">
        <x:v>151</x:v>
      </x:c>
      <x:c r="R289" t="s">
        <x:v>151</x:v>
      </x:c>
      <x:c r="S289" t="s">
        <x:v>176</x:v>
      </x:c>
      <x:c r="T289" t="s">
        <x:v>322</x:v>
      </x:c>
      <x:c r="U289" t="n">
        <x:f>IFERROR(O289*P289*Q289/R289*(1+S289)*T289,"")</x:f>
        <x:v>0.6913698630136986</x:v>
      </x:c>
      <x:c r="V289" t="s">
        <x:v>333</x:v>
      </x:c>
      <x:c r="W289" s="39">
        <x:v>46236.78357621528</x:v>
      </x:c>
      <x:c r="Y289" t="s">
        <x:v>224</x:v>
      </x:c>
      <x:c r="Z289" t="s">
        <x:v>177</x:v>
      </x:c>
      <x:c r="AA289" t="s">
        <x:v>882</x:v>
      </x:c>
      <x:c r="AB289" t="str">
        <x:f>IF(A289="","",IF(COUNTIF($A$5:$A$1004,A289)&gt;1,"错误:重复成本规则ID",IF(OR(B289="",C289="",D289="",E289="",F289="",K289="",O289&lt;=0,P289&lt;=0,Q289&lt;=0,R289&lt;=0,S289&lt;0,T289&lt;=0,Y289="",Z289=""),"错误:必填项","OK")))</x:f>
        <x:v>OK</x:v>
      </x:c>
    </x:row>
    <x:row r="290">
      <x:c r="A290" t="s">
        <x:v>883</x:v>
      </x:c>
      <x:c r="B290" t="s">
        <x:v>173</x:v>
      </x:c>
      <x:c r="C290" t="s">
        <x:v>881</x:v>
      </x:c>
      <x:c r="D290" t="s">
        <x:v>244</x:v>
      </x:c>
      <x:c r="E290" t="s">
        <x:v>264</x:v>
      </x:c>
      <x:c r="F290" t="s">
        <x:v>331</x:v>
      </x:c>
      <x:c r="G290" t="s">
        <x:v>319</x:v>
      </x:c>
      <x:c r="H290" t="s">
        <x:v>319</x:v>
      </x:c>
      <x:c r="I290" t="s">
        <x:v>319</x:v>
      </x:c>
      <x:c r="J290" t="s">
        <x:v>320</x:v>
      </x:c>
      <x:c r="K290" t="s">
        <x:v>150</x:v>
      </x:c>
      <x:c r="L290" t="s">
        <x:v>703</x:v>
      </x:c>
      <x:c r="M290" t="s">
        <x:v>319</x:v>
      </x:c>
      <x:c r="N290" t="s">
        <x:v>319</x:v>
      </x:c>
      <x:c r="O290" t="s">
        <x:v>703</x:v>
      </x:c>
      <x:c r="P290" t="s">
        <x:v>151</x:v>
      </x:c>
      <x:c r="Q290" t="s">
        <x:v>151</x:v>
      </x:c>
      <x:c r="R290" t="s">
        <x:v>151</x:v>
      </x:c>
      <x:c r="S290" t="s">
        <x:v>176</x:v>
      </x:c>
      <x:c r="T290" t="s">
        <x:v>322</x:v>
      </x:c>
      <x:c r="U290" t="n">
        <x:f>IFERROR(O290*P290*Q290/R290*(1+S290)*T290,"")</x:f>
        <x:v>0.6913698630136986</x:v>
      </x:c>
      <x:c r="V290" t="s">
        <x:v>333</x:v>
      </x:c>
      <x:c r="W290" s="39">
        <x:v>46236.78357621528</x:v>
      </x:c>
      <x:c r="Y290" t="s">
        <x:v>224</x:v>
      </x:c>
      <x:c r="Z290" t="s">
        <x:v>177</x:v>
      </x:c>
      <x:c r="AA290" t="s">
        <x:v>882</x:v>
      </x:c>
      <x:c r="AB290" t="str">
        <x:f>IF(A290="","",IF(COUNTIF($A$5:$A$1004,A290)&gt;1,"错误:重复成本规则ID",IF(OR(B290="",C290="",D290="",E290="",F290="",K290="",O290&lt;=0,P290&lt;=0,Q290&lt;=0,R290&lt;=0,S290&lt;0,T290&lt;=0,Y290="",Z290=""),"错误:必填项","OK")))</x:f>
        <x:v>OK</x:v>
      </x:c>
    </x:row>
    <x:row r="291">
      <x:c r="A291" t="s">
        <x:v>884</x:v>
      </x:c>
      <x:c r="B291" t="s">
        <x:v>173</x:v>
      </x:c>
      <x:c r="C291" t="s">
        <x:v>862</x:v>
      </x:c>
      <x:c r="D291" t="s">
        <x:v>232</x:v>
      </x:c>
      <x:c r="E291" t="s">
        <x:v>258</x:v>
      </x:c>
      <x:c r="F291" t="s">
        <x:v>318</x:v>
      </x:c>
      <x:c r="G291" t="s">
        <x:v>319</x:v>
      </x:c>
      <x:c r="H291" t="s">
        <x:v>319</x:v>
      </x:c>
      <x:c r="I291" t="s">
        <x:v>319</x:v>
      </x:c>
      <x:c r="J291" t="s">
        <x:v>320</x:v>
      </x:c>
      <x:c r="K291" t="s">
        <x:v>150</x:v>
      </x:c>
      <x:c r="L291" t="s">
        <x:v>319</x:v>
      </x:c>
      <x:c r="M291" t="s">
        <x:v>885</x:v>
      </x:c>
      <x:c r="N291" t="s">
        <x:v>319</x:v>
      </x:c>
      <x:c r="O291" t="s">
        <x:v>885</x:v>
      </x:c>
      <x:c r="P291" t="s">
        <x:v>151</x:v>
      </x:c>
      <x:c r="Q291" t="s">
        <x:v>151</x:v>
      </x:c>
      <x:c r="R291" t="s">
        <x:v>151</x:v>
      </x:c>
      <x:c r="S291" t="s">
        <x:v>176</x:v>
      </x:c>
      <x:c r="T291" t="s">
        <x:v>322</x:v>
      </x:c>
      <x:c r="U291" t="n">
        <x:f>IFERROR(O291*P291*Q291/R291*(1+S291)*T291,"")</x:f>
        <x:v>0.09876712328767122</x:v>
      </x:c>
      <x:c r="V291" t="s">
        <x:v>323</x:v>
      </x:c>
      <x:c r="W291" s="39">
        <x:v>46236.78357621528</x:v>
      </x:c>
      <x:c r="Y291" t="s">
        <x:v>224</x:v>
      </x:c>
      <x:c r="Z291" t="s">
        <x:v>177</x:v>
      </x:c>
      <x:c r="AA291" t="s">
        <x:v>886</x:v>
      </x:c>
      <x:c r="AB291" t="str">
        <x:f>IF(A291="","",IF(COUNTIF($A$5:$A$1004,A291)&gt;1,"错误:重复成本规则ID",IF(OR(B291="",C291="",D291="",E291="",F291="",K291="",O291&lt;=0,P291&lt;=0,Q291&lt;=0,R291&lt;=0,S291&lt;0,T291&lt;=0,Y291="",Z291=""),"错误:必填项","OK")))</x:f>
        <x:v>OK</x:v>
      </x:c>
    </x:row>
    <x:row r="292">
      <x:c r="A292" t="s">
        <x:v>887</x:v>
      </x:c>
      <x:c r="B292" t="s">
        <x:v>173</x:v>
      </x:c>
      <x:c r="C292" t="s">
        <x:v>862</x:v>
      </x:c>
      <x:c r="D292" t="s">
        <x:v>232</x:v>
      </x:c>
      <x:c r="E292" t="s">
        <x:v>264</x:v>
      </x:c>
      <x:c r="F292" t="s">
        <x:v>318</x:v>
      </x:c>
      <x:c r="G292" t="s">
        <x:v>319</x:v>
      </x:c>
      <x:c r="H292" t="s">
        <x:v>319</x:v>
      </x:c>
      <x:c r="I292" t="s">
        <x:v>319</x:v>
      </x:c>
      <x:c r="J292" t="s">
        <x:v>320</x:v>
      </x:c>
      <x:c r="K292" t="s">
        <x:v>150</x:v>
      </x:c>
      <x:c r="L292" t="s">
        <x:v>319</x:v>
      </x:c>
      <x:c r="M292" t="s">
        <x:v>885</x:v>
      </x:c>
      <x:c r="N292" t="s">
        <x:v>319</x:v>
      </x:c>
      <x:c r="O292" t="s">
        <x:v>885</x:v>
      </x:c>
      <x:c r="P292" t="s">
        <x:v>151</x:v>
      </x:c>
      <x:c r="Q292" t="s">
        <x:v>151</x:v>
      </x:c>
      <x:c r="R292" t="s">
        <x:v>151</x:v>
      </x:c>
      <x:c r="S292" t="s">
        <x:v>176</x:v>
      </x:c>
      <x:c r="T292" t="s">
        <x:v>322</x:v>
      </x:c>
      <x:c r="U292" t="n">
        <x:f>IFERROR(O292*P292*Q292/R292*(1+S292)*T292,"")</x:f>
        <x:v>0.09876712328767122</x:v>
      </x:c>
      <x:c r="V292" t="s">
        <x:v>323</x:v>
      </x:c>
      <x:c r="W292" s="39">
        <x:v>46236.78357621528</x:v>
      </x:c>
      <x:c r="Y292" t="s">
        <x:v>224</x:v>
      </x:c>
      <x:c r="Z292" t="s">
        <x:v>177</x:v>
      </x:c>
      <x:c r="AA292" t="s">
        <x:v>886</x:v>
      </x:c>
      <x:c r="AB292" t="str">
        <x:f>IF(A292="","",IF(COUNTIF($A$5:$A$1004,A292)&gt;1,"错误:重复成本规则ID",IF(OR(B292="",C292="",D292="",E292="",F292="",K292="",O292&lt;=0,P292&lt;=0,Q292&lt;=0,R292&lt;=0,S292&lt;0,T292&lt;=0,Y292="",Z292=""),"错误:必填项","OK")))</x:f>
        <x:v>OK</x:v>
      </x:c>
    </x:row>
    <x:row r="293">
      <x:c r="A293" t="s">
        <x:v>888</x:v>
      </x:c>
      <x:c r="B293" t="s">
        <x:v>173</x:v>
      </x:c>
      <x:c r="C293" t="s">
        <x:v>862</x:v>
      </x:c>
      <x:c r="D293" t="s">
        <x:v>217</x:v>
      </x:c>
      <x:c r="E293" t="s">
        <x:v>258</x:v>
      </x:c>
      <x:c r="F293" t="s">
        <x:v>318</x:v>
      </x:c>
      <x:c r="G293" t="s">
        <x:v>319</x:v>
      </x:c>
      <x:c r="H293" t="s">
        <x:v>319</x:v>
      </x:c>
      <x:c r="I293" t="s">
        <x:v>319</x:v>
      </x:c>
      <x:c r="J293" t="s">
        <x:v>320</x:v>
      </x:c>
      <x:c r="K293" t="s">
        <x:v>150</x:v>
      </x:c>
      <x:c r="L293" t="s">
        <x:v>319</x:v>
      </x:c>
      <x:c r="M293" t="s">
        <x:v>889</x:v>
      </x:c>
      <x:c r="N293" t="s">
        <x:v>319</x:v>
      </x:c>
      <x:c r="O293" t="s">
        <x:v>889</x:v>
      </x:c>
      <x:c r="P293" t="s">
        <x:v>151</x:v>
      </x:c>
      <x:c r="Q293" t="s">
        <x:v>151</x:v>
      </x:c>
      <x:c r="R293" t="s">
        <x:v>151</x:v>
      </x:c>
      <x:c r="S293" t="s">
        <x:v>176</x:v>
      </x:c>
      <x:c r="T293" t="s">
        <x:v>322</x:v>
      </x:c>
      <x:c r="U293" t="n">
        <x:f>IFERROR(O293*P293*Q293/R293*(1+S293)*T293,"")</x:f>
        <x:v>0.24691780821917808</x:v>
      </x:c>
      <x:c r="V293" t="s">
        <x:v>323</x:v>
      </x:c>
      <x:c r="W293" s="39">
        <x:v>46236.78357621528</x:v>
      </x:c>
      <x:c r="Y293" t="s">
        <x:v>224</x:v>
      </x:c>
      <x:c r="Z293" t="s">
        <x:v>177</x:v>
      </x:c>
      <x:c r="AA293" t="s">
        <x:v>886</x:v>
      </x:c>
      <x:c r="AB293" t="str">
        <x:f>IF(A293="","",IF(COUNTIF($A$5:$A$1004,A293)&gt;1,"错误:重复成本规则ID",IF(OR(B293="",C293="",D293="",E293="",F293="",K293="",O293&lt;=0,P293&lt;=0,Q293&lt;=0,R293&lt;=0,S293&lt;0,T293&lt;=0,Y293="",Z293=""),"错误:必填项","OK")))</x:f>
        <x:v>OK</x:v>
      </x:c>
    </x:row>
    <x:row r="294">
      <x:c r="A294" t="s">
        <x:v>890</x:v>
      </x:c>
      <x:c r="B294" t="s">
        <x:v>173</x:v>
      </x:c>
      <x:c r="C294" t="s">
        <x:v>862</x:v>
      </x:c>
      <x:c r="D294" t="s">
        <x:v>217</x:v>
      </x:c>
      <x:c r="E294" t="s">
        <x:v>264</x:v>
      </x:c>
      <x:c r="F294" t="s">
        <x:v>318</x:v>
      </x:c>
      <x:c r="G294" t="s">
        <x:v>319</x:v>
      </x:c>
      <x:c r="H294" t="s">
        <x:v>319</x:v>
      </x:c>
      <x:c r="I294" t="s">
        <x:v>319</x:v>
      </x:c>
      <x:c r="J294" t="s">
        <x:v>320</x:v>
      </x:c>
      <x:c r="K294" t="s">
        <x:v>150</x:v>
      </x:c>
      <x:c r="L294" t="s">
        <x:v>319</x:v>
      </x:c>
      <x:c r="M294" t="s">
        <x:v>889</x:v>
      </x:c>
      <x:c r="N294" t="s">
        <x:v>319</x:v>
      </x:c>
      <x:c r="O294" t="s">
        <x:v>889</x:v>
      </x:c>
      <x:c r="P294" t="s">
        <x:v>151</x:v>
      </x:c>
      <x:c r="Q294" t="s">
        <x:v>151</x:v>
      </x:c>
      <x:c r="R294" t="s">
        <x:v>151</x:v>
      </x:c>
      <x:c r="S294" t="s">
        <x:v>176</x:v>
      </x:c>
      <x:c r="T294" t="s">
        <x:v>322</x:v>
      </x:c>
      <x:c r="U294" t="n">
        <x:f>IFERROR(O294*P294*Q294/R294*(1+S294)*T294,"")</x:f>
        <x:v>0.24691780821917808</x:v>
      </x:c>
      <x:c r="V294" t="s">
        <x:v>323</x:v>
      </x:c>
      <x:c r="W294" s="39">
        <x:v>46236.78357621528</x:v>
      </x:c>
      <x:c r="Y294" t="s">
        <x:v>224</x:v>
      </x:c>
      <x:c r="Z294" t="s">
        <x:v>177</x:v>
      </x:c>
      <x:c r="AA294" t="s">
        <x:v>886</x:v>
      </x:c>
      <x:c r="AB294" t="str">
        <x:f>IF(A294="","",IF(COUNTIF($A$5:$A$1004,A294)&gt;1,"错误:重复成本规则ID",IF(OR(B294="",C294="",D294="",E294="",F294="",K294="",O294&lt;=0,P294&lt;=0,Q294&lt;=0,R294&lt;=0,S294&lt;0,T294&lt;=0,Y294="",Z294=""),"错误:必填项","OK")))</x:f>
        <x:v>OK</x:v>
      </x:c>
    </x:row>
    <x:row r="295">
      <x:c r="A295" t="s">
        <x:v>891</x:v>
      </x:c>
      <x:c r="B295" t="s">
        <x:v>173</x:v>
      </x:c>
      <x:c r="C295" t="s">
        <x:v>877</x:v>
      </x:c>
      <x:c r="D295" t="s">
        <x:v>238</x:v>
      </x:c>
      <x:c r="E295" t="s">
        <x:v>258</x:v>
      </x:c>
      <x:c r="F295" t="s">
        <x:v>318</x:v>
      </x:c>
      <x:c r="G295" t="s">
        <x:v>319</x:v>
      </x:c>
      <x:c r="H295" t="s">
        <x:v>319</x:v>
      </x:c>
      <x:c r="I295" t="s">
        <x:v>319</x:v>
      </x:c>
      <x:c r="J295" t="s">
        <x:v>320</x:v>
      </x:c>
      <x:c r="K295" t="s">
        <x:v>150</x:v>
      </x:c>
      <x:c r="L295" t="s">
        <x:v>319</x:v>
      </x:c>
      <x:c r="M295" t="s">
        <x:v>892</x:v>
      </x:c>
      <x:c r="N295" t="s">
        <x:v>319</x:v>
      </x:c>
      <x:c r="O295" t="s">
        <x:v>892</x:v>
      </x:c>
      <x:c r="P295" t="s">
        <x:v>151</x:v>
      </x:c>
      <x:c r="Q295" t="s">
        <x:v>151</x:v>
      </x:c>
      <x:c r="R295" t="s">
        <x:v>151</x:v>
      </x:c>
      <x:c r="S295" t="s">
        <x:v>176</x:v>
      </x:c>
      <x:c r="T295" t="s">
        <x:v>322</x:v>
      </x:c>
      <x:c r="U295" t="n">
        <x:f>IFERROR(O295*P295*Q295/R295*(1+S295)*T295,"")</x:f>
        <x:v>0.07901369863013699</x:v>
      </x:c>
      <x:c r="V295" t="s">
        <x:v>323</x:v>
      </x:c>
      <x:c r="W295" s="39">
        <x:v>46236.78357621528</x:v>
      </x:c>
      <x:c r="Y295" t="s">
        <x:v>224</x:v>
      </x:c>
      <x:c r="Z295" t="s">
        <x:v>177</x:v>
      </x:c>
      <x:c r="AA295" t="s">
        <x:v>893</x:v>
      </x:c>
      <x:c r="AB295" t="str">
        <x:f>IF(A295="","",IF(COUNTIF($A$5:$A$1004,A295)&gt;1,"错误:重复成本规则ID",IF(OR(B295="",C295="",D295="",E295="",F295="",K295="",O295&lt;=0,P295&lt;=0,Q295&lt;=0,R295&lt;=0,S295&lt;0,T295&lt;=0,Y295="",Z295=""),"错误:必填项","OK")))</x:f>
        <x:v>OK</x:v>
      </x:c>
    </x:row>
    <x:row r="296">
      <x:c r="A296" t="s">
        <x:v>894</x:v>
      </x:c>
      <x:c r="B296" t="s">
        <x:v>173</x:v>
      </x:c>
      <x:c r="C296" t="s">
        <x:v>877</x:v>
      </x:c>
      <x:c r="D296" t="s">
        <x:v>238</x:v>
      </x:c>
      <x:c r="E296" t="s">
        <x:v>264</x:v>
      </x:c>
      <x:c r="F296" t="s">
        <x:v>318</x:v>
      </x:c>
      <x:c r="G296" t="s">
        <x:v>319</x:v>
      </x:c>
      <x:c r="H296" t="s">
        <x:v>319</x:v>
      </x:c>
      <x:c r="I296" t="s">
        <x:v>319</x:v>
      </x:c>
      <x:c r="J296" t="s">
        <x:v>320</x:v>
      </x:c>
      <x:c r="K296" t="s">
        <x:v>150</x:v>
      </x:c>
      <x:c r="L296" t="s">
        <x:v>319</x:v>
      </x:c>
      <x:c r="M296" t="s">
        <x:v>892</x:v>
      </x:c>
      <x:c r="N296" t="s">
        <x:v>319</x:v>
      </x:c>
      <x:c r="O296" t="s">
        <x:v>892</x:v>
      </x:c>
      <x:c r="P296" t="s">
        <x:v>151</x:v>
      </x:c>
      <x:c r="Q296" t="s">
        <x:v>151</x:v>
      </x:c>
      <x:c r="R296" t="s">
        <x:v>151</x:v>
      </x:c>
      <x:c r="S296" t="s">
        <x:v>176</x:v>
      </x:c>
      <x:c r="T296" t="s">
        <x:v>322</x:v>
      </x:c>
      <x:c r="U296" t="n">
        <x:f>IFERROR(O296*P296*Q296/R296*(1+S296)*T296,"")</x:f>
        <x:v>0.07901369863013699</x:v>
      </x:c>
      <x:c r="V296" t="s">
        <x:v>323</x:v>
      </x:c>
      <x:c r="W296" s="39">
        <x:v>46236.78357621528</x:v>
      </x:c>
      <x:c r="Y296" t="s">
        <x:v>224</x:v>
      </x:c>
      <x:c r="Z296" t="s">
        <x:v>177</x:v>
      </x:c>
      <x:c r="AA296" t="s">
        <x:v>893</x:v>
      </x:c>
      <x:c r="AB296" t="str">
        <x:f>IF(A296="","",IF(COUNTIF($A$5:$A$1004,A296)&gt;1,"错误:重复成本规则ID",IF(OR(B296="",C296="",D296="",E296="",F296="",K296="",O296&lt;=0,P296&lt;=0,Q296&lt;=0,R296&lt;=0,S296&lt;0,T296&lt;=0,Y296="",Z296=""),"错误:必填项","OK")))</x:f>
        <x:v>OK</x:v>
      </x:c>
    </x:row>
    <x:row r="297">
      <x:c r="A297" t="s">
        <x:v>895</x:v>
      </x:c>
      <x:c r="B297" t="s">
        <x:v>173</x:v>
      </x:c>
      <x:c r="C297" t="s">
        <x:v>881</x:v>
      </x:c>
      <x:c r="D297" t="s">
        <x:v>244</x:v>
      </x:c>
      <x:c r="E297" t="s">
        <x:v>258</x:v>
      </x:c>
      <x:c r="F297" t="s">
        <x:v>318</x:v>
      </x:c>
      <x:c r="G297" t="s">
        <x:v>319</x:v>
      </x:c>
      <x:c r="H297" t="s">
        <x:v>319</x:v>
      </x:c>
      <x:c r="I297" t="s">
        <x:v>319</x:v>
      </x:c>
      <x:c r="J297" t="s">
        <x:v>320</x:v>
      </x:c>
      <x:c r="K297" t="s">
        <x:v>150</x:v>
      </x:c>
      <x:c r="L297" t="s">
        <x:v>319</x:v>
      </x:c>
      <x:c r="M297" t="s">
        <x:v>370</x:v>
      </x:c>
      <x:c r="N297" t="s">
        <x:v>319</x:v>
      </x:c>
      <x:c r="O297" t="s">
        <x:v>370</x:v>
      </x:c>
      <x:c r="P297" t="s">
        <x:v>151</x:v>
      </x:c>
      <x:c r="Q297" t="s">
        <x:v>151</x:v>
      </x:c>
      <x:c r="R297" t="s">
        <x:v>151</x:v>
      </x:c>
      <x:c r="S297" t="s">
        <x:v>176</x:v>
      </x:c>
      <x:c r="T297" t="s">
        <x:v>322</x:v>
      </x:c>
      <x:c r="U297" t="n">
        <x:f>IFERROR(O297*P297*Q297/R297*(1+S297)*T297,"")</x:f>
        <x:v>0.06772602739726027</x:v>
      </x:c>
      <x:c r="V297" t="s">
        <x:v>323</x:v>
      </x:c>
      <x:c r="W297" s="39">
        <x:v>46236.78357621528</x:v>
      </x:c>
      <x:c r="Y297" t="s">
        <x:v>224</x:v>
      </x:c>
      <x:c r="Z297" t="s">
        <x:v>177</x:v>
      </x:c>
      <x:c r="AA297" t="s">
        <x:v>896</x:v>
      </x:c>
      <x:c r="AB297" t="str">
        <x:f>IF(A297="","",IF(COUNTIF($A$5:$A$1004,A297)&gt;1,"错误:重复成本规则ID",IF(OR(B297="",C297="",D297="",E297="",F297="",K297="",O297&lt;=0,P297&lt;=0,Q297&lt;=0,R297&lt;=0,S297&lt;0,T297&lt;=0,Y297="",Z297=""),"错误:必填项","OK")))</x:f>
        <x:v>OK</x:v>
      </x:c>
    </x:row>
    <x:row r="298">
      <x:c r="A298" t="s">
        <x:v>897</x:v>
      </x:c>
      <x:c r="B298" t="s">
        <x:v>173</x:v>
      </x:c>
      <x:c r="C298" t="s">
        <x:v>881</x:v>
      </x:c>
      <x:c r="D298" t="s">
        <x:v>244</x:v>
      </x:c>
      <x:c r="E298" t="s">
        <x:v>264</x:v>
      </x:c>
      <x:c r="F298" t="s">
        <x:v>318</x:v>
      </x:c>
      <x:c r="G298" t="s">
        <x:v>319</x:v>
      </x:c>
      <x:c r="H298" t="s">
        <x:v>319</x:v>
      </x:c>
      <x:c r="I298" t="s">
        <x:v>319</x:v>
      </x:c>
      <x:c r="J298" t="s">
        <x:v>320</x:v>
      </x:c>
      <x:c r="K298" t="s">
        <x:v>150</x:v>
      </x:c>
      <x:c r="L298" t="s">
        <x:v>319</x:v>
      </x:c>
      <x:c r="M298" t="s">
        <x:v>370</x:v>
      </x:c>
      <x:c r="N298" t="s">
        <x:v>319</x:v>
      </x:c>
      <x:c r="O298" t="s">
        <x:v>370</x:v>
      </x:c>
      <x:c r="P298" t="s">
        <x:v>151</x:v>
      </x:c>
      <x:c r="Q298" t="s">
        <x:v>151</x:v>
      </x:c>
      <x:c r="R298" t="s">
        <x:v>151</x:v>
      </x:c>
      <x:c r="S298" t="s">
        <x:v>176</x:v>
      </x:c>
      <x:c r="T298" t="s">
        <x:v>322</x:v>
      </x:c>
      <x:c r="U298" t="n">
        <x:f>IFERROR(O298*P298*Q298/R298*(1+S298)*T298,"")</x:f>
        <x:v>0.06772602739726027</x:v>
      </x:c>
      <x:c r="V298" t="s">
        <x:v>323</x:v>
      </x:c>
      <x:c r="W298" s="39">
        <x:v>46236.78357621528</x:v>
      </x:c>
      <x:c r="Y298" t="s">
        <x:v>224</x:v>
      </x:c>
      <x:c r="Z298" t="s">
        <x:v>177</x:v>
      </x:c>
      <x:c r="AA298" t="s">
        <x:v>896</x:v>
      </x:c>
      <x:c r="AB298" t="str">
        <x:f>IF(A298="","",IF(COUNTIF($A$5:$A$1004,A298)&gt;1,"错误:重复成本规则ID",IF(OR(B298="",C298="",D298="",E298="",F298="",K298="",O298&lt;=0,P298&lt;=0,Q298&lt;=0,R298&lt;=0,S298&lt;0,T298&lt;=0,Y298="",Z298=""),"错误:必填项","OK")))</x:f>
        <x:v>OK</x:v>
      </x:c>
    </x:row>
  </x:sheetData>
  <x:mergeCells>
    <x:mergeCell ref="A1:AB1"/>
    <x:mergeCell ref="A2:AB2"/>
  </x:mergeCells>
  <x:conditionalFormatting sqref="Y5:Y216">
    <x:cfRule type="containsText" dxfId="0" priority="1">
      <x:formula>NOT(ISERROR(SEARCH("undefined",Y5)))</x:formula>
    </x:cfRule>
    <x:cfRule type="containsText" dxfId="1" priority="2">
      <x:formula>NOT(ISERROR(SEARCH("undefined",Y5)))</x:formula>
    </x:cfRule>
  </x:conditionalFormatting>
  <x:conditionalFormatting sqref="AB5:AB216">
    <x:cfRule type="containsText" dxfId="2" priority="3">
      <x:formula>NOT(ISERROR(SEARCH("undefined",AB5)))</x:formula>
    </x:cfRule>
  </x:conditionalFormatting>
  <x:dataValidations count="14">
    <x:dataValidation type="list" sqref="E10:E1004">
      <x:formula1>"no_video,with_video"</x:formula1>
    </x:dataValidation>
    <x:dataValidation type="list" sqref="E5:E1004">
      <x:formula1>"no_video,with_video"</x:formula1>
    </x:dataValidation>
    <x:dataValidation type="list" sqref="F10:F1004">
      <x:formula1>"per_request,per_duration,per_token"</x:formula1>
    </x:dataValidation>
    <x:dataValidation type="list" sqref="F5:F1004">
      <x:formula1>"per_request,per_duration,per_token"</x:formula1>
    </x:dataValidation>
    <x:dataValidation type="list" sqref="G10:G1004">
      <x:formula1>"total,input_output"</x:formula1>
    </x:dataValidation>
    <x:dataValidation type="list" sqref="G5:G1004">
      <x:formula1>"total,input_output"</x:formula1>
    </x:dataValidation>
    <x:dataValidation type="list" sqref="H10:H1004">
      <x:formula1>"validated_request,upstream_actual,upstream_usage,local_usage,video_pixel_tokens"</x:formula1>
    </x:dataValidation>
    <x:dataValidation type="list" sqref="H5:H1004">
      <x:formula1>"validated_request,upstream_actual,upstream_usage,local_usage,video_pixel_tokens"</x:formula1>
    </x:dataValidation>
    <x:dataValidation type="list" sqref="J10:J1004">
      <x:formula1>"task_succeeded,submit_accepted"</x:formula1>
    </x:dataValidation>
    <x:dataValidation type="list" sqref="J5:J1004">
      <x:formula1>"task_succeeded,submit_accepted"</x:formula1>
    </x:dataValidation>
    <x:dataValidation type="list" sqref="K10:K1004">
      <x:formula1>"CNY,USD"</x:formula1>
    </x:dataValidation>
    <x:dataValidation type="list" sqref="K5:K1004">
      <x:formula1>"CNY,USD"</x:formula1>
    </x:dataValidation>
    <x:dataValidation type="list" sqref="Y10:Y1004">
      <x:formula1>"draft,active,inactive,invalid"</x:formula1>
    </x:dataValidation>
    <x:dataValidation type="list" sqref="Y5:Y1004">
      <x:formula1>"draft,active,inactive,invalid"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40" customWidth="1"/>
    <x:col min="2" max="2" width="30.6875" customWidth="1"/>
    <x:col min="3" max="3" width="16" customWidth="1"/>
    <x:col min="4" max="4" width="27" customWidth="1"/>
    <x:col min="5" max="5" width="24" customWidth="1"/>
    <x:col min="6" max="6" width="17" customWidth="1"/>
    <x:col min="7" max="7" width="10" customWidth="1"/>
    <x:col min="8" max="10" width="14" customWidth="1"/>
    <x:col min="11" max="11" width="16" hidden="0" customWidth="1"/>
    <x:col min="12" max="12" width="16" hidden="0" customWidth="1"/>
    <x:col min="8" max="8" width="12" hidden="0" customWidth="1"/>
    <x:col min="9" max="9" width="12" hidden="0" customWidth="1"/>
    <x:col min="10" max="10" width="14" hidden="0" customWidth="1"/>
    <x:col min="13" max="13" width="18" hidden="0" customWidth="1"/>
    <x:col min="14" max="14" width="60" hidden="0" customWidth="1"/>
    <x:col min="15" max="15" width="10" hidden="0" customWidth="1"/>
  </x:cols>
  <x:sheetData>
    <x:row r="1" ht="34.04999923706055" customHeight="1">
      <x:c r="A1" s="1" t="s">
        <x:v>47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/>
      <x:c r="N1"/>
      <x:c r="O1"/>
    </x:row>
    <x:row r="2" ht="32" customHeight="1">
      <x:c r="A2" s="2" t="s">
        <x:v>898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/>
      <x:c r="N2"/>
      <x:c r="O2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/>
      <x:c r="N3"/>
      <x:c r="O3"/>
    </x:row>
    <x:row r="4" ht="34.04999923706055" customHeight="1">
      <x:c r="A4" s="4" t="s">
        <x:v>49</x:v>
      </x:c>
      <x:c r="B4" s="4" t="s">
        <x:v>246</x:v>
      </x:c>
      <x:c r="C4" s="4" t="s">
        <x:v>20</x:v>
      </x:c>
      <x:c r="D4" s="4" t="s">
        <x:v>304</x:v>
      </x:c>
      <x:c r="E4" s="4" t="s">
        <x:v>28</x:v>
      </x:c>
      <x:c r="F4" s="4" t="s">
        <x:v>899</x:v>
      </x:c>
      <x:c r="G4" s="4" t="s">
        <x:v>900</x:v>
      </x:c>
      <x:c r="H4" s="4" t="str">
        <x:v>最小时长秒</x:v>
      </x:c>
      <x:c r="I4" s="4" t="str">
        <x:v>最大时长秒</x:v>
      </x:c>
      <x:c r="J4" s="4" t="str">
        <x:v>可用时长秒</x:v>
      </x:c>
      <x:c r="K4" s="4" t="s">
        <x:v>255</x:v>
      </x:c>
      <x:c r="L4" s="4" t="s">
        <x:v>256</x:v>
      </x:c>
      <x:c r="M4" t="s">
        <x:v>62</x:v>
      </x:c>
      <x:c r="N4" t="s">
        <x:v>9</x:v>
      </x:c>
      <x:c r="O4" t="s">
        <x:v>67</x:v>
      </x:c>
    </x:row>
    <x:row r="5" ht="39.599998474121094" hidden="1" customHeight="1">
      <x:c r="A5" s="3" t="s">
        <x:v>901</x:v>
      </x:c>
      <x:c r="B5" s="3" t="s">
        <x:v>241</x:v>
      </x:c>
      <x:c r="C5" s="3" t="s">
        <x:v>194</x:v>
      </x:c>
      <x:c r="D5" s="3" t="s">
        <x:v>317</x:v>
      </x:c>
      <x:c r="E5" s="3" t="s">
        <x:v>240</x:v>
      </x:c>
      <x:c r="F5" s="3" t="s">
        <x:v>258</x:v>
      </x:c>
      <x:c r="G5" s="3" t="s">
        <x:v>23</x:v>
      </x:c>
      <x:c r="H5" s="45" t="n">
        <x:v>4</x:v>
      </x:c>
      <x:c r="I5" s="45" t="n">
        <x:v>15</x:v>
      </x:c>
      <x:c r="J5" s="47"/>
      <x:c r="K5" s="17">
        <x:v>46236.78357630787</x:v>
      </x:c>
      <x:c r="L5" s="33"/>
      <x:c r="M5" t="s">
        <x:v>197</x:v>
      </x:c>
      <x:c r="N5" t="s">
        <x:v>902</x:v>
      </x:c>
      <x:c r="O5" t="str">
        <x:f>IF(A5="","",IF(COUNTIF($A$5:$A$1004,A5)&gt;1,"错误:重复映射ID",IF(OR(B5="",C5="",D5="",E5="",F5="",G5="",AND(J5="",OR(H5&lt;=0,I5&lt;H5)),M5=""),"错误:必填项","OK")))</x:f>
        <x:v>OK</x:v>
      </x:c>
    </x:row>
    <x:row r="6" ht="39.599998474121094" hidden="1" customHeight="1">
      <x:c r="A6" s="3" t="s">
        <x:v>903</x:v>
      </x:c>
      <x:c r="B6" s="3" t="s">
        <x:v>241</x:v>
      </x:c>
      <x:c r="C6" s="3" t="s">
        <x:v>194</x:v>
      </x:c>
      <x:c r="D6" s="3" t="s">
        <x:v>317</x:v>
      </x:c>
      <x:c r="E6" s="3" t="s">
        <x:v>244</x:v>
      </x:c>
      <x:c r="F6" s="3" t="s">
        <x:v>258</x:v>
      </x:c>
      <x:c r="G6" s="3" t="s">
        <x:v>23</x:v>
      </x:c>
      <x:c r="H6" s="45" t="n">
        <x:v>4</x:v>
      </x:c>
      <x:c r="I6" s="45" t="n">
        <x:v>15</x:v>
      </x:c>
      <x:c r="J6" s="47"/>
      <x:c r="K6" s="17">
        <x:v>46236.78357630787</x:v>
      </x:c>
      <x:c r="L6" s="33"/>
      <x:c r="M6" t="s">
        <x:v>197</x:v>
      </x:c>
      <x:c r="N6" t="s">
        <x:v>902</x:v>
      </x:c>
      <x:c r="O6" t="str">
        <x:f>IF(A6="","",IF(COUNTIF($A$5:$A$1004,A6)&gt;1,"错误:重复映射ID",IF(OR(B6="",C6="",D6="",E6="",F6="",G6="",AND(J6="",OR(H6&lt;=0,I6&lt;H6)),M6=""),"错误:必填项","OK")))</x:f>
        <x:v>OK</x:v>
      </x:c>
    </x:row>
    <x:row r="7" ht="39.599998474121094" hidden="1" customHeight="1">
      <x:c r="A7" s="3" t="s">
        <x:v>904</x:v>
      </x:c>
      <x:c r="B7" s="3" t="s">
        <x:v>241</x:v>
      </x:c>
      <x:c r="C7" s="3" t="s">
        <x:v>194</x:v>
      </x:c>
      <x:c r="D7" s="3" t="s">
        <x:v>330</x:v>
      </x:c>
      <x:c r="E7" s="3" t="s">
        <x:v>240</x:v>
      </x:c>
      <x:c r="F7" s="3" t="s">
        <x:v>258</x:v>
      </x:c>
      <x:c r="G7" s="3" t="s">
        <x:v>23</x:v>
      </x:c>
      <x:c r="H7" s="45" t="n">
        <x:v>4</x:v>
      </x:c>
      <x:c r="I7" s="45" t="n">
        <x:v>15</x:v>
      </x:c>
      <x:c r="J7" s="47"/>
      <x:c r="K7" s="17">
        <x:v>46236.78357630787</x:v>
      </x:c>
      <x:c r="L7" s="33"/>
      <x:c r="M7" t="s">
        <x:v>197</x:v>
      </x:c>
      <x:c r="N7" t="s">
        <x:v>905</x:v>
      </x:c>
      <x:c r="O7" t="str">
        <x:f>IF(A7="","",IF(COUNTIF($A$5:$A$1004,A7)&gt;1,"错误:重复映射ID",IF(OR(B7="",C7="",D7="",E7="",F7="",G7="",AND(J7="",OR(H7&lt;=0,I7&lt;H7)),M7=""),"错误:必填项","OK")))</x:f>
        <x:v>OK</x:v>
      </x:c>
    </x:row>
    <x:row r="8" ht="39.599998474121094" hidden="1" customHeight="1">
      <x:c r="A8" s="3" t="s">
        <x:v>906</x:v>
      </x:c>
      <x:c r="B8" s="3" t="s">
        <x:v>241</x:v>
      </x:c>
      <x:c r="C8" s="3" t="s">
        <x:v>194</x:v>
      </x:c>
      <x:c r="D8" s="3" t="s">
        <x:v>330</x:v>
      </x:c>
      <x:c r="E8" s="3" t="s">
        <x:v>244</x:v>
      </x:c>
      <x:c r="F8" s="3" t="s">
        <x:v>258</x:v>
      </x:c>
      <x:c r="G8" s="3" t="s">
        <x:v>23</x:v>
      </x:c>
      <x:c r="H8" s="45" t="n">
        <x:v>4</x:v>
      </x:c>
      <x:c r="I8" s="45" t="n">
        <x:v>15</x:v>
      </x:c>
      <x:c r="J8" s="47"/>
      <x:c r="K8" s="17">
        <x:v>46236.78357630787</x:v>
      </x:c>
      <x:c r="L8" s="33"/>
      <x:c r="M8" t="s">
        <x:v>197</x:v>
      </x:c>
      <x:c r="N8" t="s">
        <x:v>905</x:v>
      </x:c>
      <x:c r="O8" t="str">
        <x:f>IF(A8="","",IF(COUNTIF($A$5:$A$1004,A8)&gt;1,"错误:重复映射ID",IF(OR(B8="",C8="",D8="",E8="",F8="",G8="",AND(J8="",OR(H8&lt;=0,I8&lt;H8)),M8=""),"错误:必填项","OK")))</x:f>
        <x:v>OK</x:v>
      </x:c>
    </x:row>
    <x:row r="9" ht="39.599998474121094" hidden="1" customHeight="1">
      <x:c r="A9" s="3" t="s">
        <x:v>907</x:v>
      </x:c>
      <x:c r="B9" s="3" t="s">
        <x:v>235</x:v>
      </x:c>
      <x:c r="C9" s="3" t="s">
        <x:v>194</x:v>
      </x:c>
      <x:c r="D9" s="3" t="s">
        <x:v>340</x:v>
      </x:c>
      <x:c r="E9" s="3" t="s">
        <x:v>234</x:v>
      </x:c>
      <x:c r="F9" s="3" t="s">
        <x:v>258</x:v>
      </x:c>
      <x:c r="G9" s="3" t="s">
        <x:v>23</x:v>
      </x:c>
      <x:c r="H9" s="45" t="n">
        <x:v>4</x:v>
      </x:c>
      <x:c r="I9" s="45" t="n">
        <x:v>15</x:v>
      </x:c>
      <x:c r="J9" s="47"/>
      <x:c r="K9" s="17">
        <x:v>46236.78357630787</x:v>
      </x:c>
      <x:c r="L9" s="33"/>
      <x:c r="M9" t="s">
        <x:v>197</x:v>
      </x:c>
      <x:c r="N9" t="s">
        <x:v>908</x:v>
      </x:c>
      <x:c r="O9" t="str">
        <x:f>IF(A9="","",IF(COUNTIF($A$5:$A$1004,A9)&gt;1,"错误:重复映射ID",IF(OR(B9="",C9="",D9="",E9="",F9="",G9="",AND(J9="",OR(H9&lt;=0,I9&lt;H9)),M9=""),"错误:必填项","OK")))</x:f>
        <x:v>OK</x:v>
      </x:c>
    </x:row>
    <x:row r="10" ht="39.599998474121094" hidden="1" customHeight="1">
      <x:c r="A10" s="3" t="s">
        <x:v>909</x:v>
      </x:c>
      <x:c r="B10" s="3" t="s">
        <x:v>235</x:v>
      </x:c>
      <x:c r="C10" s="3" t="s">
        <x:v>194</x:v>
      </x:c>
      <x:c r="D10" s="3" t="s">
        <x:v>340</x:v>
      </x:c>
      <x:c r="E10" s="3" t="s">
        <x:v>238</x:v>
      </x:c>
      <x:c r="F10" s="3" t="s">
        <x:v>258</x:v>
      </x:c>
      <x:c r="G10" s="3" t="s">
        <x:v>23</x:v>
      </x:c>
      <x:c r="H10" s="45" t="n">
        <x:v>4</x:v>
      </x:c>
      <x:c r="I10" s="45" t="n">
        <x:v>15</x:v>
      </x:c>
      <x:c r="J10" s="47"/>
      <x:c r="K10" s="17">
        <x:v>46236.78357630787</x:v>
      </x:c>
      <x:c r="L10" s="33"/>
      <x:c r="M10" t="s">
        <x:v>197</x:v>
      </x:c>
      <x:c r="N10" t="s">
        <x:v>908</x:v>
      </x:c>
      <x:c r="O10" t="str">
        <x:f>IF(A10="","",IF(COUNTIF($A$5:$A$1004,A10)&gt;1,"错误:重复映射ID",IF(OR(B10="",C10="",D10="",E10="",F10="",G10="",AND(J10="",OR(H10&lt;=0,I10&lt;H10)),M10=""),"错误:必填项","OK")))</x:f>
        <x:v>OK</x:v>
      </x:c>
    </x:row>
    <x:row r="11" ht="39.599998474121094" hidden="1" customHeight="1">
      <x:c r="A11" s="3" t="s">
        <x:v>910</x:v>
      </x:c>
      <x:c r="B11" s="3" t="s">
        <x:v>235</x:v>
      </x:c>
      <x:c r="C11" s="3" t="s">
        <x:v>194</x:v>
      </x:c>
      <x:c r="D11" s="3" t="s">
        <x:v>340</x:v>
      </x:c>
      <x:c r="E11" s="3" t="s">
        <x:v>234</x:v>
      </x:c>
      <x:c r="F11" s="3" t="s">
        <x:v>258</x:v>
      </x:c>
      <x:c r="G11" s="3" t="s">
        <x:v>23</x:v>
      </x:c>
      <x:c r="H11" s="45" t="n">
        <x:v>4</x:v>
      </x:c>
      <x:c r="I11" s="45" t="n">
        <x:v>15</x:v>
      </x:c>
      <x:c r="J11" s="47"/>
      <x:c r="K11" s="17">
        <x:v>46236.78357630787</x:v>
      </x:c>
      <x:c r="L11" s="33"/>
      <x:c r="M11" t="s">
        <x:v>197</x:v>
      </x:c>
      <x:c r="N11" t="s">
        <x:v>908</x:v>
      </x:c>
      <x:c r="O11" t="str">
        <x:f>IF(A11="","",IF(COUNTIF($A$5:$A$1004,A11)&gt;1,"错误:重复映射ID",IF(OR(B11="",C11="",D11="",E11="",F11="",G11="",AND(J11="",OR(H11&lt;=0,I11&lt;H11)),M11=""),"错误:必填项","OK")))</x:f>
        <x:v>OK</x:v>
      </x:c>
    </x:row>
    <x:row r="12" ht="39.599998474121094" hidden="1" customHeight="1">
      <x:c r="A12" s="3" t="s">
        <x:v>911</x:v>
      </x:c>
      <x:c r="B12" s="3" t="s">
        <x:v>235</x:v>
      </x:c>
      <x:c r="C12" s="3" t="s">
        <x:v>194</x:v>
      </x:c>
      <x:c r="D12" s="3" t="s">
        <x:v>340</x:v>
      </x:c>
      <x:c r="E12" s="3" t="s">
        <x:v>238</x:v>
      </x:c>
      <x:c r="F12" s="3" t="s">
        <x:v>258</x:v>
      </x:c>
      <x:c r="G12" s="3" t="s">
        <x:v>23</x:v>
      </x:c>
      <x:c r="H12" s="45" t="n">
        <x:v>4</x:v>
      </x:c>
      <x:c r="I12" s="45" t="n">
        <x:v>15</x:v>
      </x:c>
      <x:c r="J12" s="47"/>
      <x:c r="K12" s="17">
        <x:v>46236.78357630787</x:v>
      </x:c>
      <x:c r="L12" s="33"/>
      <x:c r="M12" t="s">
        <x:v>197</x:v>
      </x:c>
      <x:c r="N12" t="s">
        <x:v>908</x:v>
      </x:c>
      <x:c r="O12" t="str">
        <x:f>IF(A12="","",IF(COUNTIF($A$5:$A$1004,A12)&gt;1,"错误:重复映射ID",IF(OR(B12="",C12="",D12="",E12="",F12="",G12="",AND(J12="",OR(H12&lt;=0,I12&lt;H12)),M12=""),"错误:必填项","OK")))</x:f>
        <x:v>OK</x:v>
      </x:c>
    </x:row>
    <x:row r="13" ht="39.599998474121094" hidden="1" customHeight="1">
      <x:c r="A13" s="3" t="s">
        <x:v>912</x:v>
      </x:c>
      <x:c r="B13" s="3" t="s">
        <x:v>235</x:v>
      </x:c>
      <x:c r="C13" s="3" t="s">
        <x:v>194</x:v>
      </x:c>
      <x:c r="D13" s="3" t="s">
        <x:v>354</x:v>
      </x:c>
      <x:c r="E13" s="3" t="s">
        <x:v>234</x:v>
      </x:c>
      <x:c r="F13" s="3" t="s">
        <x:v>258</x:v>
      </x:c>
      <x:c r="G13" s="3" t="s">
        <x:v>23</x:v>
      </x:c>
      <x:c r="H13" s="45" t="n">
        <x:v>4</x:v>
      </x:c>
      <x:c r="I13" s="45" t="n">
        <x:v>15</x:v>
      </x:c>
      <x:c r="J13" s="47"/>
      <x:c r="K13" s="17">
        <x:v>46236.78357630787</x:v>
      </x:c>
      <x:c r="L13" s="33"/>
      <x:c r="M13" t="s">
        <x:v>197</x:v>
      </x:c>
      <x:c r="N13" t="s">
        <x:v>913</x:v>
      </x:c>
      <x:c r="O13" t="str">
        <x:f>IF(A13="","",IF(COUNTIF($A$5:$A$1004,A13)&gt;1,"错误:重复映射ID",IF(OR(B13="",C13="",D13="",E13="",F13="",G13="",AND(J13="",OR(H13&lt;=0,I13&lt;H13)),M13=""),"错误:必填项","OK")))</x:f>
        <x:v>OK</x:v>
      </x:c>
    </x:row>
    <x:row r="14" ht="39.599998474121094" hidden="1" customHeight="1">
      <x:c r="A14" s="3" t="s">
        <x:v>914</x:v>
      </x:c>
      <x:c r="B14" s="3" t="s">
        <x:v>235</x:v>
      </x:c>
      <x:c r="C14" s="3" t="s">
        <x:v>194</x:v>
      </x:c>
      <x:c r="D14" s="3" t="s">
        <x:v>354</x:v>
      </x:c>
      <x:c r="E14" s="3" t="s">
        <x:v>238</x:v>
      </x:c>
      <x:c r="F14" s="3" t="s">
        <x:v>258</x:v>
      </x:c>
      <x:c r="G14" s="3" t="s">
        <x:v>23</x:v>
      </x:c>
      <x:c r="H14" s="45" t="n">
        <x:v>4</x:v>
      </x:c>
      <x:c r="I14" s="45" t="n">
        <x:v>15</x:v>
      </x:c>
      <x:c r="J14" s="47"/>
      <x:c r="K14" s="17">
        <x:v>46236.78357630787</x:v>
      </x:c>
      <x:c r="L14" s="33"/>
      <x:c r="M14" t="s">
        <x:v>197</x:v>
      </x:c>
      <x:c r="N14" t="s">
        <x:v>913</x:v>
      </x:c>
      <x:c r="O14" t="str">
        <x:f>IF(A14="","",IF(COUNTIF($A$5:$A$1004,A14)&gt;1,"错误:重复映射ID",IF(OR(B14="",C14="",D14="",E14="",F14="",G14="",AND(J14="",OR(H14&lt;=0,I14&lt;H14)),M14=""),"错误:必填项","OK")))</x:f>
        <x:v>OK</x:v>
      </x:c>
    </x:row>
    <x:row r="15" ht="26.350000381469727" hidden="1" customHeight="1">
      <x:c r="A15" s="3" t="s">
        <x:v>915</x:v>
      </x:c>
      <x:c r="B15" s="3" t="s">
        <x:v>235</x:v>
      </x:c>
      <x:c r="C15" s="3" t="s">
        <x:v>194</x:v>
      </x:c>
      <x:c r="D15" s="3" t="s">
        <x:v>362</x:v>
      </x:c>
      <x:c r="E15" s="3" t="s">
        <x:v>234</x:v>
      </x:c>
      <x:c r="F15" s="3" t="s">
        <x:v>258</x:v>
      </x:c>
      <x:c r="G15" s="3" t="s">
        <x:v>23</x:v>
      </x:c>
      <x:c r="H15" s="45" t="n">
        <x:v>4</x:v>
      </x:c>
      <x:c r="I15" s="45" t="n">
        <x:v>15</x:v>
      </x:c>
      <x:c r="J15" s="47"/>
      <x:c r="K15" s="17">
        <x:v>46236.78357630787</x:v>
      </x:c>
      <x:c r="L15" s="33"/>
      <x:c r="M15" t="s">
        <x:v>197</x:v>
      </x:c>
      <x:c r="N15" t="s">
        <x:v>916</x:v>
      </x:c>
      <x:c r="O15" t="str">
        <x:f>IF(A15="","",IF(COUNTIF($A$5:$A$1004,A15)&gt;1,"错误:重复映射ID",IF(OR(B15="",C15="",D15="",E15="",F15="",G15="",AND(J15="",OR(H15&lt;=0,I15&lt;H15)),M15=""),"错误:必填项","OK")))</x:f>
        <x:v>OK</x:v>
      </x:c>
    </x:row>
    <x:row r="16" ht="39.599998474121094" hidden="1" customHeight="1">
      <x:c r="A16" s="3" t="s">
        <x:v>917</x:v>
      </x:c>
      <x:c r="B16" s="3" t="s">
        <x:v>235</x:v>
      </x:c>
      <x:c r="C16" s="3" t="s">
        <x:v>194</x:v>
      </x:c>
      <x:c r="D16" s="3" t="s">
        <x:v>362</x:v>
      </x:c>
      <x:c r="E16" s="3" t="s">
        <x:v>238</x:v>
      </x:c>
      <x:c r="F16" s="3" t="s">
        <x:v>258</x:v>
      </x:c>
      <x:c r="G16" s="3" t="s">
        <x:v>23</x:v>
      </x:c>
      <x:c r="H16" s="45" t="n">
        <x:v>4</x:v>
      </x:c>
      <x:c r="I16" s="45" t="n">
        <x:v>15</x:v>
      </x:c>
      <x:c r="J16" s="47"/>
      <x:c r="K16" s="17">
        <x:v>46236.78357630787</x:v>
      </x:c>
      <x:c r="L16" s="33"/>
      <x:c r="M16" t="s">
        <x:v>197</x:v>
      </x:c>
      <x:c r="N16" t="s">
        <x:v>916</x:v>
      </x:c>
      <x:c r="O16" t="str">
        <x:f>IF(A16="","",IF(COUNTIF($A$5:$A$1004,A16)&gt;1,"错误:重复映射ID",IF(OR(B16="",C16="",D16="",E16="",F16="",G16="",AND(J16="",OR(H16&lt;=0,I16&lt;H16)),M16=""),"错误:必填项","OK")))</x:f>
        <x:v>OK</x:v>
      </x:c>
    </x:row>
    <x:row r="17" ht="39.599998474121094" hidden="1" customHeight="1">
      <x:c r="A17" s="3" t="s">
        <x:v>918</x:v>
      </x:c>
      <x:c r="B17" s="3" t="s">
        <x:v>235</x:v>
      </x:c>
      <x:c r="C17" s="3" t="s">
        <x:v>194</x:v>
      </x:c>
      <x:c r="D17" s="3" t="s">
        <x:v>362</x:v>
      </x:c>
      <x:c r="E17" s="3" t="s">
        <x:v>238</x:v>
      </x:c>
      <x:c r="F17" s="3" t="s">
        <x:v>258</x:v>
      </x:c>
      <x:c r="G17" s="3" t="s">
        <x:v>23</x:v>
      </x:c>
      <x:c r="H17" s="45" t="n">
        <x:v>4</x:v>
      </x:c>
      <x:c r="I17" s="45" t="n">
        <x:v>15</x:v>
      </x:c>
      <x:c r="J17" s="47"/>
      <x:c r="K17" s="17">
        <x:v>46236.78357630787</x:v>
      </x:c>
      <x:c r="L17" s="33"/>
      <x:c r="M17" t="s">
        <x:v>197</x:v>
      </x:c>
      <x:c r="N17" t="s">
        <x:v>916</x:v>
      </x:c>
      <x:c r="O17" t="str">
        <x:f>IF(A17="","",IF(COUNTIF($A$5:$A$1004,A17)&gt;1,"错误:重复映射ID",IF(OR(B17="",C17="",D17="",E17="",F17="",G17="",AND(J17="",OR(H17&lt;=0,I17&lt;H17)),M17=""),"错误:必填项","OK")))</x:f>
        <x:v>OK</x:v>
      </x:c>
    </x:row>
    <x:row r="18" ht="39.599998474121094" hidden="1" customHeight="1">
      <x:c r="A18" s="3" t="s">
        <x:v>919</x:v>
      </x:c>
      <x:c r="B18" s="3" t="s">
        <x:v>218</x:v>
      </x:c>
      <x:c r="C18" s="3" t="s">
        <x:v>194</x:v>
      </x:c>
      <x:c r="D18" s="3" t="s">
        <x:v>373</x:v>
      </x:c>
      <x:c r="E18" s="3" t="s">
        <x:v>227</x:v>
      </x:c>
      <x:c r="F18" s="3" t="s">
        <x:v>258</x:v>
      </x:c>
      <x:c r="G18" s="3" t="s">
        <x:v>23</x:v>
      </x:c>
      <x:c r="H18" s="45" t="n">
        <x:v>4</x:v>
      </x:c>
      <x:c r="I18" s="45" t="n">
        <x:v>15</x:v>
      </x:c>
      <x:c r="J18" s="47"/>
      <x:c r="K18" s="17">
        <x:v>46236.78357630787</x:v>
      </x:c>
      <x:c r="L18" s="33"/>
      <x:c r="M18" t="s">
        <x:v>197</x:v>
      </x:c>
      <x:c r="N18" t="s">
        <x:v>920</x:v>
      </x:c>
      <x:c r="O18" t="str">
        <x:f>IF(A18="","",IF(COUNTIF($A$5:$A$1004,A18)&gt;1,"错误:重复映射ID",IF(OR(B18="",C18="",D18="",E18="",F18="",G18="",AND(J18="",OR(H18&lt;=0,I18&lt;H18)),M18=""),"错误:必填项","OK")))</x:f>
        <x:v>OK</x:v>
      </x:c>
    </x:row>
    <x:row r="19" ht="26.350000381469727" hidden="1" customHeight="1">
      <x:c r="A19" s="3" t="s">
        <x:v>921</x:v>
      </x:c>
      <x:c r="B19" s="3" t="s">
        <x:v>218</x:v>
      </x:c>
      <x:c r="C19" s="3" t="s">
        <x:v>194</x:v>
      </x:c>
      <x:c r="D19" s="3" t="s">
        <x:v>373</x:v>
      </x:c>
      <x:c r="E19" s="3" t="s">
        <x:v>232</x:v>
      </x:c>
      <x:c r="F19" s="3" t="s">
        <x:v>258</x:v>
      </x:c>
      <x:c r="G19" s="3" t="s">
        <x:v>23</x:v>
      </x:c>
      <x:c r="H19" s="45" t="n">
        <x:v>4</x:v>
      </x:c>
      <x:c r="I19" s="45" t="n">
        <x:v>15</x:v>
      </x:c>
      <x:c r="J19" s="47"/>
      <x:c r="K19" s="17">
        <x:v>46236.78357630787</x:v>
      </x:c>
      <x:c r="L19" s="33"/>
      <x:c r="M19" t="s">
        <x:v>197</x:v>
      </x:c>
      <x:c r="N19" t="s">
        <x:v>920</x:v>
      </x:c>
      <x:c r="O19" t="str">
        <x:f>IF(A19="","",IF(COUNTIF($A$5:$A$1004,A19)&gt;1,"错误:重复映射ID",IF(OR(B19="",C19="",D19="",E19="",F19="",G19="",AND(J19="",OR(H19&lt;=0,I19&lt;H19)),M19=""),"错误:必填项","OK")))</x:f>
        <x:v>OK</x:v>
      </x:c>
    </x:row>
    <x:row r="20" ht="26.350000381469727" hidden="1" customHeight="1">
      <x:c r="A20" s="3" t="s">
        <x:v>922</x:v>
      </x:c>
      <x:c r="B20" s="3" t="s">
        <x:v>218</x:v>
      </x:c>
      <x:c r="C20" s="3" t="s">
        <x:v>194</x:v>
      </x:c>
      <x:c r="D20" s="3" t="s">
        <x:v>373</x:v>
      </x:c>
      <x:c r="E20" s="3" t="s">
        <x:v>227</x:v>
      </x:c>
      <x:c r="F20" s="3" t="s">
        <x:v>258</x:v>
      </x:c>
      <x:c r="G20" s="3" t="s">
        <x:v>23</x:v>
      </x:c>
      <x:c r="H20" s="45" t="n">
        <x:v>4</x:v>
      </x:c>
      <x:c r="I20" s="45" t="n">
        <x:v>15</x:v>
      </x:c>
      <x:c r="J20" s="47"/>
      <x:c r="K20" s="17">
        <x:v>46236.78357630787</x:v>
      </x:c>
      <x:c r="L20" s="33"/>
      <x:c r="M20" t="s">
        <x:v>197</x:v>
      </x:c>
      <x:c r="N20" t="s">
        <x:v>920</x:v>
      </x:c>
      <x:c r="O20" t="str">
        <x:f>IF(A20="","",IF(COUNTIF($A$5:$A$1004,A20)&gt;1,"错误:重复映射ID",IF(OR(B20="",C20="",D20="",E20="",F20="",G20="",AND(J20="",OR(H20&lt;=0,I20&lt;H20)),M20=""),"错误:必填项","OK")))</x:f>
        <x:v>OK</x:v>
      </x:c>
    </x:row>
    <x:row r="21" ht="26.350000381469727" hidden="1" customHeight="1">
      <x:c r="A21" s="3" t="s">
        <x:v>923</x:v>
      </x:c>
      <x:c r="B21" s="3" t="s">
        <x:v>218</x:v>
      </x:c>
      <x:c r="C21" s="3" t="s">
        <x:v>194</x:v>
      </x:c>
      <x:c r="D21" s="3" t="s">
        <x:v>373</x:v>
      </x:c>
      <x:c r="E21" s="3" t="s">
        <x:v>232</x:v>
      </x:c>
      <x:c r="F21" s="3" t="s">
        <x:v>258</x:v>
      </x:c>
      <x:c r="G21" s="3" t="s">
        <x:v>23</x:v>
      </x:c>
      <x:c r="H21" s="45" t="n">
        <x:v>4</x:v>
      </x:c>
      <x:c r="I21" s="45" t="n">
        <x:v>15</x:v>
      </x:c>
      <x:c r="J21" s="47"/>
      <x:c r="K21" s="17">
        <x:v>46236.78357630787</x:v>
      </x:c>
      <x:c r="L21" s="33"/>
      <x:c r="M21" t="s">
        <x:v>197</x:v>
      </x:c>
      <x:c r="N21" t="s">
        <x:v>920</x:v>
      </x:c>
      <x:c r="O21" t="str">
        <x:f>IF(A21="","",IF(COUNTIF($A$5:$A$1004,A21)&gt;1,"错误:重复映射ID",IF(OR(B21="",C21="",D21="",E21="",F21="",G21="",AND(J21="",OR(H21&lt;=0,I21&lt;H21)),M21=""),"错误:必填项","OK")))</x:f>
        <x:v>OK</x:v>
      </x:c>
    </x:row>
    <x:row r="22" ht="39.599998474121094" hidden="1" customHeight="1">
      <x:c r="A22" s="3" t="s">
        <x:v>924</x:v>
      </x:c>
      <x:c r="B22" s="3" t="s">
        <x:v>218</x:v>
      </x:c>
      <x:c r="C22" s="3" t="s">
        <x:v>194</x:v>
      </x:c>
      <x:c r="D22" s="3" t="s">
        <x:v>386</x:v>
      </x:c>
      <x:c r="E22" s="3" t="s">
        <x:v>232</x:v>
      </x:c>
      <x:c r="F22" s="3" t="s">
        <x:v>258</x:v>
      </x:c>
      <x:c r="G22" s="3" t="s">
        <x:v>23</x:v>
      </x:c>
      <x:c r="H22" s="45" t="n">
        <x:v>4</x:v>
      </x:c>
      <x:c r="I22" s="45" t="n">
        <x:v>15</x:v>
      </x:c>
      <x:c r="J22" s="47"/>
      <x:c r="K22" s="17">
        <x:v>46236.78357630787</x:v>
      </x:c>
      <x:c r="L22" s="33"/>
      <x:c r="M22" t="s">
        <x:v>197</x:v>
      </x:c>
      <x:c r="N22" t="s">
        <x:v>925</x:v>
      </x:c>
      <x:c r="O22" t="str">
        <x:f>IF(A22="","",IF(COUNTIF($A$5:$A$1004,A22)&gt;1,"错误:重复映射ID",IF(OR(B22="",C22="",D22="",E22="",F22="",G22="",AND(J22="",OR(H22&lt;=0,I22&lt;H22)),M22=""),"错误:必填项","OK")))</x:f>
        <x:v>OK</x:v>
      </x:c>
    </x:row>
    <x:row r="23" ht="39.599998474121094" hidden="1" customHeight="1">
      <x:c r="A23" s="3" t="s">
        <x:v>926</x:v>
      </x:c>
      <x:c r="B23" s="3" t="s">
        <x:v>218</x:v>
      </x:c>
      <x:c r="C23" s="3" t="s">
        <x:v>194</x:v>
      </x:c>
      <x:c r="D23" s="3" t="s">
        <x:v>386</x:v>
      </x:c>
      <x:c r="E23" s="3" t="s">
        <x:v>227</x:v>
      </x:c>
      <x:c r="F23" s="3" t="s">
        <x:v>258</x:v>
      </x:c>
      <x:c r="G23" s="3" t="s">
        <x:v>23</x:v>
      </x:c>
      <x:c r="H23" s="45" t="n">
        <x:v>4</x:v>
      </x:c>
      <x:c r="I23" s="45" t="n">
        <x:v>15</x:v>
      </x:c>
      <x:c r="J23" s="47"/>
      <x:c r="K23" s="17">
        <x:v>46236.78357630787</x:v>
      </x:c>
      <x:c r="L23" s="33"/>
      <x:c r="M23" t="s">
        <x:v>197</x:v>
      </x:c>
      <x:c r="N23" t="s">
        <x:v>925</x:v>
      </x:c>
      <x:c r="O23" t="str">
        <x:f>IF(A23="","",IF(COUNTIF($A$5:$A$1004,A23)&gt;1,"错误:重复映射ID",IF(OR(B23="",C23="",D23="",E23="",F23="",G23="",AND(J23="",OR(H23&lt;=0,I23&lt;H23)),M23=""),"错误:必填项","OK")))</x:f>
        <x:v>OK</x:v>
      </x:c>
    </x:row>
    <x:row r="24" ht="39.599998474121094" hidden="1" customHeight="1">
      <x:c r="A24" s="3" t="s">
        <x:v>927</x:v>
      </x:c>
      <x:c r="B24" s="3" t="s">
        <x:v>218</x:v>
      </x:c>
      <x:c r="C24" s="3" t="s">
        <x:v>194</x:v>
      </x:c>
      <x:c r="D24" s="3" t="s">
        <x:v>386</x:v>
      </x:c>
      <x:c r="E24" s="3" t="s">
        <x:v>232</x:v>
      </x:c>
      <x:c r="F24" s="3" t="s">
        <x:v>258</x:v>
      </x:c>
      <x:c r="G24" s="3" t="s">
        <x:v>23</x:v>
      </x:c>
      <x:c r="H24" s="45" t="n">
        <x:v>4</x:v>
      </x:c>
      <x:c r="I24" s="45" t="n">
        <x:v>15</x:v>
      </x:c>
      <x:c r="J24" s="47"/>
      <x:c r="K24" s="17">
        <x:v>46236.78357630787</x:v>
      </x:c>
      <x:c r="L24" s="33"/>
      <x:c r="M24" t="s">
        <x:v>197</x:v>
      </x:c>
      <x:c r="N24" t="s">
        <x:v>925</x:v>
      </x:c>
      <x:c r="O24" t="str">
        <x:f>IF(A24="","",IF(COUNTIF($A$5:$A$1004,A24)&gt;1,"错误:重复映射ID",IF(OR(B24="",C24="",D24="",E24="",F24="",G24="",AND(J24="",OR(H24&lt;=0,I24&lt;H24)),M24=""),"错误:必填项","OK")))</x:f>
        <x:v>OK</x:v>
      </x:c>
    </x:row>
    <x:row r="25" ht="39.599998474121094" hidden="1" customHeight="1">
      <x:c r="A25" s="3" t="s">
        <x:v>928</x:v>
      </x:c>
      <x:c r="B25" s="3" t="s">
        <x:v>218</x:v>
      </x:c>
      <x:c r="C25" s="3" t="s">
        <x:v>194</x:v>
      </x:c>
      <x:c r="D25" s="3" t="s">
        <x:v>396</x:v>
      </x:c>
      <x:c r="E25" s="3" t="s">
        <x:v>232</x:v>
      </x:c>
      <x:c r="F25" s="3" t="s">
        <x:v>258</x:v>
      </x:c>
      <x:c r="G25" s="3" t="s">
        <x:v>23</x:v>
      </x:c>
      <x:c r="H25" s="45" t="n">
        <x:v>4</x:v>
      </x:c>
      <x:c r="I25" s="45" t="n">
        <x:v>15</x:v>
      </x:c>
      <x:c r="J25" s="47"/>
      <x:c r="K25" s="17">
        <x:v>46236.78357630787</x:v>
      </x:c>
      <x:c r="L25" s="33"/>
      <x:c r="M25" t="s">
        <x:v>197</x:v>
      </x:c>
      <x:c r="N25" t="s">
        <x:v>929</x:v>
      </x:c>
      <x:c r="O25" t="str">
        <x:f>IF(A25="","",IF(COUNTIF($A$5:$A$1004,A25)&gt;1,"错误:重复映射ID",IF(OR(B25="",C25="",D25="",E25="",F25="",G25="",AND(J25="",OR(H25&lt;=0,I25&lt;H25)),M25=""),"错误:必填项","OK")))</x:f>
        <x:v>OK</x:v>
      </x:c>
    </x:row>
    <x:row r="26" ht="39.599998474121094" hidden="1" customHeight="1">
      <x:c r="A26" s="3" t="s">
        <x:v>930</x:v>
      </x:c>
      <x:c r="B26" s="3" t="s">
        <x:v>218</x:v>
      </x:c>
      <x:c r="C26" s="3" t="s">
        <x:v>194</x:v>
      </x:c>
      <x:c r="D26" s="3" t="s">
        <x:v>400</x:v>
      </x:c>
      <x:c r="E26" s="3" t="s">
        <x:v>227</x:v>
      </x:c>
      <x:c r="F26" s="3" t="s">
        <x:v>258</x:v>
      </x:c>
      <x:c r="G26" s="3" t="s">
        <x:v>23</x:v>
      </x:c>
      <x:c r="H26" s="45" t="n">
        <x:v>4</x:v>
      </x:c>
      <x:c r="I26" s="45" t="n">
        <x:v>15</x:v>
      </x:c>
      <x:c r="J26" s="47"/>
      <x:c r="K26" s="17">
        <x:v>46236.78357630787</x:v>
      </x:c>
      <x:c r="L26" s="33"/>
      <x:c r="M26" t="s">
        <x:v>197</x:v>
      </x:c>
      <x:c r="N26" t="s">
        <x:v>931</x:v>
      </x:c>
      <x:c r="O26" t="str">
        <x:f>IF(A26="","",IF(COUNTIF($A$5:$A$1004,A26)&gt;1,"错误:重复映射ID",IF(OR(B26="",C26="",D26="",E26="",F26="",G26="",AND(J26="",OR(H26&lt;=0,I26&lt;H26)),M26=""),"错误:必填项","OK")))</x:f>
        <x:v>OK</x:v>
      </x:c>
    </x:row>
    <x:row r="27" ht="39.599998474121094" hidden="1" customHeight="1">
      <x:c r="A27" s="3" t="s">
        <x:v>932</x:v>
      </x:c>
      <x:c r="B27" s="3" t="s">
        <x:v>218</x:v>
      </x:c>
      <x:c r="C27" s="3" t="s">
        <x:v>194</x:v>
      </x:c>
      <x:c r="D27" s="3" t="s">
        <x:v>400</x:v>
      </x:c>
      <x:c r="E27" s="3" t="s">
        <x:v>232</x:v>
      </x:c>
      <x:c r="F27" s="3" t="s">
        <x:v>258</x:v>
      </x:c>
      <x:c r="G27" s="3" t="s">
        <x:v>23</x:v>
      </x:c>
      <x:c r="H27" s="45" t="n">
        <x:v>4</x:v>
      </x:c>
      <x:c r="I27" s="45" t="n">
        <x:v>15</x:v>
      </x:c>
      <x:c r="J27" s="47"/>
      <x:c r="K27" s="17">
        <x:v>46236.78357630787</x:v>
      </x:c>
      <x:c r="L27" s="33"/>
      <x:c r="M27" t="s">
        <x:v>197</x:v>
      </x:c>
      <x:c r="N27" t="s">
        <x:v>931</x:v>
      </x:c>
      <x:c r="O27" t="str">
        <x:f>IF(A27="","",IF(COUNTIF($A$5:$A$1004,A27)&gt;1,"错误:重复映射ID",IF(OR(B27="",C27="",D27="",E27="",F27="",G27="",AND(J27="",OR(H27&lt;=0,I27&lt;H27)),M27=""),"错误:必填项","OK")))</x:f>
        <x:v>OK</x:v>
      </x:c>
    </x:row>
    <x:row r="28" ht="39.599998474121094" hidden="1" customHeight="1">
      <x:c r="A28" s="3" t="s">
        <x:v>933</x:v>
      </x:c>
      <x:c r="B28" s="3" t="s">
        <x:v>218</x:v>
      </x:c>
      <x:c r="C28" s="3" t="s">
        <x:v>194</x:v>
      </x:c>
      <x:c r="D28" s="3" t="s">
        <x:v>400</x:v>
      </x:c>
      <x:c r="E28" s="3" t="s">
        <x:v>217</x:v>
      </x:c>
      <x:c r="F28" s="3" t="s">
        <x:v>258</x:v>
      </x:c>
      <x:c r="G28" s="3" t="s">
        <x:v>23</x:v>
      </x:c>
      <x:c r="H28" s="45" t="n">
        <x:v>4</x:v>
      </x:c>
      <x:c r="I28" s="45" t="n">
        <x:v>15</x:v>
      </x:c>
      <x:c r="J28" s="47"/>
      <x:c r="K28" s="17">
        <x:v>46236.78357630787</x:v>
      </x:c>
      <x:c r="L28" s="33"/>
      <x:c r="M28" t="s">
        <x:v>197</x:v>
      </x:c>
      <x:c r="N28" t="s">
        <x:v>931</x:v>
      </x:c>
      <x:c r="O28" t="str">
        <x:f>IF(A28="","",IF(COUNTIF($A$5:$A$1004,A28)&gt;1,"错误:重复映射ID",IF(OR(B28="",C28="",D28="",E28="",F28="",G28="",AND(J28="",OR(H28&lt;=0,I28&lt;H28)),M28=""),"错误:必填项","OK")))</x:f>
        <x:v>OK</x:v>
      </x:c>
    </x:row>
    <x:row r="29" ht="39.599998474121094" hidden="1" customHeight="1">
      <x:c r="A29" s="3" t="s">
        <x:v>934</x:v>
      </x:c>
      <x:c r="B29" s="3" t="s">
        <x:v>218</x:v>
      </x:c>
      <x:c r="C29" s="3" t="s">
        <x:v>194</x:v>
      </x:c>
      <x:c r="D29" s="3" t="s">
        <x:v>400</x:v>
      </x:c>
      <x:c r="E29" s="3" t="s">
        <x:v>230</x:v>
      </x:c>
      <x:c r="F29" s="3" t="s">
        <x:v>258</x:v>
      </x:c>
      <x:c r="G29" s="3" t="s">
        <x:v>23</x:v>
      </x:c>
      <x:c r="H29" s="45" t="n">
        <x:v>4</x:v>
      </x:c>
      <x:c r="I29" s="45" t="n">
        <x:v>15</x:v>
      </x:c>
      <x:c r="J29" s="47"/>
      <x:c r="K29" s="17">
        <x:v>46236.78357630787</x:v>
      </x:c>
      <x:c r="L29" s="33"/>
      <x:c r="M29" t="s">
        <x:v>197</x:v>
      </x:c>
      <x:c r="N29" t="s">
        <x:v>931</x:v>
      </x:c>
      <x:c r="O29" t="str">
        <x:f>IF(A29="","",IF(COUNTIF($A$5:$A$1004,A29)&gt;1,"错误:重复映射ID",IF(OR(B29="",C29="",D29="",E29="",F29="",G29="",AND(J29="",OR(H29&lt;=0,I29&lt;H29)),M29=""),"错误:必填项","OK")))</x:f>
        <x:v>OK</x:v>
      </x:c>
    </x:row>
    <x:row r="30" ht="39.599998474121094" hidden="1" customHeight="1">
      <x:c r="A30" s="3" t="s">
        <x:v>935</x:v>
      </x:c>
      <x:c r="B30" s="3" t="s">
        <x:v>218</x:v>
      </x:c>
      <x:c r="C30" s="3" t="s">
        <x:v>194</x:v>
      </x:c>
      <x:c r="D30" s="3" t="s">
        <x:v>413</x:v>
      </x:c>
      <x:c r="E30" s="3" t="s">
        <x:v>232</x:v>
      </x:c>
      <x:c r="F30" s="3" t="s">
        <x:v>258</x:v>
      </x:c>
      <x:c r="G30" s="3" t="s">
        <x:v>23</x:v>
      </x:c>
      <x:c r="H30" s="45" t="n">
        <x:v>4</x:v>
      </x:c>
      <x:c r="I30" s="45" t="n">
        <x:v>15</x:v>
      </x:c>
      <x:c r="J30" s="47"/>
      <x:c r="K30" s="17">
        <x:v>46236.78357630787</x:v>
      </x:c>
      <x:c r="L30" s="33"/>
      <x:c r="M30" t="s">
        <x:v>197</x:v>
      </x:c>
      <x:c r="N30" t="s">
        <x:v>936</x:v>
      </x:c>
      <x:c r="O30" t="str">
        <x:f>IF(A30="","",IF(COUNTIF($A$5:$A$1004,A30)&gt;1,"错误:重复映射ID",IF(OR(B30="",C30="",D30="",E30="",F30="",G30="",AND(J30="",OR(H30&lt;=0,I30&lt;H30)),M30=""),"错误:必填项","OK")))</x:f>
        <x:v>OK</x:v>
      </x:c>
    </x:row>
    <x:row r="31" ht="39.599998474121094" hidden="1" customHeight="1">
      <x:c r="A31" s="3" t="s">
        <x:v>937</x:v>
      </x:c>
      <x:c r="B31" s="3" t="s">
        <x:v>218</x:v>
      </x:c>
      <x:c r="C31" s="3" t="s">
        <x:v>167</x:v>
      </x:c>
      <x:c r="D31" s="3" t="s">
        <x:v>418</x:v>
      </x:c>
      <x:c r="E31" s="3" t="s">
        <x:v>227</x:v>
      </x:c>
      <x:c r="F31" s="3" t="s">
        <x:v>258</x:v>
      </x:c>
      <x:c r="G31" s="3" t="s">
        <x:v>23</x:v>
      </x:c>
      <x:c r="H31" s="45" t="n">
        <x:v>4</x:v>
      </x:c>
      <x:c r="I31" s="45" t="n">
        <x:v>15</x:v>
      </x:c>
      <x:c r="J31" s="47"/>
      <x:c r="K31" s="17">
        <x:v>46236.78357630787</x:v>
      </x:c>
      <x:c r="L31" s="33"/>
      <x:c r="M31" t="s">
        <x:v>171</x:v>
      </x:c>
      <x:c r="N31" t="s">
        <x:v>938</x:v>
      </x:c>
      <x:c r="O31" t="str">
        <x:f>IF(A31="","",IF(COUNTIF($A$5:$A$1004,A31)&gt;1,"错误:重复映射ID",IF(OR(B31="",C31="",D31="",E31="",F31="",G31="",AND(J31="",OR(H31&lt;=0,I31&lt;H31)),M31=""),"错误:必填项","OK")))</x:f>
        <x:v>OK</x:v>
      </x:c>
    </x:row>
    <x:row r="32" ht="39.599998474121094" hidden="1" customHeight="1">
      <x:c r="A32" s="3" t="s">
        <x:v>939</x:v>
      </x:c>
      <x:c r="B32" s="3" t="s">
        <x:v>218</x:v>
      </x:c>
      <x:c r="C32" s="3" t="s">
        <x:v>167</x:v>
      </x:c>
      <x:c r="D32" s="3" t="s">
        <x:v>423</x:v>
      </x:c>
      <x:c r="E32" s="3" t="s">
        <x:v>232</x:v>
      </x:c>
      <x:c r="F32" s="3" t="s">
        <x:v>258</x:v>
      </x:c>
      <x:c r="G32" s="3" t="s">
        <x:v>23</x:v>
      </x:c>
      <x:c r="H32" s="45" t="n">
        <x:v>4</x:v>
      </x:c>
      <x:c r="I32" s="45" t="n">
        <x:v>15</x:v>
      </x:c>
      <x:c r="J32" s="47"/>
      <x:c r="K32" s="17">
        <x:v>46236.78357630787</x:v>
      </x:c>
      <x:c r="L32" s="33"/>
      <x:c r="M32" t="s">
        <x:v>171</x:v>
      </x:c>
      <x:c r="N32" t="s">
        <x:v>940</x:v>
      </x:c>
      <x:c r="O32" t="str">
        <x:f>IF(A32="","",IF(COUNTIF($A$5:$A$1004,A32)&gt;1,"错误:重复映射ID",IF(OR(B32="",C32="",D32="",E32="",F32="",G32="",AND(J32="",OR(H32&lt;=0,I32&lt;H32)),M32=""),"错误:必填项","OK")))</x:f>
        <x:v>OK</x:v>
      </x:c>
    </x:row>
    <x:row r="33" ht="39.599998474121094" hidden="1" customHeight="1">
      <x:c r="A33" s="3" t="s">
        <x:v>941</x:v>
      </x:c>
      <x:c r="B33" s="3" t="s">
        <x:v>235</x:v>
      </x:c>
      <x:c r="C33" s="3" t="s">
        <x:v>167</x:v>
      </x:c>
      <x:c r="D33" s="3" t="s">
        <x:v>428</x:v>
      </x:c>
      <x:c r="E33" s="3" t="s">
        <x:v>234</x:v>
      </x:c>
      <x:c r="F33" s="3" t="s">
        <x:v>258</x:v>
      </x:c>
      <x:c r="G33" s="3" t="s">
        <x:v>23</x:v>
      </x:c>
      <x:c r="H33" s="45" t="n">
        <x:v>4</x:v>
      </x:c>
      <x:c r="I33" s="45" t="n">
        <x:v>15</x:v>
      </x:c>
      <x:c r="J33" s="47"/>
      <x:c r="K33" s="17">
        <x:v>46236.78357630787</x:v>
      </x:c>
      <x:c r="L33" s="33"/>
      <x:c r="M33" t="s">
        <x:v>171</x:v>
      </x:c>
      <x:c r="N33" t="s">
        <x:v>942</x:v>
      </x:c>
      <x:c r="O33" t="str">
        <x:f>IF(A33="","",IF(COUNTIF($A$5:$A$1004,A33)&gt;1,"错误:重复映射ID",IF(OR(B33="",C33="",D33="",E33="",F33="",G33="",AND(J33="",OR(H33&lt;=0,I33&lt;H33)),M33=""),"错误:必填项","OK")))</x:f>
        <x:v>OK</x:v>
      </x:c>
    </x:row>
    <x:row r="34" ht="39.599998474121094" hidden="1" customHeight="1">
      <x:c r="A34" s="3" t="s">
        <x:v>943</x:v>
      </x:c>
      <x:c r="B34" s="3" t="s">
        <x:v>235</x:v>
      </x:c>
      <x:c r="C34" s="3" t="s">
        <x:v>167</x:v>
      </x:c>
      <x:c r="D34" s="3" t="s">
        <x:v>433</x:v>
      </x:c>
      <x:c r="E34" s="3" t="s">
        <x:v>238</x:v>
      </x:c>
      <x:c r="F34" s="3" t="s">
        <x:v>258</x:v>
      </x:c>
      <x:c r="G34" s="3" t="s">
        <x:v>23</x:v>
      </x:c>
      <x:c r="H34" s="45" t="n">
        <x:v>4</x:v>
      </x:c>
      <x:c r="I34" s="45" t="n">
        <x:v>15</x:v>
      </x:c>
      <x:c r="J34" s="47"/>
      <x:c r="K34" s="17">
        <x:v>46236.78357630787</x:v>
      </x:c>
      <x:c r="L34" s="33"/>
      <x:c r="M34" t="s">
        <x:v>171</x:v>
      </x:c>
      <x:c r="N34" t="s">
        <x:v>944</x:v>
      </x:c>
      <x:c r="O34" t="str">
        <x:f>IF(A34="","",IF(COUNTIF($A$5:$A$1004,A34)&gt;1,"错误:重复映射ID",IF(OR(B34="",C34="",D34="",E34="",F34="",G34="",AND(J34="",OR(H34&lt;=0,I34&lt;H34)),M34=""),"错误:必填项","OK")))</x:f>
        <x:v>OK</x:v>
      </x:c>
    </x:row>
    <x:row r="35" ht="39.599998474121094" hidden="1" customHeight="1">
      <x:c r="A35" s="3" t="s">
        <x:v>945</x:v>
      </x:c>
      <x:c r="B35" s="3" t="s">
        <x:v>241</x:v>
      </x:c>
      <x:c r="C35" s="3" t="s">
        <x:v>167</x:v>
      </x:c>
      <x:c r="D35" s="3" t="s">
        <x:v>437</x:v>
      </x:c>
      <x:c r="E35" s="3" t="s">
        <x:v>240</x:v>
      </x:c>
      <x:c r="F35" s="3" t="s">
        <x:v>258</x:v>
      </x:c>
      <x:c r="G35" s="3" t="s">
        <x:v>23</x:v>
      </x:c>
      <x:c r="H35" s="45" t="n">
        <x:v>4</x:v>
      </x:c>
      <x:c r="I35" s="45" t="n">
        <x:v>15</x:v>
      </x:c>
      <x:c r="J35" s="47"/>
      <x:c r="K35" s="17">
        <x:v>46236.78357630787</x:v>
      </x:c>
      <x:c r="L35" s="33"/>
      <x:c r="M35" t="s">
        <x:v>171</x:v>
      </x:c>
      <x:c r="N35" t="s">
        <x:v>946</x:v>
      </x:c>
      <x:c r="O35" t="str">
        <x:f>IF(A35="","",IF(COUNTIF($A$5:$A$1004,A35)&gt;1,"错误:重复映射ID",IF(OR(B35="",C35="",D35="",E35="",F35="",G35="",AND(J35="",OR(H35&lt;=0,I35&lt;H35)),M35=""),"错误:必填项","OK")))</x:f>
        <x:v>OK</x:v>
      </x:c>
    </x:row>
    <x:row r="36" ht="39.599998474121094" hidden="1" customHeight="1">
      <x:c r="A36" s="3" t="s">
        <x:v>947</x:v>
      </x:c>
      <x:c r="B36" s="3" t="s">
        <x:v>241</x:v>
      </x:c>
      <x:c r="C36" s="3" t="s">
        <x:v>167</x:v>
      </x:c>
      <x:c r="D36" s="3" t="s">
        <x:v>442</x:v>
      </x:c>
      <x:c r="E36" s="3" t="s">
        <x:v>244</x:v>
      </x:c>
      <x:c r="F36" s="3" t="s">
        <x:v>258</x:v>
      </x:c>
      <x:c r="G36" s="3" t="s">
        <x:v>23</x:v>
      </x:c>
      <x:c r="H36" s="45" t="n">
        <x:v>4</x:v>
      </x:c>
      <x:c r="I36" s="45" t="n">
        <x:v>15</x:v>
      </x:c>
      <x:c r="J36" s="47"/>
      <x:c r="K36" s="17">
        <x:v>46236.78357630787</x:v>
      </x:c>
      <x:c r="L36" s="33"/>
      <x:c r="M36" t="s">
        <x:v>171</x:v>
      </x:c>
      <x:c r="N36" t="s">
        <x:v>948</x:v>
      </x:c>
      <x:c r="O36" t="str">
        <x:f>IF(A36="","",IF(COUNTIF($A$5:$A$1004,A36)&gt;1,"错误:重复映射ID",IF(OR(B36="",C36="",D36="",E36="",F36="",G36="",AND(J36="",OR(H36&lt;=0,I36&lt;H36)),M36=""),"错误:必填项","OK")))</x:f>
        <x:v>OK</x:v>
      </x:c>
    </x:row>
    <x:row r="37" ht="39.599998474121094" hidden="1" customHeight="1">
      <x:c r="A37" s="3" t="s">
        <x:v>949</x:v>
      </x:c>
      <x:c r="B37" s="3" t="s">
        <x:v>235</x:v>
      </x:c>
      <x:c r="C37" s="3" t="s">
        <x:v>167</x:v>
      </x:c>
      <x:c r="D37" s="3" t="s">
        <x:v>446</x:v>
      </x:c>
      <x:c r="E37" s="3" t="s">
        <x:v>234</x:v>
      </x:c>
      <x:c r="F37" s="3" t="s">
        <x:v>258</x:v>
      </x:c>
      <x:c r="G37" s="3" t="s">
        <x:v>23</x:v>
      </x:c>
      <x:c r="H37" s="45" t="n">
        <x:v>4</x:v>
      </x:c>
      <x:c r="I37" s="45" t="n">
        <x:v>15</x:v>
      </x:c>
      <x:c r="J37" s="47"/>
      <x:c r="K37" s="17">
        <x:v>46236.78357630787</x:v>
      </x:c>
      <x:c r="L37" s="33"/>
      <x:c r="M37" t="s">
        <x:v>171</x:v>
      </x:c>
      <x:c r="N37" t="s">
        <x:v>950</x:v>
      </x:c>
      <x:c r="O37" t="str">
        <x:f>IF(A37="","",IF(COUNTIF($A$5:$A$1004,A37)&gt;1,"错误:重复映射ID",IF(OR(B37="",C37="",D37="",E37="",F37="",G37="",AND(J37="",OR(H37&lt;=0,I37&lt;H37)),M37=""),"错误:必填项","OK")))</x:f>
        <x:v>OK</x:v>
      </x:c>
    </x:row>
    <x:row r="38" ht="39.599998474121094" hidden="1" customHeight="1">
      <x:c r="A38" s="3" t="s">
        <x:v>951</x:v>
      </x:c>
      <x:c r="B38" s="3" t="s">
        <x:v>235</x:v>
      </x:c>
      <x:c r="C38" s="3" t="s">
        <x:v>167</x:v>
      </x:c>
      <x:c r="D38" s="3" t="s">
        <x:v>450</x:v>
      </x:c>
      <x:c r="E38" s="3" t="s">
        <x:v>238</x:v>
      </x:c>
      <x:c r="F38" s="3" t="s">
        <x:v>258</x:v>
      </x:c>
      <x:c r="G38" s="3" t="s">
        <x:v>23</x:v>
      </x:c>
      <x:c r="H38" s="45" t="n">
        <x:v>4</x:v>
      </x:c>
      <x:c r="I38" s="45" t="n">
        <x:v>15</x:v>
      </x:c>
      <x:c r="J38" s="47"/>
      <x:c r="K38" s="17">
        <x:v>46236.78357630787</x:v>
      </x:c>
      <x:c r="L38" s="33"/>
      <x:c r="M38" t="s">
        <x:v>171</x:v>
      </x:c>
      <x:c r="N38" t="s">
        <x:v>952</x:v>
      </x:c>
      <x:c r="O38" t="str">
        <x:f>IF(A38="","",IF(COUNTIF($A$5:$A$1004,A38)&gt;1,"错误:重复映射ID",IF(OR(B38="",C38="",D38="",E38="",F38="",G38="",AND(J38="",OR(H38&lt;=0,I38&lt;H38)),M38=""),"错误:必填项","OK")))</x:f>
        <x:v>OK</x:v>
      </x:c>
    </x:row>
    <x:row r="39" ht="39.599998474121094" hidden="1" customHeight="1">
      <x:c r="A39" s="3" t="s">
        <x:v>953</x:v>
      </x:c>
      <x:c r="B39" s="3" t="s">
        <x:v>241</x:v>
      </x:c>
      <x:c r="C39" s="3" t="s">
        <x:v>167</x:v>
      </x:c>
      <x:c r="D39" s="3" t="s">
        <x:v>455</x:v>
      </x:c>
      <x:c r="E39" s="3" t="s">
        <x:v>244</x:v>
      </x:c>
      <x:c r="F39" s="3" t="s">
        <x:v>258</x:v>
      </x:c>
      <x:c r="G39" s="3" t="s">
        <x:v>23</x:v>
      </x:c>
      <x:c r="H39" s="45" t="n">
        <x:v>4</x:v>
      </x:c>
      <x:c r="I39" s="45" t="n">
        <x:v>15</x:v>
      </x:c>
      <x:c r="J39" s="47"/>
      <x:c r="K39" s="17">
        <x:v>46236.78357630787</x:v>
      </x:c>
      <x:c r="L39" s="33"/>
      <x:c r="M39" t="s">
        <x:v>171</x:v>
      </x:c>
      <x:c r="N39" t="s">
        <x:v>954</x:v>
      </x:c>
      <x:c r="O39" t="str">
        <x:f>IF(A39="","",IF(COUNTIF($A$5:$A$1004,A39)&gt;1,"错误:重复映射ID",IF(OR(B39="",C39="",D39="",E39="",F39="",G39="",AND(J39="",OR(H39&lt;=0,I39&lt;H39)),M39=""),"错误:必填项","OK")))</x:f>
        <x:v>OK</x:v>
      </x:c>
    </x:row>
    <x:row r="40" ht="39.599998474121094" hidden="1" customHeight="1">
      <x:c r="A40" s="3" t="s">
        <x:v>955</x:v>
      </x:c>
      <x:c r="B40" s="3" t="s">
        <x:v>241</x:v>
      </x:c>
      <x:c r="C40" s="3" t="s">
        <x:v>167</x:v>
      </x:c>
      <x:c r="D40" s="3" t="s">
        <x:v>460</x:v>
      </x:c>
      <x:c r="E40" s="3" t="s">
        <x:v>244</x:v>
      </x:c>
      <x:c r="F40" s="3" t="s">
        <x:v>258</x:v>
      </x:c>
      <x:c r="G40" s="3" t="s">
        <x:v>23</x:v>
      </x:c>
      <x:c r="H40" s="45" t="n">
        <x:v>4</x:v>
      </x:c>
      <x:c r="I40" s="45" t="n">
        <x:v>15</x:v>
      </x:c>
      <x:c r="J40" s="47"/>
      <x:c r="K40" s="17">
        <x:v>46236.78357630787</x:v>
      </x:c>
      <x:c r="L40" s="33"/>
      <x:c r="M40" t="s">
        <x:v>171</x:v>
      </x:c>
      <x:c r="N40" t="s">
        <x:v>956</x:v>
      </x:c>
      <x:c r="O40" t="str">
        <x:f>IF(A40="","",IF(COUNTIF($A$5:$A$1004,A40)&gt;1,"错误:重复映射ID",IF(OR(B40="",C40="",D40="",E40="",F40="",G40="",AND(J40="",OR(H40&lt;=0,I40&lt;H40)),M40=""),"错误:必填项","OK")))</x:f>
        <x:v>OK</x:v>
      </x:c>
    </x:row>
    <x:row r="41" ht="39.599998474121094" hidden="1" customHeight="1">
      <x:c r="A41" s="3" t="s">
        <x:v>957</x:v>
      </x:c>
      <x:c r="B41" s="3" t="s">
        <x:v>218</x:v>
      </x:c>
      <x:c r="C41" s="3" t="s">
        <x:v>167</x:v>
      </x:c>
      <x:c r="D41" s="3" t="s">
        <x:v>464</x:v>
      </x:c>
      <x:c r="E41" s="3" t="s">
        <x:v>227</x:v>
      </x:c>
      <x:c r="F41" s="3" t="s">
        <x:v>258</x:v>
      </x:c>
      <x:c r="G41" s="3" t="s">
        <x:v>23</x:v>
      </x:c>
      <x:c r="H41" s="45" t="n">
        <x:v>4</x:v>
      </x:c>
      <x:c r="I41" s="45" t="n">
        <x:v>15</x:v>
      </x:c>
      <x:c r="J41" s="47"/>
      <x:c r="K41" s="17">
        <x:v>46236.78357630787</x:v>
      </x:c>
      <x:c r="L41" s="33"/>
      <x:c r="M41" t="s">
        <x:v>171</x:v>
      </x:c>
      <x:c r="N41" t="s">
        <x:v>958</x:v>
      </x:c>
      <x:c r="O41" t="str">
        <x:f>IF(A41="","",IF(COUNTIF($A$5:$A$1004,A41)&gt;1,"错误:重复映射ID",IF(OR(B41="",C41="",D41="",E41="",F41="",G41="",AND(J41="",OR(H41&lt;=0,I41&lt;H41)),M41=""),"错误:必填项","OK")))</x:f>
        <x:v>OK</x:v>
      </x:c>
    </x:row>
    <x:row r="42" ht="39.599998474121094" hidden="1" customHeight="1">
      <x:c r="A42" s="3" t="s">
        <x:v>959</x:v>
      </x:c>
      <x:c r="B42" s="3" t="s">
        <x:v>218</x:v>
      </x:c>
      <x:c r="C42" s="3" t="s">
        <x:v>167</x:v>
      </x:c>
      <x:c r="D42" s="3" t="s">
        <x:v>469</x:v>
      </x:c>
      <x:c r="E42" s="3" t="s">
        <x:v>232</x:v>
      </x:c>
      <x:c r="F42" s="3" t="s">
        <x:v>258</x:v>
      </x:c>
      <x:c r="G42" s="3" t="s">
        <x:v>23</x:v>
      </x:c>
      <x:c r="H42" s="45" t="n">
        <x:v>4</x:v>
      </x:c>
      <x:c r="I42" s="45" t="n">
        <x:v>15</x:v>
      </x:c>
      <x:c r="J42" s="47"/>
      <x:c r="K42" s="17">
        <x:v>46236.78357630787</x:v>
      </x:c>
      <x:c r="L42" s="33"/>
      <x:c r="M42" t="s">
        <x:v>171</x:v>
      </x:c>
      <x:c r="N42" t="s">
        <x:v>960</x:v>
      </x:c>
      <x:c r="O42" t="str">
        <x:f>IF(A42="","",IF(COUNTIF($A$5:$A$1004,A42)&gt;1,"错误:重复映射ID",IF(OR(B42="",C42="",D42="",E42="",F42="",G42="",AND(J42="",OR(H42&lt;=0,I42&lt;H42)),M42=""),"错误:必填项","OK")))</x:f>
        <x:v>OK</x:v>
      </x:c>
    </x:row>
    <x:row r="43" ht="39.599998474121094" hidden="1" customHeight="1">
      <x:c r="A43" s="3" t="s">
        <x:v>961</x:v>
      </x:c>
      <x:c r="B43" s="3" t="s">
        <x:v>218</x:v>
      </x:c>
      <x:c r="C43" s="3" t="s">
        <x:v>179</x:v>
      </x:c>
      <x:c r="D43" s="3" t="s">
        <x:v>218</x:v>
      </x:c>
      <x:c r="E43" s="3" t="s">
        <x:v>227</x:v>
      </x:c>
      <x:c r="F43" s="3" t="s">
        <x:v>258</x:v>
      </x:c>
      <x:c r="G43" s="3" t="s">
        <x:v>23</x:v>
      </x:c>
      <x:c r="H43" s="45" t="n">
        <x:v>4</x:v>
      </x:c>
      <x:c r="I43" s="45" t="n">
        <x:v>15</x:v>
      </x:c>
      <x:c r="J43" s="47"/>
      <x:c r="K43" s="17">
        <x:v>46236.78357630787</x:v>
      </x:c>
      <x:c r="L43" s="33"/>
      <x:c r="M43" t="s">
        <x:v>182</x:v>
      </x:c>
      <x:c r="N43" t="s">
        <x:v>962</x:v>
      </x:c>
      <x:c r="O43" t="str">
        <x:f>IF(A43="","",IF(COUNTIF($A$5:$A$1004,A43)&gt;1,"错误:重复映射ID",IF(OR(B43="",C43="",D43="",E43="",F43="",G43="",AND(J43="",OR(H43&lt;=0,I43&lt;H43)),M43=""),"错误:必填项","OK")))</x:f>
        <x:v>OK</x:v>
      </x:c>
    </x:row>
    <x:row r="44" ht="39.599998474121094" hidden="1" customHeight="1">
      <x:c r="A44" s="3" t="s">
        <x:v>963</x:v>
      </x:c>
      <x:c r="B44" s="3" t="s">
        <x:v>218</x:v>
      </x:c>
      <x:c r="C44" s="3" t="s">
        <x:v>179</x:v>
      </x:c>
      <x:c r="D44" s="3" t="s">
        <x:v>218</x:v>
      </x:c>
      <x:c r="E44" s="3" t="s">
        <x:v>232</x:v>
      </x:c>
      <x:c r="F44" s="3" t="s">
        <x:v>258</x:v>
      </x:c>
      <x:c r="G44" s="3" t="s">
        <x:v>23</x:v>
      </x:c>
      <x:c r="H44" s="45" t="n">
        <x:v>4</x:v>
      </x:c>
      <x:c r="I44" s="45" t="n">
        <x:v>15</x:v>
      </x:c>
      <x:c r="J44" s="47"/>
      <x:c r="K44" s="17">
        <x:v>46236.78357630787</x:v>
      </x:c>
      <x:c r="L44" s="33"/>
      <x:c r="M44" t="s">
        <x:v>182</x:v>
      </x:c>
      <x:c r="N44" t="s">
        <x:v>962</x:v>
      </x:c>
      <x:c r="O44" t="str">
        <x:f>IF(A44="","",IF(COUNTIF($A$5:$A$1004,A44)&gt;1,"错误:重复映射ID",IF(OR(B44="",C44="",D44="",E44="",F44="",G44="",AND(J44="",OR(H44&lt;=0,I44&lt;H44)),M44=""),"错误:必填项","OK")))</x:f>
        <x:v>OK</x:v>
      </x:c>
    </x:row>
    <x:row r="45" ht="39.599998474121094" hidden="1" customHeight="1">
      <x:c r="A45" s="3" t="s">
        <x:v>964</x:v>
      </x:c>
      <x:c r="B45" s="3" t="s">
        <x:v>218</x:v>
      </x:c>
      <x:c r="C45" s="3" t="s">
        <x:v>179</x:v>
      </x:c>
      <x:c r="D45" s="3" t="s">
        <x:v>480</x:v>
      </x:c>
      <x:c r="E45" s="3" t="s">
        <x:v>227</x:v>
      </x:c>
      <x:c r="F45" s="3" t="s">
        <x:v>258</x:v>
      </x:c>
      <x:c r="G45" s="3" t="s">
        <x:v>23</x:v>
      </x:c>
      <x:c r="H45" s="45" t="n">
        <x:v>4</x:v>
      </x:c>
      <x:c r="I45" s="45" t="n">
        <x:v>15</x:v>
      </x:c>
      <x:c r="J45" s="47"/>
      <x:c r="K45" s="17">
        <x:v>46236.78357630787</x:v>
      </x:c>
      <x:c r="L45" s="33"/>
      <x:c r="M45" t="s">
        <x:v>182</x:v>
      </x:c>
      <x:c r="N45" t="s">
        <x:v>965</x:v>
      </x:c>
      <x:c r="O45" t="str">
        <x:f>IF(A45="","",IF(COUNTIF($A$5:$A$1004,A45)&gt;1,"错误:重复映射ID",IF(OR(B45="",C45="",D45="",E45="",F45="",G45="",AND(J45="",OR(H45&lt;=0,I45&lt;H45)),M45=""),"错误:必填项","OK")))</x:f>
        <x:v>OK</x:v>
      </x:c>
    </x:row>
    <x:row r="46" ht="39.599998474121094" customHeight="1">
      <x:c r="A46" s="3" t="s">
        <x:v>966</x:v>
      </x:c>
      <x:c r="B46" s="3" t="s">
        <x:v>218</x:v>
      </x:c>
      <x:c r="C46" s="3" t="s">
        <x:v>179</x:v>
      </x:c>
      <x:c r="D46" s="3" t="s">
        <x:v>485</x:v>
      </x:c>
      <x:c r="E46" s="3" t="s">
        <x:v>232</x:v>
      </x:c>
      <x:c r="F46" s="3" t="s">
        <x:v>258</x:v>
      </x:c>
      <x:c r="G46" s="3" t="s">
        <x:v>23</x:v>
      </x:c>
      <x:c r="H46" s="45" t="n">
        <x:v>4</x:v>
      </x:c>
      <x:c r="I46" s="45" t="n">
        <x:v>15</x:v>
      </x:c>
      <x:c r="J46" s="47"/>
      <x:c r="K46" s="17">
        <x:v>46236.78357630787</x:v>
      </x:c>
      <x:c r="L46" s="33"/>
      <x:c r="M46" t="s">
        <x:v>182</x:v>
      </x:c>
      <x:c r="N46" t="s">
        <x:v>967</x:v>
      </x:c>
      <x:c r="O46" t="str">
        <x:f>IF(A46="","",IF(COUNTIF($A$5:$A$1004,A46)&gt;1,"错误:重复映射ID",IF(OR(B46="",C46="",D46="",E46="",F46="",G46="",AND(J46="",OR(H46&lt;=0,I46&lt;H46)),M46=""),"错误:必填项","OK")))</x:f>
        <x:v>OK</x:v>
      </x:c>
    </x:row>
    <x:row r="47" ht="39.599998474121094" customHeight="1">
      <x:c r="A47" s="3" t="s">
        <x:v>968</x:v>
      </x:c>
      <x:c r="B47" s="3" t="s">
        <x:v>235</x:v>
      </x:c>
      <x:c r="C47" s="3" t="s">
        <x:v>179</x:v>
      </x:c>
      <x:c r="D47" s="3" t="s">
        <x:v>235</x:v>
      </x:c>
      <x:c r="E47" s="3" t="s">
        <x:v>234</x:v>
      </x:c>
      <x:c r="F47" s="3" t="s">
        <x:v>258</x:v>
      </x:c>
      <x:c r="G47" s="3" t="s">
        <x:v>23</x:v>
      </x:c>
      <x:c r="H47" s="45" t="n">
        <x:v>4</x:v>
      </x:c>
      <x:c r="I47" s="45" t="n">
        <x:v>15</x:v>
      </x:c>
      <x:c r="J47" s="47"/>
      <x:c r="K47" s="17">
        <x:v>46236.78357630787</x:v>
      </x:c>
      <x:c r="L47" s="33"/>
      <x:c r="M47" t="s">
        <x:v>182</x:v>
      </x:c>
      <x:c r="N47" t="s">
        <x:v>969</x:v>
      </x:c>
      <x:c r="O47" t="str">
        <x:f>IF(A47="","",IF(COUNTIF($A$5:$A$1004,A47)&gt;1,"错误:重复映射ID",IF(OR(B47="",C47="",D47="",E47="",F47="",G47="",AND(J47="",OR(H47&lt;=0,I47&lt;H47)),M47=""),"错误:必填项","OK")))</x:f>
        <x:v>OK</x:v>
      </x:c>
    </x:row>
    <x:row r="48" ht="39.599998474121094" customHeight="1">
      <x:c r="A48" s="3" t="s">
        <x:v>970</x:v>
      </x:c>
      <x:c r="B48" s="3" t="s">
        <x:v>235</x:v>
      </x:c>
      <x:c r="C48" s="3" t="s">
        <x:v>179</x:v>
      </x:c>
      <x:c r="D48" s="3" t="s">
        <x:v>235</x:v>
      </x:c>
      <x:c r="E48" s="3" t="s">
        <x:v>238</x:v>
      </x:c>
      <x:c r="F48" s="3" t="s">
        <x:v>258</x:v>
      </x:c>
      <x:c r="G48" s="3" t="s">
        <x:v>23</x:v>
      </x:c>
      <x:c r="H48" s="45" t="n">
        <x:v>4</x:v>
      </x:c>
      <x:c r="I48" s="45" t="n">
        <x:v>15</x:v>
      </x:c>
      <x:c r="J48" s="47"/>
      <x:c r="K48" s="17">
        <x:v>46236.78357630787</x:v>
      </x:c>
      <x:c r="L48" s="33"/>
      <x:c r="M48" t="s">
        <x:v>182</x:v>
      </x:c>
      <x:c r="N48" t="s">
        <x:v>969</x:v>
      </x:c>
      <x:c r="O48" t="str">
        <x:f>IF(A48="","",IF(COUNTIF($A$5:$A$1004,A48)&gt;1,"错误:重复映射ID",IF(OR(B48="",C48="",D48="",E48="",F48="",G48="",AND(J48="",OR(H48&lt;=0,I48&lt;H48)),M48=""),"错误:必填项","OK")))</x:f>
        <x:v>OK</x:v>
      </x:c>
    </x:row>
    <x:row r="49" ht="39.599998474121094" customHeight="1">
      <x:c r="A49" s="3" t="s">
        <x:v>971</x:v>
      </x:c>
      <x:c r="B49" s="3" t="s">
        <x:v>241</x:v>
      </x:c>
      <x:c r="C49" s="3" t="s">
        <x:v>179</x:v>
      </x:c>
      <x:c r="D49" s="3" t="s">
        <x:v>241</x:v>
      </x:c>
      <x:c r="E49" s="3" t="s">
        <x:v>240</x:v>
      </x:c>
      <x:c r="F49" s="3" t="s">
        <x:v>258</x:v>
      </x:c>
      <x:c r="G49" s="3" t="s">
        <x:v>23</x:v>
      </x:c>
      <x:c r="H49" s="45" t="n">
        <x:v>4</x:v>
      </x:c>
      <x:c r="I49" s="45" t="n">
        <x:v>15</x:v>
      </x:c>
      <x:c r="J49" s="47"/>
      <x:c r="K49" s="17">
        <x:v>46236.78357630787</x:v>
      </x:c>
      <x:c r="L49" s="33"/>
      <x:c r="M49" t="s">
        <x:v>182</x:v>
      </x:c>
      <x:c r="N49" t="s">
        <x:v>972</x:v>
      </x:c>
      <x:c r="O49" t="str">
        <x:f>IF(A49="","",IF(COUNTIF($A$5:$A$1004,A49)&gt;1,"错误:重复映射ID",IF(OR(B49="",C49="",D49="",E49="",F49="",G49="",AND(J49="",OR(H49&lt;=0,I49&lt;H49)),M49=""),"错误:必填项","OK")))</x:f>
        <x:v>OK</x:v>
      </x:c>
    </x:row>
    <x:row r="50" ht="39.599998474121094" customHeight="1">
      <x:c r="A50" s="3" t="s">
        <x:v>973</x:v>
      </x:c>
      <x:c r="B50" s="3" t="s">
        <x:v>241</x:v>
      </x:c>
      <x:c r="C50" s="3" t="s">
        <x:v>179</x:v>
      </x:c>
      <x:c r="D50" s="3" t="s">
        <x:v>241</x:v>
      </x:c>
      <x:c r="E50" s="3" t="s">
        <x:v>244</x:v>
      </x:c>
      <x:c r="F50" s="3" t="s">
        <x:v>258</x:v>
      </x:c>
      <x:c r="G50" s="3" t="s">
        <x:v>23</x:v>
      </x:c>
      <x:c r="H50" s="45" t="n">
        <x:v>4</x:v>
      </x:c>
      <x:c r="I50" s="45" t="n">
        <x:v>15</x:v>
      </x:c>
      <x:c r="J50" s="47"/>
      <x:c r="K50" s="17">
        <x:v>46236.78357630787</x:v>
      </x:c>
      <x:c r="L50" s="33"/>
      <x:c r="M50" t="s">
        <x:v>182</x:v>
      </x:c>
      <x:c r="N50" t="s">
        <x:v>972</x:v>
      </x:c>
      <x:c r="O50" t="str">
        <x:f>IF(A50="","",IF(COUNTIF($A$5:$A$1004,A50)&gt;1,"错误:重复映射ID",IF(OR(B50="",C50="",D50="",E50="",F50="",G50="",AND(J50="",OR(H50&lt;=0,I50&lt;H50)),M50=""),"错误:必填项","OK")))</x:f>
        <x:v>OK</x:v>
      </x:c>
    </x:row>
    <x:row r="51" ht="39.599998474121094" customHeight="1">
      <x:c r="A51" s="3" t="s">
        <x:v>974</x:v>
      </x:c>
      <x:c r="B51" s="3" t="s">
        <x:v>235</x:v>
      </x:c>
      <x:c r="C51" s="3" t="s">
        <x:v>179</x:v>
      </x:c>
      <x:c r="D51" s="3" t="s">
        <x:v>501</x:v>
      </x:c>
      <x:c r="E51" s="3" t="s">
        <x:v>234</x:v>
      </x:c>
      <x:c r="F51" s="3" t="s">
        <x:v>258</x:v>
      </x:c>
      <x:c r="G51" s="3" t="s">
        <x:v>23</x:v>
      </x:c>
      <x:c r="H51" s="45" t="n">
        <x:v>4</x:v>
      </x:c>
      <x:c r="I51" s="45" t="n">
        <x:v>15</x:v>
      </x:c>
      <x:c r="J51" s="47"/>
      <x:c r="K51" s="17">
        <x:v>46236.78357630787</x:v>
      </x:c>
      <x:c r="L51" s="33"/>
      <x:c r="M51" t="s">
        <x:v>182</x:v>
      </x:c>
      <x:c r="N51" t="s">
        <x:v>975</x:v>
      </x:c>
      <x:c r="O51" t="str">
        <x:f>IF(A51="","",IF(COUNTIF($A$5:$A$1004,A51)&gt;1,"错误:重复映射ID",IF(OR(B51="",C51="",D51="",E51="",F51="",G51="",AND(J51="",OR(H51&lt;=0,I51&lt;H51)),M51=""),"错误:必填项","OK")))</x:f>
        <x:v>OK</x:v>
      </x:c>
    </x:row>
    <x:row r="52" ht="39.599998474121094" customHeight="1">
      <x:c r="A52" s="3" t="s">
        <x:v>976</x:v>
      </x:c>
      <x:c r="B52" s="3" t="s">
        <x:v>235</x:v>
      </x:c>
      <x:c r="C52" s="3" t="s">
        <x:v>179</x:v>
      </x:c>
      <x:c r="D52" s="3" t="s">
        <x:v>506</x:v>
      </x:c>
      <x:c r="E52" s="3" t="s">
        <x:v>238</x:v>
      </x:c>
      <x:c r="F52" s="3" t="s">
        <x:v>258</x:v>
      </x:c>
      <x:c r="G52" s="3" t="s">
        <x:v>23</x:v>
      </x:c>
      <x:c r="H52" s="45" t="n">
        <x:v>4</x:v>
      </x:c>
      <x:c r="I52" s="45" t="n">
        <x:v>15</x:v>
      </x:c>
      <x:c r="J52" s="47"/>
      <x:c r="K52" s="17">
        <x:v>46236.78357630787</x:v>
      </x:c>
      <x:c r="L52" s="33"/>
      <x:c r="M52" t="s">
        <x:v>182</x:v>
      </x:c>
      <x:c r="N52" t="s">
        <x:v>977</x:v>
      </x:c>
      <x:c r="O52" t="str">
        <x:f>IF(A52="","",IF(COUNTIF($A$5:$A$1004,A52)&gt;1,"错误:重复映射ID",IF(OR(B52="",C52="",D52="",E52="",F52="",G52="",AND(J52="",OR(H52&lt;=0,I52&lt;H52)),M52=""),"错误:必填项","OK")))</x:f>
        <x:v>OK</x:v>
      </x:c>
    </x:row>
    <x:row r="53" ht="39.599998474121094" customHeight="1">
      <x:c r="A53" s="3" t="s">
        <x:v>978</x:v>
      </x:c>
      <x:c r="B53" s="3" t="s">
        <x:v>241</x:v>
      </x:c>
      <x:c r="C53" s="3" t="s">
        <x:v>179</x:v>
      </x:c>
      <x:c r="D53" s="3" t="s">
        <x:v>511</x:v>
      </x:c>
      <x:c r="E53" s="3" t="s">
        <x:v>240</x:v>
      </x:c>
      <x:c r="F53" s="3" t="s">
        <x:v>258</x:v>
      </x:c>
      <x:c r="G53" s="3" t="s">
        <x:v>23</x:v>
      </x:c>
      <x:c r="H53" s="45" t="n">
        <x:v>4</x:v>
      </x:c>
      <x:c r="I53" s="45" t="n">
        <x:v>15</x:v>
      </x:c>
      <x:c r="J53" s="47"/>
      <x:c r="K53" s="17">
        <x:v>46236.78357630787</x:v>
      </x:c>
      <x:c r="L53" s="33"/>
      <x:c r="M53" t="s">
        <x:v>182</x:v>
      </x:c>
      <x:c r="N53" t="s">
        <x:v>979</x:v>
      </x:c>
      <x:c r="O53" t="str">
        <x:f>IF(A53="","",IF(COUNTIF($A$5:$A$1004,A53)&gt;1,"错误:重复映射ID",IF(OR(B53="",C53="",D53="",E53="",F53="",G53="",AND(J53="",OR(H53&lt;=0,I53&lt;H53)),M53=""),"错误:必填项","OK")))</x:f>
        <x:v>OK</x:v>
      </x:c>
    </x:row>
    <x:row r="54" ht="39.599998474121094" customHeight="1">
      <x:c r="A54" s="3" t="s">
        <x:v>980</x:v>
      </x:c>
      <x:c r="B54" s="3" t="s">
        <x:v>241</x:v>
      </x:c>
      <x:c r="C54" s="3" t="s">
        <x:v>179</x:v>
      </x:c>
      <x:c r="D54" s="3" t="s">
        <x:v>516</x:v>
      </x:c>
      <x:c r="E54" s="3" t="s">
        <x:v>244</x:v>
      </x:c>
      <x:c r="F54" s="3" t="s">
        <x:v>258</x:v>
      </x:c>
      <x:c r="G54" s="3" t="s">
        <x:v>23</x:v>
      </x:c>
      <x:c r="H54" s="45" t="n">
        <x:v>4</x:v>
      </x:c>
      <x:c r="I54" s="45" t="n">
        <x:v>15</x:v>
      </x:c>
      <x:c r="J54" s="47"/>
      <x:c r="K54" s="17">
        <x:v>46236.78357630787</x:v>
      </x:c>
      <x:c r="L54" s="33"/>
      <x:c r="M54" t="s">
        <x:v>182</x:v>
      </x:c>
      <x:c r="N54" t="s">
        <x:v>981</x:v>
      </x:c>
      <x:c r="O54" t="str">
        <x:f>IF(A54="","",IF(COUNTIF($A$5:$A$1004,A54)&gt;1,"错误:重复映射ID",IF(OR(B54="",C54="",D54="",E54="",F54="",G54="",AND(J54="",OR(H54&lt;=0,I54&lt;H54)),M54=""),"错误:必填项","OK")))</x:f>
        <x:v>OK</x:v>
      </x:c>
    </x:row>
    <x:row r="55" ht="39.599998474121094" customHeight="1">
      <x:c r="A55" s="3" t="s">
        <x:v>982</x:v>
      </x:c>
      <x:c r="B55" s="3" t="s">
        <x:v>235</x:v>
      </x:c>
      <x:c r="C55" s="3" t="s">
        <x:v>147</x:v>
      </x:c>
      <x:c r="D55" s="3" t="s">
        <x:v>521</x:v>
      </x:c>
      <x:c r="E55" s="3" t="s">
        <x:v>234</x:v>
      </x:c>
      <x:c r="F55" s="3" t="s">
        <x:v>258</x:v>
      </x:c>
      <x:c r="G55" s="3" t="s">
        <x:v>23</x:v>
      </x:c>
      <x:c r="H55" s="45" t="n">
        <x:v>15</x:v>
      </x:c>
      <x:c r="I55" s="45" t="n">
        <x:v>15</x:v>
      </x:c>
      <x:c r="J55" s="47"/>
      <x:c r="K55" s="17">
        <x:v>46236.78357630787</x:v>
      </x:c>
      <x:c r="L55" s="33"/>
      <x:c r="M55" t="s">
        <x:v>155</x:v>
      </x:c>
      <x:c r="N55" t="s">
        <x:v>983</x:v>
      </x:c>
      <x:c r="O55" t="str">
        <x:f>IF(A55="","",IF(COUNTIF($A$5:$A$1004,A55)&gt;1,"错误:重复映射ID",IF(OR(B55="",C55="",D55="",E55="",F55="",G55="",AND(J55="",OR(H55&lt;=0,I55&lt;H55)),M55=""),"错误:必填项","OK")))</x:f>
        <x:v>OK</x:v>
      </x:c>
    </x:row>
    <x:row r="56" ht="39.599998474121094" customHeight="1">
      <x:c r="A56" s="3" t="s">
        <x:v>984</x:v>
      </x:c>
      <x:c r="B56" s="3" t="s">
        <x:v>218</x:v>
      </x:c>
      <x:c r="C56" s="3" t="s">
        <x:v>147</x:v>
      </x:c>
      <x:c r="D56" s="3" t="s">
        <x:v>526</x:v>
      </x:c>
      <x:c r="E56" s="3" t="s">
        <x:v>227</x:v>
      </x:c>
      <x:c r="F56" s="3" t="s">
        <x:v>258</x:v>
      </x:c>
      <x:c r="G56" s="3" t="s">
        <x:v>23</x:v>
      </x:c>
      <x:c r="H56" s="45" t="n">
        <x:v>15</x:v>
      </x:c>
      <x:c r="I56" s="45" t="n">
        <x:v>15</x:v>
      </x:c>
      <x:c r="J56" s="47"/>
      <x:c r="K56" s="17">
        <x:v>46236.78357630787</x:v>
      </x:c>
      <x:c r="L56" s="33"/>
      <x:c r="M56" t="s">
        <x:v>155</x:v>
      </x:c>
      <x:c r="N56" t="s">
        <x:v>985</x:v>
      </x:c>
      <x:c r="O56" t="str">
        <x:f>IF(A56="","",IF(COUNTIF($A$5:$A$1004,A56)&gt;1,"错误:重复映射ID",IF(OR(B56="",C56="",D56="",E56="",F56="",G56="",AND(J56="",OR(H56&lt;=0,I56&lt;H56)),M56=""),"错误:必填项","OK")))</x:f>
        <x:v>OK</x:v>
      </x:c>
    </x:row>
    <x:row r="57" ht="39.599998474121094" customHeight="1">
      <x:c r="A57" s="3" t="s">
        <x:v>986</x:v>
      </x:c>
      <x:c r="B57" s="3" t="s">
        <x:v>235</x:v>
      </x:c>
      <x:c r="C57" s="3" t="s">
        <x:v>147</x:v>
      </x:c>
      <x:c r="D57" s="3" t="s">
        <x:v>531</x:v>
      </x:c>
      <x:c r="E57" s="3" t="s">
        <x:v>238</x:v>
      </x:c>
      <x:c r="F57" s="3" t="s">
        <x:v>258</x:v>
      </x:c>
      <x:c r="G57" s="3" t="s">
        <x:v>23</x:v>
      </x:c>
      <x:c r="H57" s="45" t="n">
        <x:v>15</x:v>
      </x:c>
      <x:c r="I57" s="45" t="n">
        <x:v>15</x:v>
      </x:c>
      <x:c r="J57" s="47"/>
      <x:c r="K57" s="17">
        <x:v>46236.78357630787</x:v>
      </x:c>
      <x:c r="L57" s="33"/>
      <x:c r="M57" t="s">
        <x:v>155</x:v>
      </x:c>
      <x:c r="N57" t="s">
        <x:v>987</x:v>
      </x:c>
      <x:c r="O57" t="str">
        <x:f>IF(A57="","",IF(COUNTIF($A$5:$A$1004,A57)&gt;1,"错误:重复映射ID",IF(OR(B57="",C57="",D57="",E57="",F57="",G57="",AND(J57="",OR(H57&lt;=0,I57&lt;H57)),M57=""),"错误:必填项","OK")))</x:f>
        <x:v>OK</x:v>
      </x:c>
    </x:row>
    <x:row r="58" ht="39.599998474121094" hidden="1" customHeight="1">
      <x:c r="A58" s="3" t="s">
        <x:v>988</x:v>
      </x:c>
      <x:c r="B58" s="3" t="s">
        <x:v>241</x:v>
      </x:c>
      <x:c r="C58" s="3" t="s">
        <x:v>147</x:v>
      </x:c>
      <x:c r="D58" s="3" t="s">
        <x:v>536</x:v>
      </x:c>
      <x:c r="E58" s="3" t="s">
        <x:v>244</x:v>
      </x:c>
      <x:c r="F58" s="3" t="s">
        <x:v>258</x:v>
      </x:c>
      <x:c r="G58" s="3" t="s">
        <x:v>23</x:v>
      </x:c>
      <x:c r="H58" s="45" t="n">
        <x:v>15</x:v>
      </x:c>
      <x:c r="I58" s="45" t="n">
        <x:v>15</x:v>
      </x:c>
      <x:c r="J58" s="47"/>
      <x:c r="K58" s="17">
        <x:v>46236.78357630787</x:v>
      </x:c>
      <x:c r="L58" s="33"/>
      <x:c r="M58" t="s">
        <x:v>155</x:v>
      </x:c>
      <x:c r="N58" t="s">
        <x:v>989</x:v>
      </x:c>
      <x:c r="O58" t="str">
        <x:f>IF(A58="","",IF(COUNTIF($A$5:$A$1004,A58)&gt;1,"错误:重复映射ID",IF(OR(B58="",C58="",D58="",E58="",F58="",G58="",AND(J58="",OR(H58&lt;=0,I58&lt;H58)),M58=""),"错误:必填项","OK")))</x:f>
        <x:v>OK</x:v>
      </x:c>
    </x:row>
    <x:row r="59" ht="39.599998474121094" hidden="1" customHeight="1">
      <x:c r="A59" s="3" t="s">
        <x:v>990</x:v>
      </x:c>
      <x:c r="B59" s="3" t="s">
        <x:v>235</x:v>
      </x:c>
      <x:c r="C59" s="3" t="s">
        <x:v>147</x:v>
      </x:c>
      <x:c r="D59" s="3" t="s">
        <x:v>541</x:v>
      </x:c>
      <x:c r="E59" s="3" t="s">
        <x:v>238</x:v>
      </x:c>
      <x:c r="F59" s="3" t="s">
        <x:v>258</x:v>
      </x:c>
      <x:c r="G59" s="3" t="s">
        <x:v>23</x:v>
      </x:c>
      <x:c r="H59" s="45" t="n">
        <x:v>15</x:v>
      </x:c>
      <x:c r="I59" s="45" t="n">
        <x:v>15</x:v>
      </x:c>
      <x:c r="J59" s="47"/>
      <x:c r="K59" s="17">
        <x:v>46236.78357630787</x:v>
      </x:c>
      <x:c r="L59" s="33"/>
      <x:c r="M59" t="s">
        <x:v>155</x:v>
      </x:c>
      <x:c r="N59" t="s">
        <x:v>991</x:v>
      </x:c>
      <x:c r="O59" t="str">
        <x:f>IF(A59="","",IF(COUNTIF($A$5:$A$1004,A59)&gt;1,"错误:重复映射ID",IF(OR(B59="",C59="",D59="",E59="",F59="",G59="",AND(J59="",OR(H59&lt;=0,I59&lt;H59)),M59=""),"错误:必填项","OK")))</x:f>
        <x:v>OK</x:v>
      </x:c>
    </x:row>
    <x:row r="60" ht="39.599998474121094" hidden="1" customHeight="1">
      <x:c r="A60" s="3" t="s">
        <x:v>992</x:v>
      </x:c>
      <x:c r="B60" s="3" t="s">
        <x:v>218</x:v>
      </x:c>
      <x:c r="C60" s="3" t="s">
        <x:v>147</x:v>
      </x:c>
      <x:c r="D60" s="3" t="s">
        <x:v>545</x:v>
      </x:c>
      <x:c r="E60" s="3" t="s">
        <x:v>232</x:v>
      </x:c>
      <x:c r="F60" s="3" t="s">
        <x:v>258</x:v>
      </x:c>
      <x:c r="G60" s="3" t="s">
        <x:v>23</x:v>
      </x:c>
      <x:c r="H60" s="45" t="n">
        <x:v>15</x:v>
      </x:c>
      <x:c r="I60" s="45" t="n">
        <x:v>15</x:v>
      </x:c>
      <x:c r="J60" s="47"/>
      <x:c r="K60" s="17">
        <x:v>46236.78357630787</x:v>
      </x:c>
      <x:c r="L60" s="33"/>
      <x:c r="M60" t="s">
        <x:v>155</x:v>
      </x:c>
      <x:c r="N60" t="s">
        <x:v>993</x:v>
      </x:c>
      <x:c r="O60" t="str">
        <x:f>IF(A60="","",IF(COUNTIF($A$5:$A$1004,A60)&gt;1,"错误:重复映射ID",IF(OR(B60="",C60="",D60="",E60="",F60="",G60="",AND(J60="",OR(H60&lt;=0,I60&lt;H60)),M60=""),"错误:必填项","OK")))</x:f>
        <x:v>OK</x:v>
      </x:c>
    </x:row>
    <x:row r="61" ht="39.599998474121094" hidden="1" customHeight="1">
      <x:c r="A61" s="3" t="s">
        <x:v>994</x:v>
      </x:c>
      <x:c r="B61" s="3" t="s">
        <x:v>235</x:v>
      </x:c>
      <x:c r="C61" s="3" t="s">
        <x:v>147</x:v>
      </x:c>
      <x:c r="D61" s="3" t="s">
        <x:v>549</x:v>
      </x:c>
      <x:c r="E61" s="3" t="s">
        <x:v>234</x:v>
      </x:c>
      <x:c r="F61" s="3" t="s">
        <x:v>258</x:v>
      </x:c>
      <x:c r="G61" s="3" t="s">
        <x:v>23</x:v>
      </x:c>
      <x:c r="H61" s="45" t="n">
        <x:v>4</x:v>
      </x:c>
      <x:c r="I61" s="45" t="n">
        <x:v>15</x:v>
      </x:c>
      <x:c r="J61" s="47"/>
      <x:c r="K61" s="17">
        <x:v>46236.78357630787</x:v>
      </x:c>
      <x:c r="L61" s="33"/>
      <x:c r="M61" t="s">
        <x:v>155</x:v>
      </x:c>
      <x:c r="N61" t="s">
        <x:v>995</x:v>
      </x:c>
      <x:c r="O61" t="str">
        <x:f>IF(A61="","",IF(COUNTIF($A$5:$A$1004,A61)&gt;1,"错误:重复映射ID",IF(OR(B61="",C61="",D61="",E61="",F61="",G61="",AND(J61="",OR(H61&lt;=0,I61&lt;H61)),M61=""),"错误:必填项","OK")))</x:f>
        <x:v>OK</x:v>
      </x:c>
    </x:row>
    <x:row r="62" ht="39.599998474121094" hidden="1" customHeight="1">
      <x:c r="A62" s="3" t="s">
        <x:v>996</x:v>
      </x:c>
      <x:c r="B62" s="3" t="s">
        <x:v>218</x:v>
      </x:c>
      <x:c r="C62" s="3" t="s">
        <x:v>147</x:v>
      </x:c>
      <x:c r="D62" s="3" t="s">
        <x:v>554</x:v>
      </x:c>
      <x:c r="E62" s="3" t="s">
        <x:v>227</x:v>
      </x:c>
      <x:c r="F62" s="3" t="s">
        <x:v>258</x:v>
      </x:c>
      <x:c r="G62" s="3" t="s">
        <x:v>23</x:v>
      </x:c>
      <x:c r="H62" s="45" t="n">
        <x:v>4</x:v>
      </x:c>
      <x:c r="I62" s="45" t="n">
        <x:v>15</x:v>
      </x:c>
      <x:c r="J62" s="47"/>
      <x:c r="K62" s="17">
        <x:v>46236.78357630787</x:v>
      </x:c>
      <x:c r="L62" s="33"/>
      <x:c r="M62" t="s">
        <x:v>155</x:v>
      </x:c>
      <x:c r="N62" t="s">
        <x:v>997</x:v>
      </x:c>
      <x:c r="O62" t="str">
        <x:f>IF(A62="","",IF(COUNTIF($A$5:$A$1004,A62)&gt;1,"错误:重复映射ID",IF(OR(B62="",C62="",D62="",E62="",F62="",G62="",AND(J62="",OR(H62&lt;=0,I62&lt;H62)),M62=""),"错误:必填项","OK")))</x:f>
        <x:v>OK</x:v>
      </x:c>
    </x:row>
    <x:row r="63" ht="39.599998474121094" hidden="1" customHeight="1">
      <x:c r="A63" s="3" t="s">
        <x:v>998</x:v>
      </x:c>
      <x:c r="B63" s="3" t="s">
        <x:v>235</x:v>
      </x:c>
      <x:c r="C63" s="3" t="s">
        <x:v>147</x:v>
      </x:c>
      <x:c r="D63" s="3" t="s">
        <x:v>559</x:v>
      </x:c>
      <x:c r="E63" s="3" t="s">
        <x:v>238</x:v>
      </x:c>
      <x:c r="F63" s="3" t="s">
        <x:v>258</x:v>
      </x:c>
      <x:c r="G63" s="3" t="s">
        <x:v>23</x:v>
      </x:c>
      <x:c r="H63" s="45" t="n">
        <x:v>4</x:v>
      </x:c>
      <x:c r="I63" s="45" t="n">
        <x:v>15</x:v>
      </x:c>
      <x:c r="J63" s="47"/>
      <x:c r="K63" s="17">
        <x:v>46236.78357630787</x:v>
      </x:c>
      <x:c r="L63" s="33"/>
      <x:c r="M63" t="s">
        <x:v>155</x:v>
      </x:c>
      <x:c r="N63" t="s">
        <x:v>999</x:v>
      </x:c>
      <x:c r="O63" t="str">
        <x:f>IF(A63="","",IF(COUNTIF($A$5:$A$1004,A63)&gt;1,"错误:重复映射ID",IF(OR(B63="",C63="",D63="",E63="",F63="",G63="",AND(J63="",OR(H63&lt;=0,I63&lt;H63)),M63=""),"错误:必填项","OK")))</x:f>
        <x:v>OK</x:v>
      </x:c>
    </x:row>
    <x:row r="64" ht="39.599998474121094" hidden="1" customHeight="1">
      <x:c r="A64" s="3" t="s">
        <x:v>1000</x:v>
      </x:c>
      <x:c r="B64" s="3" t="s">
        <x:v>235</x:v>
      </x:c>
      <x:c r="C64" s="3" t="s">
        <x:v>147</x:v>
      </x:c>
      <x:c r="D64" s="3" t="s">
        <x:v>564</x:v>
      </x:c>
      <x:c r="E64" s="3" t="s">
        <x:v>238</x:v>
      </x:c>
      <x:c r="F64" s="3" t="s">
        <x:v>258</x:v>
      </x:c>
      <x:c r="G64" s="3" t="s">
        <x:v>23</x:v>
      </x:c>
      <x:c r="H64" s="45" t="n">
        <x:v>4</x:v>
      </x:c>
      <x:c r="I64" s="45" t="n">
        <x:v>15</x:v>
      </x:c>
      <x:c r="J64" s="47"/>
      <x:c r="K64" s="17">
        <x:v>46236.78357630787</x:v>
      </x:c>
      <x:c r="L64" s="33"/>
      <x:c r="M64" t="s">
        <x:v>155</x:v>
      </x:c>
      <x:c r="N64" t="s">
        <x:v>1001</x:v>
      </x:c>
      <x:c r="O64" t="str">
        <x:f>IF(A64="","",IF(COUNTIF($A$5:$A$1004,A64)&gt;1,"错误:重复映射ID",IF(OR(B64="",C64="",D64="",E64="",F64="",G64="",AND(J64="",OR(H64&lt;=0,I64&lt;H64)),M64=""),"错误:必填项","OK")))</x:f>
        <x:v>OK</x:v>
      </x:c>
    </x:row>
    <x:row r="65" ht="39.599998474121094" hidden="1" customHeight="1">
      <x:c r="A65" s="3" t="s">
        <x:v>1002</x:v>
      </x:c>
      <x:c r="B65" s="3" t="s">
        <x:v>218</x:v>
      </x:c>
      <x:c r="C65" s="3" t="s">
        <x:v>147</x:v>
      </x:c>
      <x:c r="D65" s="3" t="s">
        <x:v>569</x:v>
      </x:c>
      <x:c r="E65" s="3" t="s">
        <x:v>232</x:v>
      </x:c>
      <x:c r="F65" s="3" t="s">
        <x:v>258</x:v>
      </x:c>
      <x:c r="G65" s="3" t="s">
        <x:v>23</x:v>
      </x:c>
      <x:c r="H65" s="45" t="n">
        <x:v>4</x:v>
      </x:c>
      <x:c r="I65" s="45" t="n">
        <x:v>15</x:v>
      </x:c>
      <x:c r="J65" s="47"/>
      <x:c r="K65" s="17">
        <x:v>46236.78357630787</x:v>
      </x:c>
      <x:c r="L65" s="33"/>
      <x:c r="M65" t="s">
        <x:v>155</x:v>
      </x:c>
      <x:c r="N65" t="s">
        <x:v>1003</x:v>
      </x:c>
      <x:c r="O65" t="str">
        <x:f>IF(A65="","",IF(COUNTIF($A$5:$A$1004,A65)&gt;1,"错误:重复映射ID",IF(OR(B65="",C65="",D65="",E65="",F65="",G65="",AND(J65="",OR(H65&lt;=0,I65&lt;H65)),M65=""),"错误:必填项","OK")))</x:f>
        <x:v>OK</x:v>
      </x:c>
    </x:row>
    <x:row r="66" ht="39.599998474121094" hidden="1" customHeight="1">
      <x:c r="A66" s="3" t="s">
        <x:v>1004</x:v>
      </x:c>
      <x:c r="B66" s="3" t="s">
        <x:v>235</x:v>
      </x:c>
      <x:c r="C66" s="3" t="s">
        <x:v>147</x:v>
      </x:c>
      <x:c r="D66" s="3" t="s">
        <x:v>573</x:v>
      </x:c>
      <x:c r="E66" s="3" t="s">
        <x:v>238</x:v>
      </x:c>
      <x:c r="F66" s="3" t="s">
        <x:v>258</x:v>
      </x:c>
      <x:c r="G66" s="3" t="s">
        <x:v>23</x:v>
      </x:c>
      <x:c r="H66" s="45" t="n">
        <x:v>4</x:v>
      </x:c>
      <x:c r="I66" s="45" t="n">
        <x:v>15</x:v>
      </x:c>
      <x:c r="J66" s="47"/>
      <x:c r="K66" s="17">
        <x:v>46236.78357630787</x:v>
      </x:c>
      <x:c r="L66" s="33"/>
      <x:c r="M66" t="s">
        <x:v>155</x:v>
      </x:c>
      <x:c r="N66" t="s">
        <x:v>1005</x:v>
      </x:c>
      <x:c r="O66" t="str">
        <x:f>IF(A66="","",IF(COUNTIF($A$5:$A$1004,A66)&gt;1,"错误:重复映射ID",IF(OR(B66="",C66="",D66="",E66="",F66="",G66="",AND(J66="",OR(H66&lt;=0,I66&lt;H66)),M66=""),"错误:必填项","OK")))</x:f>
        <x:v>OK</x:v>
      </x:c>
    </x:row>
    <x:row r="67" ht="39.599998474121094" hidden="1" customHeight="1">
      <x:c r="A67" s="3" t="s">
        <x:v>1006</x:v>
      </x:c>
      <x:c r="B67" s="3" t="s">
        <x:v>218</x:v>
      </x:c>
      <x:c r="C67" s="3" t="s">
        <x:v>147</x:v>
      </x:c>
      <x:c r="D67" s="3" t="s">
        <x:v>578</x:v>
      </x:c>
      <x:c r="E67" s="3" t="s">
        <x:v>227</x:v>
      </x:c>
      <x:c r="F67" s="3" t="s">
        <x:v>258</x:v>
      </x:c>
      <x:c r="G67" s="3" t="s">
        <x:v>23</x:v>
      </x:c>
      <x:c r="H67" s="45" t="n">
        <x:v>4</x:v>
      </x:c>
      <x:c r="I67" s="45" t="n">
        <x:v>15</x:v>
      </x:c>
      <x:c r="J67" s="47"/>
      <x:c r="K67" s="17">
        <x:v>46236.78357630787</x:v>
      </x:c>
      <x:c r="L67" s="33"/>
      <x:c r="M67" t="s">
        <x:v>155</x:v>
      </x:c>
      <x:c r="N67" t="s">
        <x:v>1007</x:v>
      </x:c>
      <x:c r="O67" t="str">
        <x:f>IF(A67="","",IF(COUNTIF($A$5:$A$1004,A67)&gt;1,"错误:重复映射ID",IF(OR(B67="",C67="",D67="",E67="",F67="",G67="",AND(J67="",OR(H67&lt;=0,I67&lt;H67)),M67=""),"错误:必填项","OK")))</x:f>
        <x:v>OK</x:v>
      </x:c>
    </x:row>
    <x:row r="68" ht="39.599998474121094" hidden="1" customHeight="1">
      <x:c r="A68" s="3" t="s">
        <x:v>1008</x:v>
      </x:c>
      <x:c r="B68" s="3" t="s">
        <x:v>235</x:v>
      </x:c>
      <x:c r="C68" s="3" t="s">
        <x:v>147</x:v>
      </x:c>
      <x:c r="D68" s="3" t="s">
        <x:v>583</x:v>
      </x:c>
      <x:c r="E68" s="3" t="s">
        <x:v>234</x:v>
      </x:c>
      <x:c r="F68" s="3" t="s">
        <x:v>258</x:v>
      </x:c>
      <x:c r="G68" s="3" t="s">
        <x:v>23</x:v>
      </x:c>
      <x:c r="H68" s="45" t="n">
        <x:v>4</x:v>
      </x:c>
      <x:c r="I68" s="45" t="n">
        <x:v>15</x:v>
      </x:c>
      <x:c r="J68" s="47"/>
      <x:c r="K68" s="17">
        <x:v>46236.78357630787</x:v>
      </x:c>
      <x:c r="L68" s="33"/>
      <x:c r="M68" t="s">
        <x:v>155</x:v>
      </x:c>
      <x:c r="N68" t="s">
        <x:v>1009</x:v>
      </x:c>
      <x:c r="O68" t="str">
        <x:f>IF(A68="","",IF(COUNTIF($A$5:$A$1004,A68)&gt;1,"错误:重复映射ID",IF(OR(B68="",C68="",D68="",E68="",F68="",G68="",AND(J68="",OR(H68&lt;=0,I68&lt;H68)),M68=""),"错误:必填项","OK")))</x:f>
        <x:v>OK</x:v>
      </x:c>
    </x:row>
    <x:row r="69" ht="39.599998474121094" hidden="1" customHeight="1">
      <x:c r="A69" s="3" t="s">
        <x:v>1010</x:v>
      </x:c>
      <x:c r="B69" s="3" t="s">
        <x:v>241</x:v>
      </x:c>
      <x:c r="C69" s="3" t="s">
        <x:v>147</x:v>
      </x:c>
      <x:c r="D69" s="3" t="s">
        <x:v>588</x:v>
      </x:c>
      <x:c r="E69" s="3" t="s">
        <x:v>240</x:v>
      </x:c>
      <x:c r="F69" s="3" t="s">
        <x:v>258</x:v>
      </x:c>
      <x:c r="G69" s="3" t="s">
        <x:v>23</x:v>
      </x:c>
      <x:c r="H69" s="45" t="n">
        <x:v>4</x:v>
      </x:c>
      <x:c r="I69" s="45" t="n">
        <x:v>15</x:v>
      </x:c>
      <x:c r="J69" s="47"/>
      <x:c r="K69" s="17">
        <x:v>46236.78357630787</x:v>
      </x:c>
      <x:c r="L69" s="33"/>
      <x:c r="M69" t="s">
        <x:v>155</x:v>
      </x:c>
      <x:c r="N69" t="s">
        <x:v>1011</x:v>
      </x:c>
      <x:c r="O69" t="str">
        <x:f>IF(A69="","",IF(COUNTIF($A$5:$A$1004,A69)&gt;1,"错误:重复映射ID",IF(OR(B69="",C69="",D69="",E69="",F69="",G69="",AND(J69="",OR(H69&lt;=0,I69&lt;H69)),M69=""),"错误:必填项","OK")))</x:f>
        <x:v>OK</x:v>
      </x:c>
    </x:row>
    <x:row r="70" ht="39.599998474121094" hidden="1" customHeight="1">
      <x:c r="A70" s="3" t="s">
        <x:v>1012</x:v>
      </x:c>
      <x:c r="B70" s="3" t="s">
        <x:v>235</x:v>
      </x:c>
      <x:c r="C70" s="3" t="s">
        <x:v>147</x:v>
      </x:c>
      <x:c r="D70" s="3" t="s">
        <x:v>593</x:v>
      </x:c>
      <x:c r="E70" s="3" t="s">
        <x:v>238</x:v>
      </x:c>
      <x:c r="F70" s="3" t="s">
        <x:v>258</x:v>
      </x:c>
      <x:c r="G70" s="3" t="s">
        <x:v>23</x:v>
      </x:c>
      <x:c r="H70" s="45" t="n">
        <x:v>4</x:v>
      </x:c>
      <x:c r="I70" s="45" t="n">
        <x:v>15</x:v>
      </x:c>
      <x:c r="J70" s="47"/>
      <x:c r="K70" s="17">
        <x:v>46236.78357630787</x:v>
      </x:c>
      <x:c r="L70" s="33"/>
      <x:c r="M70" t="s">
        <x:v>155</x:v>
      </x:c>
      <x:c r="N70" t="s">
        <x:v>1013</x:v>
      </x:c>
      <x:c r="O70" t="str">
        <x:f>IF(A70="","",IF(COUNTIF($A$5:$A$1004,A70)&gt;1,"错误:重复映射ID",IF(OR(B70="",C70="",D70="",E70="",F70="",G70="",AND(J70="",OR(H70&lt;=0,I70&lt;H70)),M70=""),"错误:必填项","OK")))</x:f>
        <x:v>OK</x:v>
      </x:c>
    </x:row>
    <x:row r="71" ht="39.599998474121094" hidden="1" customHeight="1">
      <x:c r="A71" s="3" t="s">
        <x:v>1014</x:v>
      </x:c>
      <x:c r="B71" s="3" t="s">
        <x:v>241</x:v>
      </x:c>
      <x:c r="C71" s="3" t="s">
        <x:v>147</x:v>
      </x:c>
      <x:c r="D71" s="3" t="s">
        <x:v>597</x:v>
      </x:c>
      <x:c r="E71" s="3" t="s">
        <x:v>244</x:v>
      </x:c>
      <x:c r="F71" s="3" t="s">
        <x:v>258</x:v>
      </x:c>
      <x:c r="G71" s="3" t="s">
        <x:v>23</x:v>
      </x:c>
      <x:c r="H71" s="45" t="n">
        <x:v>4</x:v>
      </x:c>
      <x:c r="I71" s="45" t="n">
        <x:v>15</x:v>
      </x:c>
      <x:c r="J71" s="47"/>
      <x:c r="K71" s="17">
        <x:v>46236.78357630787</x:v>
      </x:c>
      <x:c r="L71" s="33"/>
      <x:c r="M71" t="s">
        <x:v>155</x:v>
      </x:c>
      <x:c r="N71" t="s">
        <x:v>1015</x:v>
      </x:c>
      <x:c r="O71" t="str">
        <x:f>IF(A71="","",IF(COUNTIF($A$5:$A$1004,A71)&gt;1,"错误:重复映射ID",IF(OR(B71="",C71="",D71="",E71="",F71="",G71="",AND(J71="",OR(H71&lt;=0,I71&lt;H71)),M71=""),"错误:必填项","OK")))</x:f>
        <x:v>OK</x:v>
      </x:c>
    </x:row>
    <x:row r="72" ht="39.599998474121094" hidden="1" customHeight="1">
      <x:c r="A72" s="3" t="s">
        <x:v>1016</x:v>
      </x:c>
      <x:c r="B72" s="3" t="s">
        <x:v>218</x:v>
      </x:c>
      <x:c r="C72" s="3" t="s">
        <x:v>147</x:v>
      </x:c>
      <x:c r="D72" s="3" t="s">
        <x:v>602</x:v>
      </x:c>
      <x:c r="E72" s="3" t="s">
        <x:v>232</x:v>
      </x:c>
      <x:c r="F72" s="3" t="s">
        <x:v>258</x:v>
      </x:c>
      <x:c r="G72" s="3" t="s">
        <x:v>23</x:v>
      </x:c>
      <x:c r="H72" s="45" t="n">
        <x:v>4</x:v>
      </x:c>
      <x:c r="I72" s="45" t="n">
        <x:v>15</x:v>
      </x:c>
      <x:c r="J72" s="47"/>
      <x:c r="K72" s="17">
        <x:v>46236.78357630787</x:v>
      </x:c>
      <x:c r="L72" s="33"/>
      <x:c r="M72" t="s">
        <x:v>155</x:v>
      </x:c>
      <x:c r="N72" t="s">
        <x:v>1017</x:v>
      </x:c>
      <x:c r="O72" t="str">
        <x:f>IF(A72="","",IF(COUNTIF($A$5:$A$1004,A72)&gt;1,"错误:重复映射ID",IF(OR(B72="",C72="",D72="",E72="",F72="",G72="",AND(J72="",OR(H72&lt;=0,I72&lt;H72)),M72=""),"错误:必填项","OK")))</x:f>
        <x:v>OK</x:v>
      </x:c>
    </x:row>
    <x:row r="73" ht="39.599998474121094" hidden="1" customHeight="1">
      <x:c r="A73" s="3" t="s">
        <x:v>1018</x:v>
      </x:c>
      <x:c r="B73" s="3" t="s">
        <x:v>241</x:v>
      </x:c>
      <x:c r="C73" s="3" t="s">
        <x:v>184</x:v>
      </x:c>
      <x:c r="D73" s="3" t="s">
        <x:v>607</x:v>
      </x:c>
      <x:c r="E73" s="3" t="s">
        <x:v>244</x:v>
      </x:c>
      <x:c r="F73" s="3" t="s">
        <x:v>258</x:v>
      </x:c>
      <x:c r="G73" s="3" t="s">
        <x:v>23</x:v>
      </x:c>
      <x:c r="H73" s="45" t="n">
        <x:v>4</x:v>
      </x:c>
      <x:c r="I73" s="45" t="n">
        <x:v>15</x:v>
      </x:c>
      <x:c r="J73" s="47"/>
      <x:c r="K73" s="17">
        <x:v>46236.78357630787</x:v>
      </x:c>
      <x:c r="L73" s="33"/>
      <x:c r="M73" t="s">
        <x:v>187</x:v>
      </x:c>
      <x:c r="N73" t="s">
        <x:v>1019</x:v>
      </x:c>
      <x:c r="O73" t="str">
        <x:f>IF(A73="","",IF(COUNTIF($A$5:$A$1004,A73)&gt;1,"错误:重复映射ID",IF(OR(B73="",C73="",D73="",E73="",F73="",G73="",AND(J73="",OR(H73&lt;=0,I73&lt;H73)),M73=""),"错误:必填项","OK")))</x:f>
        <x:v>OK</x:v>
      </x:c>
    </x:row>
    <x:row r="74" ht="39.599998474121094" hidden="1" customHeight="1">
      <x:c r="A74" s="3" t="s">
        <x:v>1020</x:v>
      </x:c>
      <x:c r="B74" s="3" t="s">
        <x:v>218</x:v>
      </x:c>
      <x:c r="C74" s="3" t="s">
        <x:v>184</x:v>
      </x:c>
      <x:c r="D74" s="3" t="s">
        <x:v>611</x:v>
      </x:c>
      <x:c r="E74" s="3" t="s">
        <x:v>227</x:v>
      </x:c>
      <x:c r="F74" s="3" t="s">
        <x:v>258</x:v>
      </x:c>
      <x:c r="G74" s="3" t="s">
        <x:v>15</x:v>
      </x:c>
      <x:c r="H74" s="45" t="n">
        <x:v>4</x:v>
      </x:c>
      <x:c r="I74" s="45" t="n">
        <x:v>15</x:v>
      </x:c>
      <x:c r="J74" s="47"/>
      <x:c r="K74" s="17">
        <x:v>46236.78357630787</x:v>
      </x:c>
      <x:c r="L74" s="33"/>
      <x:c r="M74" t="s">
        <x:v>187</x:v>
      </x:c>
      <x:c r="N74" t="s">
        <x:v>1021</x:v>
      </x:c>
      <x:c r="O74" t="str">
        <x:f>IF(A74="","",IF(COUNTIF($A$5:$A$1004,A74)&gt;1,"错误:重复映射ID",IF(OR(B74="",C74="",D74="",E74="",F74="",G74="",AND(J74="",OR(H74&lt;=0,I74&lt;H74)),M74=""),"错误:必填项","OK")))</x:f>
        <x:v>OK</x:v>
      </x:c>
    </x:row>
    <x:row r="75" ht="39.599998474121094" hidden="1" customHeight="1">
      <x:c r="A75" s="3" t="s">
        <x:v>1022</x:v>
      </x:c>
      <x:c r="B75" s="3" t="s">
        <x:v>218</x:v>
      </x:c>
      <x:c r="C75" s="3" t="s">
        <x:v>184</x:v>
      </x:c>
      <x:c r="D75" s="3" t="s">
        <x:v>611</x:v>
      </x:c>
      <x:c r="E75" s="3" t="s">
        <x:v>232</x:v>
      </x:c>
      <x:c r="F75" s="3" t="s">
        <x:v>258</x:v>
      </x:c>
      <x:c r="G75" s="3" t="s">
        <x:v>23</x:v>
      </x:c>
      <x:c r="H75" s="45" t="n">
        <x:v>4</x:v>
      </x:c>
      <x:c r="I75" s="45" t="n">
        <x:v>15</x:v>
      </x:c>
      <x:c r="J75" s="47"/>
      <x:c r="K75" s="17">
        <x:v>46236.78357630787</x:v>
      </x:c>
      <x:c r="L75" s="33"/>
      <x:c r="M75" t="s">
        <x:v>187</x:v>
      </x:c>
      <x:c r="N75" t="s">
        <x:v>1021</x:v>
      </x:c>
      <x:c r="O75" t="str">
        <x:f>IF(A75="","",IF(COUNTIF($A$5:$A$1004,A75)&gt;1,"错误:重复映射ID",IF(OR(B75="",C75="",D75="",E75="",F75="",G75="",AND(J75="",OR(H75&lt;=0,I75&lt;H75)),M75=""),"错误:必填项","OK")))</x:f>
        <x:v>OK</x:v>
      </x:c>
    </x:row>
    <x:row r="76" ht="39.599998474121094" hidden="1" customHeight="1">
      <x:c r="A76" s="3" t="s">
        <x:v>1023</x:v>
      </x:c>
      <x:c r="B76" s="3" t="s">
        <x:v>218</x:v>
      </x:c>
      <x:c r="C76" s="3" t="s">
        <x:v>184</x:v>
      </x:c>
      <x:c r="D76" s="3" t="s">
        <x:v>611</x:v>
      </x:c>
      <x:c r="E76" s="3" t="s">
        <x:v>217</x:v>
      </x:c>
      <x:c r="F76" s="3" t="s">
        <x:v>258</x:v>
      </x:c>
      <x:c r="G76" s="3" t="s">
        <x:v>23</x:v>
      </x:c>
      <x:c r="H76" s="45" t="n">
        <x:v>4</x:v>
      </x:c>
      <x:c r="I76" s="45" t="n">
        <x:v>15</x:v>
      </x:c>
      <x:c r="J76" s="47"/>
      <x:c r="K76" s="17">
        <x:v>46236.78357630787</x:v>
      </x:c>
      <x:c r="L76" s="33"/>
      <x:c r="M76" t="s">
        <x:v>187</x:v>
      </x:c>
      <x:c r="N76" t="s">
        <x:v>1021</x:v>
      </x:c>
      <x:c r="O76" t="str">
        <x:f>IF(A76="","",IF(COUNTIF($A$5:$A$1004,A76)&gt;1,"错误:重复映射ID",IF(OR(B76="",C76="",D76="",E76="",F76="",G76="",AND(J76="",OR(H76&lt;=0,I76&lt;H76)),M76=""),"错误:必填项","OK")))</x:f>
        <x:v>OK</x:v>
      </x:c>
    </x:row>
    <x:row r="77" ht="39.599998474121094" hidden="1" customHeight="1">
      <x:c r="A77" s="3" t="s">
        <x:v>1024</x:v>
      </x:c>
      <x:c r="B77" s="3" t="s">
        <x:v>218</x:v>
      </x:c>
      <x:c r="C77" s="3" t="s">
        <x:v>184</x:v>
      </x:c>
      <x:c r="D77" s="3" t="s">
        <x:v>611</x:v>
      </x:c>
      <x:c r="E77" s="3" t="s">
        <x:v>230</x:v>
      </x:c>
      <x:c r="F77" s="3" t="s">
        <x:v>258</x:v>
      </x:c>
      <x:c r="G77" s="3" t="s">
        <x:v>23</x:v>
      </x:c>
      <x:c r="H77" s="45" t="n">
        <x:v>4</x:v>
      </x:c>
      <x:c r="I77" s="45" t="n">
        <x:v>15</x:v>
      </x:c>
      <x:c r="J77" s="47"/>
      <x:c r="K77" s="17">
        <x:v>46236.78357630787</x:v>
      </x:c>
      <x:c r="L77" s="33"/>
      <x:c r="M77" t="s">
        <x:v>187</x:v>
      </x:c>
      <x:c r="N77" t="s">
        <x:v>1021</x:v>
      </x:c>
      <x:c r="O77" t="str">
        <x:f>IF(A77="","",IF(COUNTIF($A$5:$A$1004,A77)&gt;1,"错误:重复映射ID",IF(OR(B77="",C77="",D77="",E77="",F77="",G77="",AND(J77="",OR(H77&lt;=0,I77&lt;H77)),M77=""),"错误:必填项","OK")))</x:f>
        <x:v>OK</x:v>
      </x:c>
    </x:row>
    <x:row r="78" ht="39.599998474121094" hidden="1" customHeight="1">
      <x:c r="A78" s="3" t="s">
        <x:v>1025</x:v>
      </x:c>
      <x:c r="B78" s="3" t="s">
        <x:v>235</x:v>
      </x:c>
      <x:c r="C78" s="3" t="s">
        <x:v>184</x:v>
      </x:c>
      <x:c r="D78" s="3" t="s">
        <x:v>623</x:v>
      </x:c>
      <x:c r="E78" s="3" t="s">
        <x:v>238</x:v>
      </x:c>
      <x:c r="F78" s="3" t="s">
        <x:v>258</x:v>
      </x:c>
      <x:c r="G78" s="3" t="s">
        <x:v>23</x:v>
      </x:c>
      <x:c r="H78" s="45" t="n">
        <x:v>4</x:v>
      </x:c>
      <x:c r="I78" s="45" t="n">
        <x:v>15</x:v>
      </x:c>
      <x:c r="J78" s="47"/>
      <x:c r="K78" s="17">
        <x:v>46236.78357630787</x:v>
      </x:c>
      <x:c r="L78" s="33"/>
      <x:c r="M78" t="s">
        <x:v>187</x:v>
      </x:c>
      <x:c r="N78" t="s">
        <x:v>1026</x:v>
      </x:c>
      <x:c r="O78" t="str">
        <x:f>IF(A78="","",IF(COUNTIF($A$5:$A$1004,A78)&gt;1,"错误:重复映射ID",IF(OR(B78="",C78="",D78="",E78="",F78="",G78="",AND(J78="",OR(H78&lt;=0,I78&lt;H78)),M78=""),"错误:必填项","OK")))</x:f>
        <x:v>OK</x:v>
      </x:c>
    </x:row>
    <x:row r="79" ht="39.599998474121094" hidden="1" customHeight="1">
      <x:c r="A79" s="3" t="s">
        <x:v>1027</x:v>
      </x:c>
      <x:c r="B79" s="3" t="s">
        <x:v>241</x:v>
      </x:c>
      <x:c r="C79" s="3" t="s">
        <x:v>184</x:v>
      </x:c>
      <x:c r="D79" s="3" t="s">
        <x:v>627</x:v>
      </x:c>
      <x:c r="E79" s="3" t="s">
        <x:v>244</x:v>
      </x:c>
      <x:c r="F79" s="3" t="s">
        <x:v>258</x:v>
      </x:c>
      <x:c r="G79" s="3" t="s">
        <x:v>23</x:v>
      </x:c>
      <x:c r="H79" s="45" t="n">
        <x:v>4</x:v>
      </x:c>
      <x:c r="I79" s="45" t="n">
        <x:v>15</x:v>
      </x:c>
      <x:c r="J79" s="47"/>
      <x:c r="K79" s="17">
        <x:v>46236.78357630787</x:v>
      </x:c>
      <x:c r="L79" s="33"/>
      <x:c r="M79" t="s">
        <x:v>187</x:v>
      </x:c>
      <x:c r="N79" t="s">
        <x:v>1028</x:v>
      </x:c>
      <x:c r="O79" t="str">
        <x:f>IF(A79="","",IF(COUNTIF($A$5:$A$1004,A79)&gt;1,"错误:重复映射ID",IF(OR(B79="",C79="",D79="",E79="",F79="",G79="",AND(J79="",OR(H79&lt;=0,I79&lt;H79)),M79=""),"错误:必填项","OK")))</x:f>
        <x:v>OK</x:v>
      </x:c>
    </x:row>
    <x:row r="80" ht="39.599998474121094" hidden="1" customHeight="1">
      <x:c r="A80" s="3" t="s">
        <x:v>1029</x:v>
      </x:c>
      <x:c r="B80" s="3" t="s">
        <x:v>218</x:v>
      </x:c>
      <x:c r="C80" s="3" t="s">
        <x:v>184</x:v>
      </x:c>
      <x:c r="D80" s="3" t="s">
        <x:v>632</x:v>
      </x:c>
      <x:c r="E80" s="3" t="s">
        <x:v>232</x:v>
      </x:c>
      <x:c r="F80" s="3" t="s">
        <x:v>258</x:v>
      </x:c>
      <x:c r="G80" s="3" t="s">
        <x:v>23</x:v>
      </x:c>
      <x:c r="H80" s="45" t="n">
        <x:v>4</x:v>
      </x:c>
      <x:c r="I80" s="45" t="n">
        <x:v>15</x:v>
      </x:c>
      <x:c r="J80" s="47"/>
      <x:c r="K80" s="17">
        <x:v>46236.78357630787</x:v>
      </x:c>
      <x:c r="L80" s="33"/>
      <x:c r="M80" t="s">
        <x:v>187</x:v>
      </x:c>
      <x:c r="N80" t="s">
        <x:v>1030</x:v>
      </x:c>
      <x:c r="O80" t="str">
        <x:f>IF(A80="","",IF(COUNTIF($A$5:$A$1004,A80)&gt;1,"错误:重复映射ID",IF(OR(B80="",C80="",D80="",E80="",F80="",G80="",AND(J80="",OR(H80&lt;=0,I80&lt;H80)),M80=""),"错误:必填项","OK")))</x:f>
        <x:v>OK</x:v>
      </x:c>
    </x:row>
    <x:row r="81" ht="39.599998474121094" hidden="1" customHeight="1">
      <x:c r="A81" s="3" t="s">
        <x:v>1031</x:v>
      </x:c>
      <x:c r="B81" s="3" t="s">
        <x:v>218</x:v>
      </x:c>
      <x:c r="C81" s="3" t="s">
        <x:v>184</x:v>
      </x:c>
      <x:c r="D81" s="3" t="s">
        <x:v>632</x:v>
      </x:c>
      <x:c r="E81" s="3" t="s">
        <x:v>217</x:v>
      </x:c>
      <x:c r="F81" s="3" t="s">
        <x:v>258</x:v>
      </x:c>
      <x:c r="G81" s="3" t="s">
        <x:v>23</x:v>
      </x:c>
      <x:c r="H81" s="45" t="n">
        <x:v>4</x:v>
      </x:c>
      <x:c r="I81" s="45" t="n">
        <x:v>15</x:v>
      </x:c>
      <x:c r="J81" s="47"/>
      <x:c r="K81" s="17">
        <x:v>46236.78357630787</x:v>
      </x:c>
      <x:c r="L81" s="33"/>
      <x:c r="M81" t="s">
        <x:v>187</x:v>
      </x:c>
      <x:c r="N81" t="s">
        <x:v>1030</x:v>
      </x:c>
      <x:c r="O81" t="str">
        <x:f>IF(A81="","",IF(COUNTIF($A$5:$A$1004,A81)&gt;1,"错误:重复映射ID",IF(OR(B81="",C81="",D81="",E81="",F81="",G81="",AND(J81="",OR(H81&lt;=0,I81&lt;H81)),M81=""),"错误:必填项","OK")))</x:f>
        <x:v>OK</x:v>
      </x:c>
    </x:row>
    <x:row r="82" ht="39.599998474121094" hidden="1" customHeight="1">
      <x:c r="A82" s="3" t="s">
        <x:v>1032</x:v>
      </x:c>
      <x:c r="B82" s="3" t="s">
        <x:v>235</x:v>
      </x:c>
      <x:c r="C82" s="3" t="s">
        <x:v>184</x:v>
      </x:c>
      <x:c r="D82" s="3" t="s">
        <x:v>640</x:v>
      </x:c>
      <x:c r="E82" s="3" t="s">
        <x:v>234</x:v>
      </x:c>
      <x:c r="F82" s="3" t="s">
        <x:v>258</x:v>
      </x:c>
      <x:c r="G82" s="3" t="s">
        <x:v>23</x:v>
      </x:c>
      <x:c r="H82" s="45" t="n">
        <x:v>4</x:v>
      </x:c>
      <x:c r="I82" s="45" t="n">
        <x:v>15</x:v>
      </x:c>
      <x:c r="J82" s="47"/>
      <x:c r="K82" s="17">
        <x:v>46236.78357630787</x:v>
      </x:c>
      <x:c r="L82" s="33"/>
      <x:c r="M82" t="s">
        <x:v>187</x:v>
      </x:c>
      <x:c r="N82" t="s">
        <x:v>1033</x:v>
      </x:c>
      <x:c r="O82" t="str">
        <x:f>IF(A82="","",IF(COUNTIF($A$5:$A$1004,A82)&gt;1,"错误:重复映射ID",IF(OR(B82="",C82="",D82="",E82="",F82="",G82="",AND(J82="",OR(H82&lt;=0,I82&lt;H82)),M82=""),"错误:必填项","OK")))</x:f>
        <x:v>OK</x:v>
      </x:c>
    </x:row>
    <x:row r="83" ht="39.599998474121094" hidden="1" customHeight="1">
      <x:c r="A83" s="3" t="s">
        <x:v>1034</x:v>
      </x:c>
      <x:c r="B83" s="3" t="s">
        <x:v>235</x:v>
      </x:c>
      <x:c r="C83" s="3" t="s">
        <x:v>184</x:v>
      </x:c>
      <x:c r="D83" s="3" t="s">
        <x:v>640</x:v>
      </x:c>
      <x:c r="E83" s="3" t="s">
        <x:v>238</x:v>
      </x:c>
      <x:c r="F83" s="3" t="s">
        <x:v>258</x:v>
      </x:c>
      <x:c r="G83" s="3" t="s">
        <x:v>23</x:v>
      </x:c>
      <x:c r="H83" s="45" t="n">
        <x:v>4</x:v>
      </x:c>
      <x:c r="I83" s="45" t="n">
        <x:v>15</x:v>
      </x:c>
      <x:c r="J83" s="47"/>
      <x:c r="K83" s="17">
        <x:v>46236.78357630787</x:v>
      </x:c>
      <x:c r="L83" s="33"/>
      <x:c r="M83" t="s">
        <x:v>187</x:v>
      </x:c>
      <x:c r="N83" t="s">
        <x:v>1033</x:v>
      </x:c>
      <x:c r="O83" t="str">
        <x:f>IF(A83="","",IF(COUNTIF($A$5:$A$1004,A83)&gt;1,"错误:重复映射ID",IF(OR(B83="",C83="",D83="",E83="",F83="",G83="",AND(J83="",OR(H83&lt;=0,I83&lt;H83)),M83=""),"错误:必填项","OK")))</x:f>
        <x:v>OK</x:v>
      </x:c>
    </x:row>
    <x:row r="84" ht="39.599998474121094" hidden="1" customHeight="1">
      <x:c r="A84" s="3" t="s">
        <x:v>1035</x:v>
      </x:c>
      <x:c r="B84" s="3" t="s">
        <x:v>241</x:v>
      </x:c>
      <x:c r="C84" s="3" t="s">
        <x:v>184</x:v>
      </x:c>
      <x:c r="D84" s="3" t="s">
        <x:v>607</x:v>
      </x:c>
      <x:c r="E84" s="3" t="s">
        <x:v>240</x:v>
      </x:c>
      <x:c r="F84" s="3" t="s">
        <x:v>258</x:v>
      </x:c>
      <x:c r="G84" s="3" t="s">
        <x:v>23</x:v>
      </x:c>
      <x:c r="H84" s="45" t="n">
        <x:v>4</x:v>
      </x:c>
      <x:c r="I84" s="45" t="n">
        <x:v>15</x:v>
      </x:c>
      <x:c r="J84" s="47"/>
      <x:c r="K84" s="17">
        <x:v>46236.78357630787</x:v>
      </x:c>
      <x:c r="L84" s="33"/>
      <x:c r="M84" t="s">
        <x:v>187</x:v>
      </x:c>
      <x:c r="N84" t="s">
        <x:v>1019</x:v>
      </x:c>
      <x:c r="O84" t="str">
        <x:f>IF(A84="","",IF(COUNTIF($A$5:$A$1004,A84)&gt;1,"错误:重复映射ID",IF(OR(B84="",C84="",D84="",E84="",F84="",G84="",AND(J84="",OR(H84&lt;=0,I84&lt;H84)),M84=""),"错误:必填项","OK")))</x:f>
        <x:v>OK</x:v>
      </x:c>
    </x:row>
    <x:row r="85" ht="39.599998474121094" hidden="1" customHeight="1">
      <x:c r="A85" s="3" t="s">
        <x:v>1036</x:v>
      </x:c>
      <x:c r="B85" s="3" t="s">
        <x:v>218</x:v>
      </x:c>
      <x:c r="C85" s="3" t="s">
        <x:v>162</x:v>
      </x:c>
      <x:c r="D85" s="3" t="s">
        <x:v>650</x:v>
      </x:c>
      <x:c r="E85" s="3" t="s">
        <x:v>232</x:v>
      </x:c>
      <x:c r="F85" s="3" t="s">
        <x:v>258</x:v>
      </x:c>
      <x:c r="G85" s="3" t="s">
        <x:v>23</x:v>
      </x:c>
      <x:c r="H85" s="45" t="n">
        <x:v>5</x:v>
      </x:c>
      <x:c r="I85" s="45" t="n">
        <x:v>5</x:v>
      </x:c>
      <x:c r="J85" s="47"/>
      <x:c r="K85" s="17">
        <x:v>46236.78357630787</x:v>
      </x:c>
      <x:c r="L85" s="33"/>
      <x:c r="M85" t="s">
        <x:v>165</x:v>
      </x:c>
      <x:c r="N85" t="s">
        <x:v>1037</x:v>
      </x:c>
      <x:c r="O85" t="str">
        <x:f>IF(A85="","",IF(COUNTIF($A$5:$A$1004,A85)&gt;1,"错误:重复映射ID",IF(OR(B85="",C85="",D85="",E85="",F85="",G85="",AND(J85="",OR(H85&lt;=0,I85&lt;H85)),M85=""),"错误:必填项","OK")))</x:f>
        <x:v>OK</x:v>
      </x:c>
    </x:row>
    <x:row r="86" ht="39.599998474121094" hidden="1" customHeight="1">
      <x:c r="A86" s="3" t="s">
        <x:v>1038</x:v>
      </x:c>
      <x:c r="B86" s="3" t="s">
        <x:v>218</x:v>
      </x:c>
      <x:c r="C86" s="3" t="s">
        <x:v>162</x:v>
      </x:c>
      <x:c r="D86" s="3" t="s">
        <x:v>654</x:v>
      </x:c>
      <x:c r="E86" s="3" t="s">
        <x:v>232</x:v>
      </x:c>
      <x:c r="F86" s="3" t="s">
        <x:v>258</x:v>
      </x:c>
      <x:c r="G86" s="3" t="s">
        <x:v>23</x:v>
      </x:c>
      <x:c r="H86" s="45" t="n">
        <x:v>10</x:v>
      </x:c>
      <x:c r="I86" s="45" t="n">
        <x:v>10</x:v>
      </x:c>
      <x:c r="J86" s="47"/>
      <x:c r="K86" s="17">
        <x:v>46236.78357630787</x:v>
      </x:c>
      <x:c r="L86" s="33"/>
      <x:c r="M86" t="s">
        <x:v>165</x:v>
      </x:c>
      <x:c r="N86" t="s">
        <x:v>1039</x:v>
      </x:c>
      <x:c r="O86" t="str">
        <x:f>IF(A86="","",IF(COUNTIF($A$5:$A$1004,A86)&gt;1,"错误:重复映射ID",IF(OR(B86="",C86="",D86="",E86="",F86="",G86="",AND(J86="",OR(H86&lt;=0,I86&lt;H86)),M86=""),"错误:必填项","OK")))</x:f>
        <x:v>OK</x:v>
      </x:c>
    </x:row>
    <x:row r="87" ht="39.599998474121094" hidden="1" customHeight="1">
      <x:c r="A87" s="3" t="s">
        <x:v>1040</x:v>
      </x:c>
      <x:c r="B87" s="3" t="s">
        <x:v>218</x:v>
      </x:c>
      <x:c r="C87" s="3" t="s">
        <x:v>162</x:v>
      </x:c>
      <x:c r="D87" s="3" t="s">
        <x:v>658</x:v>
      </x:c>
      <x:c r="E87" s="3" t="s">
        <x:v>232</x:v>
      </x:c>
      <x:c r="F87" s="3" t="s">
        <x:v>258</x:v>
      </x:c>
      <x:c r="G87" s="3" t="s">
        <x:v>23</x:v>
      </x:c>
      <x:c r="H87" s="45" t="n">
        <x:v>15</x:v>
      </x:c>
      <x:c r="I87" s="45" t="n">
        <x:v>15</x:v>
      </x:c>
      <x:c r="J87" s="47"/>
      <x:c r="K87" s="17">
        <x:v>46236.78357630787</x:v>
      </x:c>
      <x:c r="L87" s="33"/>
      <x:c r="M87" t="s">
        <x:v>165</x:v>
      </x:c>
      <x:c r="N87" t="s">
        <x:v>1041</x:v>
      </x:c>
      <x:c r="O87" t="str">
        <x:f>IF(A87="","",IF(COUNTIF($A$5:$A$1004,A87)&gt;1,"错误:重复映射ID",IF(OR(B87="",C87="",D87="",E87="",F87="",G87="",AND(J87="",OR(H87&lt;=0,I87&lt;H87)),M87=""),"错误:必填项","OK")))</x:f>
        <x:v>OK</x:v>
      </x:c>
    </x:row>
    <x:row r="88" ht="39.599998474121094" hidden="1" customHeight="1">
      <x:c r="A88" s="3" t="s">
        <x:v>1042</x:v>
      </x:c>
      <x:c r="B88" s="3" t="s">
        <x:v>218</x:v>
      </x:c>
      <x:c r="C88" s="3" t="s">
        <x:v>162</x:v>
      </x:c>
      <x:c r="D88" s="3" t="s">
        <x:v>662</x:v>
      </x:c>
      <x:c r="E88" s="3" t="s">
        <x:v>227</x:v>
      </x:c>
      <x:c r="F88" s="3" t="s">
        <x:v>258</x:v>
      </x:c>
      <x:c r="G88" s="3" t="s">
        <x:v>23</x:v>
      </x:c>
      <x:c r="H88" s="45" t="n">
        <x:v>5</x:v>
      </x:c>
      <x:c r="I88" s="45" t="n">
        <x:v>5</x:v>
      </x:c>
      <x:c r="J88" s="47"/>
      <x:c r="K88" s="17">
        <x:v>46236.78357630787</x:v>
      </x:c>
      <x:c r="L88" s="33"/>
      <x:c r="M88" t="s">
        <x:v>165</x:v>
      </x:c>
      <x:c r="N88" t="s">
        <x:v>1043</x:v>
      </x:c>
      <x:c r="O88" t="str">
        <x:f>IF(A88="","",IF(COUNTIF($A$5:$A$1004,A88)&gt;1,"错误:重复映射ID",IF(OR(B88="",C88="",D88="",E88="",F88="",G88="",AND(J88="",OR(H88&lt;=0,I88&lt;H88)),M88=""),"错误:必填项","OK")))</x:f>
        <x:v>OK</x:v>
      </x:c>
    </x:row>
    <x:row r="89" ht="39.599998474121094" hidden="1" customHeight="1">
      <x:c r="A89" s="3" t="s">
        <x:v>1044</x:v>
      </x:c>
      <x:c r="B89" s="3" t="s">
        <x:v>218</x:v>
      </x:c>
      <x:c r="C89" s="3" t="s">
        <x:v>162</x:v>
      </x:c>
      <x:c r="D89" s="3" t="s">
        <x:v>666</x:v>
      </x:c>
      <x:c r="E89" s="3" t="s">
        <x:v>227</x:v>
      </x:c>
      <x:c r="F89" s="3" t="s">
        <x:v>258</x:v>
      </x:c>
      <x:c r="G89" s="3" t="s">
        <x:v>23</x:v>
      </x:c>
      <x:c r="H89" s="45" t="n">
        <x:v>10</x:v>
      </x:c>
      <x:c r="I89" s="45" t="n">
        <x:v>10</x:v>
      </x:c>
      <x:c r="J89" s="47"/>
      <x:c r="K89" s="17">
        <x:v>46236.78357630787</x:v>
      </x:c>
      <x:c r="L89" s="33"/>
      <x:c r="M89" t="s">
        <x:v>165</x:v>
      </x:c>
      <x:c r="N89" t="s">
        <x:v>1045</x:v>
      </x:c>
      <x:c r="O89" t="str">
        <x:f>IF(A89="","",IF(COUNTIF($A$5:$A$1004,A89)&gt;1,"错误:重复映射ID",IF(OR(B89="",C89="",D89="",E89="",F89="",G89="",AND(J89="",OR(H89&lt;=0,I89&lt;H89)),M89=""),"错误:必填项","OK")))</x:f>
        <x:v>OK</x:v>
      </x:c>
    </x:row>
    <x:row r="90" ht="39.599998474121094" hidden="1" customHeight="1">
      <x:c r="A90" s="3" t="s">
        <x:v>1046</x:v>
      </x:c>
      <x:c r="B90" s="3" t="s">
        <x:v>218</x:v>
      </x:c>
      <x:c r="C90" s="3" t="s">
        <x:v>162</x:v>
      </x:c>
      <x:c r="D90" s="3" t="s">
        <x:v>670</x:v>
      </x:c>
      <x:c r="E90" s="3" t="s">
        <x:v>227</x:v>
      </x:c>
      <x:c r="F90" s="3" t="s">
        <x:v>258</x:v>
      </x:c>
      <x:c r="G90" s="3" t="s">
        <x:v>23</x:v>
      </x:c>
      <x:c r="H90" s="45" t="n">
        <x:v>15</x:v>
      </x:c>
      <x:c r="I90" s="45" t="n">
        <x:v>15</x:v>
      </x:c>
      <x:c r="J90" s="47"/>
      <x:c r="K90" s="17">
        <x:v>46236.78357630787</x:v>
      </x:c>
      <x:c r="L90" s="33"/>
      <x:c r="M90" t="s">
        <x:v>165</x:v>
      </x:c>
      <x:c r="N90" t="s">
        <x:v>1047</x:v>
      </x:c>
      <x:c r="O90" t="str">
        <x:f>IF(A90="","",IF(COUNTIF($A$5:$A$1004,A90)&gt;1,"错误:重复映射ID",IF(OR(B90="",C90="",D90="",E90="",F90="",G90="",AND(J90="",OR(H90&lt;=0,I90&lt;H90)),M90=""),"错误:必填项","OK")))</x:f>
        <x:v>OK</x:v>
      </x:c>
    </x:row>
    <x:row r="91" ht="39.599998474121094" hidden="1" customHeight="1">
      <x:c r="A91" s="3" t="s">
        <x:v>1048</x:v>
      </x:c>
      <x:c r="B91" s="3" t="s">
        <x:v>218</x:v>
      </x:c>
      <x:c r="C91" s="3" t="s">
        <x:v>162</x:v>
      </x:c>
      <x:c r="D91" s="3" t="s">
        <x:v>674</x:v>
      </x:c>
      <x:c r="E91" s="3" t="s">
        <x:v>217</x:v>
      </x:c>
      <x:c r="F91" s="3" t="s">
        <x:v>258</x:v>
      </x:c>
      <x:c r="G91" s="3" t="s">
        <x:v>23</x:v>
      </x:c>
      <x:c r="H91" s="45" t="n">
        <x:v>5</x:v>
      </x:c>
      <x:c r="I91" s="45" t="n">
        <x:v>5</x:v>
      </x:c>
      <x:c r="J91" s="47"/>
      <x:c r="K91" s="17">
        <x:v>46236.78357630787</x:v>
      </x:c>
      <x:c r="L91" s="33"/>
      <x:c r="M91" t="s">
        <x:v>165</x:v>
      </x:c>
      <x:c r="N91" t="s">
        <x:v>1049</x:v>
      </x:c>
      <x:c r="O91" t="str">
        <x:f>IF(A91="","",IF(COUNTIF($A$5:$A$1004,A91)&gt;1,"错误:重复映射ID",IF(OR(B91="",C91="",D91="",E91="",F91="",G91="",AND(J91="",OR(H91&lt;=0,I91&lt;H91)),M91=""),"错误:必填项","OK")))</x:f>
        <x:v>OK</x:v>
      </x:c>
    </x:row>
    <x:row r="92" ht="39.599998474121094" hidden="1" customHeight="1">
      <x:c r="A92" s="3" t="s">
        <x:v>1050</x:v>
      </x:c>
      <x:c r="B92" s="3" t="s">
        <x:v>218</x:v>
      </x:c>
      <x:c r="C92" s="3" t="s">
        <x:v>162</x:v>
      </x:c>
      <x:c r="D92" s="3" t="s">
        <x:v>679</x:v>
      </x:c>
      <x:c r="E92" s="3" t="s">
        <x:v>217</x:v>
      </x:c>
      <x:c r="F92" s="3" t="s">
        <x:v>258</x:v>
      </x:c>
      <x:c r="G92" s="3" t="s">
        <x:v>23</x:v>
      </x:c>
      <x:c r="H92" s="45" t="n">
        <x:v>10</x:v>
      </x:c>
      <x:c r="I92" s="45" t="n">
        <x:v>10</x:v>
      </x:c>
      <x:c r="J92" s="47"/>
      <x:c r="K92" s="17">
        <x:v>46236.78357630787</x:v>
      </x:c>
      <x:c r="L92" s="33"/>
      <x:c r="M92" t="s">
        <x:v>165</x:v>
      </x:c>
      <x:c r="N92" t="s">
        <x:v>1051</x:v>
      </x:c>
      <x:c r="O92" t="str">
        <x:f>IF(A92="","",IF(COUNTIF($A$5:$A$1004,A92)&gt;1,"错误:重复映射ID",IF(OR(B92="",C92="",D92="",E92="",F92="",G92="",AND(J92="",OR(H92&lt;=0,I92&lt;H92)),M92=""),"错误:必填项","OK")))</x:f>
        <x:v>OK</x:v>
      </x:c>
    </x:row>
    <x:row r="93" ht="39.599998474121094" hidden="1" customHeight="1">
      <x:c r="A93" s="3" t="s">
        <x:v>1052</x:v>
      </x:c>
      <x:c r="B93" s="3" t="s">
        <x:v>218</x:v>
      </x:c>
      <x:c r="C93" s="3" t="s">
        <x:v>162</x:v>
      </x:c>
      <x:c r="D93" s="3" t="s">
        <x:v>683</x:v>
      </x:c>
      <x:c r="E93" s="3" t="s">
        <x:v>217</x:v>
      </x:c>
      <x:c r="F93" s="3" t="s">
        <x:v>258</x:v>
      </x:c>
      <x:c r="G93" s="3" t="s">
        <x:v>23</x:v>
      </x:c>
      <x:c r="H93" s="45" t="n">
        <x:v>15</x:v>
      </x:c>
      <x:c r="I93" s="45" t="n">
        <x:v>15</x:v>
      </x:c>
      <x:c r="J93" s="47"/>
      <x:c r="K93" s="17">
        <x:v>46236.783576319445</x:v>
      </x:c>
      <x:c r="L93" s="33"/>
      <x:c r="M93" t="s">
        <x:v>165</x:v>
      </x:c>
      <x:c r="N93" t="s">
        <x:v>1053</x:v>
      </x:c>
      <x:c r="O93" t="str">
        <x:f>IF(A93="","",IF(COUNTIF($A$5:$A$1004,A93)&gt;1,"错误:重复映射ID",IF(OR(B93="",C93="",D93="",E93="",F93="",G93="",AND(J93="",OR(H93&lt;=0,I93&lt;H93)),M93=""),"错误:必填项","OK")))</x:f>
        <x:v>OK</x:v>
      </x:c>
    </x:row>
    <x:row r="94" ht="39.599998474121094" hidden="1" customHeight="1">
      <x:c r="A94" s="3" t="s">
        <x:v>1054</x:v>
      </x:c>
      <x:c r="B94" s="3" t="s">
        <x:v>218</x:v>
      </x:c>
      <x:c r="C94" s="3" t="s">
        <x:v>162</x:v>
      </x:c>
      <x:c r="D94" s="3" t="s">
        <x:v>687</x:v>
      </x:c>
      <x:c r="E94" s="3" t="s">
        <x:v>227</x:v>
      </x:c>
      <x:c r="F94" s="3" t="s">
        <x:v>258</x:v>
      </x:c>
      <x:c r="G94" s="3" t="s">
        <x:v>23</x:v>
      </x:c>
      <x:c r="H94" s="45" t="n">
        <x:v>4</x:v>
      </x:c>
      <x:c r="I94" s="45" t="n">
        <x:v>15</x:v>
      </x:c>
      <x:c r="J94" s="47"/>
      <x:c r="K94" s="17">
        <x:v>46236.783576319445</x:v>
      </x:c>
      <x:c r="L94" s="33"/>
      <x:c r="M94" t="s">
        <x:v>165</x:v>
      </x:c>
      <x:c r="N94" t="s">
        <x:v>1055</x:v>
      </x:c>
      <x:c r="O94" t="str">
        <x:f>IF(A94="","",IF(COUNTIF($A$5:$A$1004,A94)&gt;1,"错误:重复映射ID",IF(OR(B94="",C94="",D94="",E94="",F94="",G94="",AND(J94="",OR(H94&lt;=0,I94&lt;H94)),M94=""),"错误:必填项","OK")))</x:f>
        <x:v>OK</x:v>
      </x:c>
    </x:row>
    <x:row r="95" ht="39.599998474121094" hidden="1" customHeight="1">
      <x:c r="A95" s="3" t="s">
        <x:v>1056</x:v>
      </x:c>
      <x:c r="B95" s="3" t="s">
        <x:v>218</x:v>
      </x:c>
      <x:c r="C95" s="3" t="s">
        <x:v>162</x:v>
      </x:c>
      <x:c r="D95" s="3" t="s">
        <x:v>694</x:v>
      </x:c>
      <x:c r="E95" s="3" t="s">
        <x:v>232</x:v>
      </x:c>
      <x:c r="F95" s="3" t="s">
        <x:v>258</x:v>
      </x:c>
      <x:c r="G95" s="3" t="s">
        <x:v>23</x:v>
      </x:c>
      <x:c r="H95" s="45" t="n">
        <x:v>4</x:v>
      </x:c>
      <x:c r="I95" s="45" t="n">
        <x:v>15</x:v>
      </x:c>
      <x:c r="J95" s="47"/>
      <x:c r="K95" s="17">
        <x:v>46236.783576319445</x:v>
      </x:c>
      <x:c r="L95" s="33"/>
      <x:c r="M95" t="s">
        <x:v>165</x:v>
      </x:c>
      <x:c r="N95" t="s">
        <x:v>1057</x:v>
      </x:c>
      <x:c r="O95" t="str">
        <x:f>IF(A95="","",IF(COUNTIF($A$5:$A$1004,A95)&gt;1,"错误:重复映射ID",IF(OR(B95="",C95="",D95="",E95="",F95="",G95="",AND(J95="",OR(H95&lt;=0,I95&lt;H95)),M95=""),"错误:必填项","OK")))</x:f>
        <x:v>OK</x:v>
      </x:c>
    </x:row>
    <x:row r="96" ht="39.599998474121094" hidden="1" customHeight="1">
      <x:c r="A96" s="3" t="s">
        <x:v>1058</x:v>
      </x:c>
      <x:c r="B96" s="3" t="s">
        <x:v>218</x:v>
      </x:c>
      <x:c r="C96" s="3" t="s">
        <x:v>162</x:v>
      </x:c>
      <x:c r="D96" s="3" t="s">
        <x:v>698</x:v>
      </x:c>
      <x:c r="E96" s="3" t="s">
        <x:v>217</x:v>
      </x:c>
      <x:c r="F96" s="3" t="s">
        <x:v>258</x:v>
      </x:c>
      <x:c r="G96" s="3" t="s">
        <x:v>23</x:v>
      </x:c>
      <x:c r="H96" s="45" t="n">
        <x:v>4</x:v>
      </x:c>
      <x:c r="I96" s="45" t="n">
        <x:v>15</x:v>
      </x:c>
      <x:c r="J96" s="47"/>
      <x:c r="K96" s="17">
        <x:v>46236.783576319445</x:v>
      </x:c>
      <x:c r="L96" s="33"/>
      <x:c r="M96" t="s">
        <x:v>165</x:v>
      </x:c>
      <x:c r="N96" t="s">
        <x:v>1059</x:v>
      </x:c>
      <x:c r="O96" t="str">
        <x:f>IF(A96="","",IF(COUNTIF($A$5:$A$1004,A96)&gt;1,"错误:重复映射ID",IF(OR(B96="",C96="",D96="",E96="",F96="",G96="",AND(J96="",OR(H96&lt;=0,I96&lt;H96)),M96=""),"错误:必填项","OK")))</x:f>
        <x:v>OK</x:v>
      </x:c>
    </x:row>
    <x:row r="97" ht="39.599998474121094" hidden="1" customHeight="1">
      <x:c r="A97" s="3" t="s">
        <x:v>1060</x:v>
      </x:c>
      <x:c r="B97" s="3" t="s">
        <x:v>218</x:v>
      </x:c>
      <x:c r="C97" s="3" t="s">
        <x:v>189</x:v>
      </x:c>
      <x:c r="D97" s="3" t="s">
        <x:v>702</x:v>
      </x:c>
      <x:c r="E97" s="3" t="s">
        <x:v>227</x:v>
      </x:c>
      <x:c r="F97" s="3" t="s">
        <x:v>258</x:v>
      </x:c>
      <x:c r="G97" s="3" t="s">
        <x:v>23</x:v>
      </x:c>
      <x:c r="H97" s="45" t="n">
        <x:v>4</x:v>
      </x:c>
      <x:c r="I97" s="45" t="n">
        <x:v>15</x:v>
      </x:c>
      <x:c r="J97" s="47"/>
      <x:c r="K97" s="17">
        <x:v>46236.783576319445</x:v>
      </x:c>
      <x:c r="L97" s="33"/>
      <x:c r="M97" t="s">
        <x:v>192</x:v>
      </x:c>
      <x:c r="N97" t="s">
        <x:v>1061</x:v>
      </x:c>
      <x:c r="O97" t="str">
        <x:f>IF(A97="","",IF(COUNTIF($A$5:$A$1004,A97)&gt;1,"错误:重复映射ID",IF(OR(B97="",C97="",D97="",E97="",F97="",G97="",AND(J97="",OR(H97&lt;=0,I97&lt;H97)),M97=""),"错误:必填项","OK")))</x:f>
        <x:v>OK</x:v>
      </x:c>
    </x:row>
    <x:row r="98" ht="39.599998474121094" hidden="1" customHeight="1">
      <x:c r="A98" s="3" t="s">
        <x:v>1062</x:v>
      </x:c>
      <x:c r="B98" s="3" t="s">
        <x:v>218</x:v>
      </x:c>
      <x:c r="C98" s="3" t="s">
        <x:v>189</x:v>
      </x:c>
      <x:c r="D98" s="3" t="s">
        <x:v>702</x:v>
      </x:c>
      <x:c r="E98" s="3" t="s">
        <x:v>232</x:v>
      </x:c>
      <x:c r="F98" s="3" t="s">
        <x:v>258</x:v>
      </x:c>
      <x:c r="G98" s="3" t="s">
        <x:v>23</x:v>
      </x:c>
      <x:c r="H98" s="45" t="n">
        <x:v>4</x:v>
      </x:c>
      <x:c r="I98" s="45" t="n">
        <x:v>15</x:v>
      </x:c>
      <x:c r="J98" s="47"/>
      <x:c r="K98" s="17">
        <x:v>46236.783576319445</x:v>
      </x:c>
      <x:c r="L98" s="33"/>
      <x:c r="M98" t="s">
        <x:v>192</x:v>
      </x:c>
      <x:c r="N98" t="s">
        <x:v>1061</x:v>
      </x:c>
      <x:c r="O98" t="str">
        <x:f>IF(A98="","",IF(COUNTIF($A$5:$A$1004,A98)&gt;1,"错误:重复映射ID",IF(OR(B98="",C98="",D98="",E98="",F98="",G98="",AND(J98="",OR(H98&lt;=0,I98&lt;H98)),M98=""),"错误:必填项","OK")))</x:f>
        <x:v>OK</x:v>
      </x:c>
    </x:row>
    <x:row r="99" ht="39.599998474121094" hidden="1" customHeight="1">
      <x:c r="A99" s="3" t="s">
        <x:v>1063</x:v>
      </x:c>
      <x:c r="B99" s="3" t="s">
        <x:v>218</x:v>
      </x:c>
      <x:c r="C99" s="3" t="s">
        <x:v>189</x:v>
      </x:c>
      <x:c r="D99" s="3" t="s">
        <x:v>702</x:v>
      </x:c>
      <x:c r="E99" s="3" t="s">
        <x:v>217</x:v>
      </x:c>
      <x:c r="F99" s="3" t="s">
        <x:v>258</x:v>
      </x:c>
      <x:c r="G99" s="3" t="s">
        <x:v>23</x:v>
      </x:c>
      <x:c r="H99" s="45" t="n">
        <x:v>4</x:v>
      </x:c>
      <x:c r="I99" s="45" t="n">
        <x:v>15</x:v>
      </x:c>
      <x:c r="J99" s="47"/>
      <x:c r="K99" s="17">
        <x:v>46236.783576319445</x:v>
      </x:c>
      <x:c r="L99" s="33"/>
      <x:c r="M99" t="s">
        <x:v>192</x:v>
      </x:c>
      <x:c r="N99" t="s">
        <x:v>1061</x:v>
      </x:c>
      <x:c r="O99" t="str">
        <x:f>IF(A99="","",IF(COUNTIF($A$5:$A$1004,A99)&gt;1,"错误:重复映射ID",IF(OR(B99="",C99="",D99="",E99="",F99="",G99="",AND(J99="",OR(H99&lt;=0,I99&lt;H99)),M99=""),"错误:必填项","OK")))</x:f>
        <x:v>OK</x:v>
      </x:c>
    </x:row>
    <x:row r="100" ht="39.599998474121094" hidden="1" customHeight="1">
      <x:c r="A100" s="3" t="s">
        <x:v>1064</x:v>
      </x:c>
      <x:c r="B100" s="3" t="s">
        <x:v>218</x:v>
      </x:c>
      <x:c r="C100" s="3" t="s">
        <x:v>189</x:v>
      </x:c>
      <x:c r="D100" s="3" t="s">
        <x:v>702</x:v>
      </x:c>
      <x:c r="E100" s="3" t="s">
        <x:v>230</x:v>
      </x:c>
      <x:c r="F100" s="3" t="s">
        <x:v>258</x:v>
      </x:c>
      <x:c r="G100" s="3" t="s">
        <x:v>23</x:v>
      </x:c>
      <x:c r="H100" s="45" t="n">
        <x:v>4</x:v>
      </x:c>
      <x:c r="I100" s="45" t="n">
        <x:v>15</x:v>
      </x:c>
      <x:c r="J100" s="47"/>
      <x:c r="K100" s="17">
        <x:v>46236.783576319445</x:v>
      </x:c>
      <x:c r="L100" s="33"/>
      <x:c r="M100" t="s">
        <x:v>192</x:v>
      </x:c>
      <x:c r="N100" t="s">
        <x:v>1061</x:v>
      </x:c>
      <x:c r="O100" t="str">
        <x:f>IF(A100="","",IF(COUNTIF($A$5:$A$1004,A100)&gt;1,"错误:重复映射ID",IF(OR(B100="",C100="",D100="",E100="",F100="",G100="",AND(J100="",OR(H100&lt;=0,I100&lt;H100)),M100=""),"错误:必填项","OK")))</x:f>
        <x:v>OK</x:v>
      </x:c>
    </x:row>
    <x:row r="101" ht="39.599998474121094" hidden="1" customHeight="1">
      <x:c r="A101" s="3" t="s">
        <x:v>1065</x:v>
      </x:c>
      <x:c r="B101" s="3" t="s">
        <x:v>218</x:v>
      </x:c>
      <x:c r="C101" s="3" t="s">
        <x:v>189</x:v>
      </x:c>
      <x:c r="D101" s="3" t="s">
        <x:v>702</x:v>
      </x:c>
      <x:c r="E101" s="3" t="s">
        <x:v>227</x:v>
      </x:c>
      <x:c r="F101" s="3" t="s">
        <x:v>258</x:v>
      </x:c>
      <x:c r="G101" s="3" t="s">
        <x:v>23</x:v>
      </x:c>
      <x:c r="H101" s="45" t="n">
        <x:v>4</x:v>
      </x:c>
      <x:c r="I101" s="45" t="n">
        <x:v>15</x:v>
      </x:c>
      <x:c r="J101" s="47"/>
      <x:c r="K101" s="17">
        <x:v>46236.783576319445</x:v>
      </x:c>
      <x:c r="L101" s="33"/>
      <x:c r="M101" t="s">
        <x:v>192</x:v>
      </x:c>
      <x:c r="N101" t="s">
        <x:v>1066</x:v>
      </x:c>
      <x:c r="O101" t="str">
        <x:f>IF(A101="","",IF(COUNTIF($A$5:$A$1004,A101)&gt;1,"错误:重复映射ID",IF(OR(B101="",C101="",D101="",E101="",F101="",G101="",AND(J101="",OR(H101&lt;=0,I101&lt;H101)),M101=""),"错误:必填项","OK")))</x:f>
        <x:v>OK</x:v>
      </x:c>
    </x:row>
    <x:row r="102" ht="39.599998474121094" hidden="1" customHeight="1">
      <x:c r="A102" s="3" t="s">
        <x:v>1067</x:v>
      </x:c>
      <x:c r="B102" s="3" t="s">
        <x:v>218</x:v>
      </x:c>
      <x:c r="C102" s="3" t="s">
        <x:v>189</x:v>
      </x:c>
      <x:c r="D102" s="3" t="s">
        <x:v>702</x:v>
      </x:c>
      <x:c r="E102" s="3" t="s">
        <x:v>232</x:v>
      </x:c>
      <x:c r="F102" s="3" t="s">
        <x:v>258</x:v>
      </x:c>
      <x:c r="G102" s="3" t="s">
        <x:v>23</x:v>
      </x:c>
      <x:c r="H102" s="45" t="n">
        <x:v>4</x:v>
      </x:c>
      <x:c r="I102" s="45" t="n">
        <x:v>15</x:v>
      </x:c>
      <x:c r="J102" s="47"/>
      <x:c r="K102" s="17">
        <x:v>46236.783576319445</x:v>
      </x:c>
      <x:c r="L102" s="33"/>
      <x:c r="M102" t="s">
        <x:v>192</x:v>
      </x:c>
      <x:c r="N102" t="s">
        <x:v>1066</x:v>
      </x:c>
      <x:c r="O102" t="str">
        <x:f>IF(A102="","",IF(COUNTIF($A$5:$A$1004,A102)&gt;1,"错误:重复映射ID",IF(OR(B102="",C102="",D102="",E102="",F102="",G102="",AND(J102="",OR(H102&lt;=0,I102&lt;H102)),M102=""),"错误:必填项","OK")))</x:f>
        <x:v>OK</x:v>
      </x:c>
    </x:row>
    <x:row r="103" ht="39.599998474121094" hidden="1" customHeight="1">
      <x:c r="A103" s="3" t="s">
        <x:v>1068</x:v>
      </x:c>
      <x:c r="B103" s="3" t="s">
        <x:v>218</x:v>
      </x:c>
      <x:c r="C103" s="3" t="s">
        <x:v>189</x:v>
      </x:c>
      <x:c r="D103" s="3" t="s">
        <x:v>702</x:v>
      </x:c>
      <x:c r="E103" s="3" t="s">
        <x:v>217</x:v>
      </x:c>
      <x:c r="F103" s="3" t="s">
        <x:v>258</x:v>
      </x:c>
      <x:c r="G103" s="3" t="s">
        <x:v>23</x:v>
      </x:c>
      <x:c r="H103" s="45" t="n">
        <x:v>4</x:v>
      </x:c>
      <x:c r="I103" s="45" t="n">
        <x:v>15</x:v>
      </x:c>
      <x:c r="J103" s="47"/>
      <x:c r="K103" s="17">
        <x:v>46236.783576319445</x:v>
      </x:c>
      <x:c r="L103" s="33"/>
      <x:c r="M103" t="s">
        <x:v>192</x:v>
      </x:c>
      <x:c r="N103" t="s">
        <x:v>1066</x:v>
      </x:c>
      <x:c r="O103" t="str">
        <x:f>IF(A103="","",IF(COUNTIF($A$5:$A$1004,A103)&gt;1,"错误:重复映射ID",IF(OR(B103="",C103="",D103="",E103="",F103="",G103="",AND(J103="",OR(H103&lt;=0,I103&lt;H103)),M103=""),"错误:必填项","OK")))</x:f>
        <x:v>OK</x:v>
      </x:c>
    </x:row>
    <x:row r="104" ht="39.599998474121094" hidden="1" customHeight="1">
      <x:c r="A104" s="3" t="s">
        <x:v>1069</x:v>
      </x:c>
      <x:c r="B104" s="3" t="s">
        <x:v>218</x:v>
      </x:c>
      <x:c r="C104" s="3" t="s">
        <x:v>189</x:v>
      </x:c>
      <x:c r="D104" s="3" t="s">
        <x:v>702</x:v>
      </x:c>
      <x:c r="E104" s="3" t="s">
        <x:v>230</x:v>
      </x:c>
      <x:c r="F104" s="3" t="s">
        <x:v>258</x:v>
      </x:c>
      <x:c r="G104" s="3" t="s">
        <x:v>23</x:v>
      </x:c>
      <x:c r="H104" s="45" t="n">
        <x:v>4</x:v>
      </x:c>
      <x:c r="I104" s="45" t="n">
        <x:v>15</x:v>
      </x:c>
      <x:c r="J104" s="47"/>
      <x:c r="K104" s="17">
        <x:v>46236.783576319445</x:v>
      </x:c>
      <x:c r="L104" s="33"/>
      <x:c r="M104" t="s">
        <x:v>192</x:v>
      </x:c>
      <x:c r="N104" t="s">
        <x:v>1066</x:v>
      </x:c>
      <x:c r="O104" t="str">
        <x:f>IF(A104="","",IF(COUNTIF($A$5:$A$1004,A104)&gt;1,"错误:重复映射ID",IF(OR(B104="",C104="",D104="",E104="",F104="",G104="",AND(J104="",OR(H104&lt;=0,I104&lt;H104)),M104=""),"错误:必填项","OK")))</x:f>
        <x:v>OK</x:v>
      </x:c>
    </x:row>
    <x:row r="105" ht="39.599998474121094" hidden="1" customHeight="1">
      <x:c r="A105" s="3" t="s">
        <x:v>1070</x:v>
      </x:c>
      <x:c r="B105" s="3" t="s">
        <x:v>235</x:v>
      </x:c>
      <x:c r="C105" s="3" t="s">
        <x:v>189</x:v>
      </x:c>
      <x:c r="D105" s="3" t="s">
        <x:v>729</x:v>
      </x:c>
      <x:c r="E105" s="3" t="s">
        <x:v>234</x:v>
      </x:c>
      <x:c r="F105" s="3" t="s">
        <x:v>258</x:v>
      </x:c>
      <x:c r="G105" s="3" t="s">
        <x:v>23</x:v>
      </x:c>
      <x:c r="H105" s="45" t="n">
        <x:v>4</x:v>
      </x:c>
      <x:c r="I105" s="45" t="n">
        <x:v>15</x:v>
      </x:c>
      <x:c r="J105" s="47"/>
      <x:c r="K105" s="17">
        <x:v>46236.783576319445</x:v>
      </x:c>
      <x:c r="L105" s="33"/>
      <x:c r="M105" t="s">
        <x:v>192</x:v>
      </x:c>
      <x:c r="N105" t="s">
        <x:v>1071</x:v>
      </x:c>
      <x:c r="O105" t="str">
        <x:f>IF(A105="","",IF(COUNTIF($A$5:$A$1004,A105)&gt;1,"错误:重复映射ID",IF(OR(B105="",C105="",D105="",E105="",F105="",G105="",AND(J105="",OR(H105&lt;=0,I105&lt;H105)),M105=""),"错误:必填项","OK")))</x:f>
        <x:v>OK</x:v>
      </x:c>
    </x:row>
    <x:row r="106" ht="39.599998474121094" hidden="1" customHeight="1">
      <x:c r="A106" s="3" t="s">
        <x:v>1072</x:v>
      </x:c>
      <x:c r="B106" s="3" t="s">
        <x:v>235</x:v>
      </x:c>
      <x:c r="C106" s="3" t="s">
        <x:v>189</x:v>
      </x:c>
      <x:c r="D106" s="3" t="s">
        <x:v>729</x:v>
      </x:c>
      <x:c r="E106" s="3" t="s">
        <x:v>238</x:v>
      </x:c>
      <x:c r="F106" s="3" t="s">
        <x:v>258</x:v>
      </x:c>
      <x:c r="G106" s="3" t="s">
        <x:v>23</x:v>
      </x:c>
      <x:c r="H106" s="45" t="n">
        <x:v>4</x:v>
      </x:c>
      <x:c r="I106" s="45" t="n">
        <x:v>15</x:v>
      </x:c>
      <x:c r="J106" s="47"/>
      <x:c r="K106" s="17">
        <x:v>46236.783576319445</x:v>
      </x:c>
      <x:c r="L106" s="33"/>
      <x:c r="M106" t="s">
        <x:v>192</x:v>
      </x:c>
      <x:c r="N106" t="s">
        <x:v>1071</x:v>
      </x:c>
      <x:c r="O106" t="str">
        <x:f>IF(A106="","",IF(COUNTIF($A$5:$A$1004,A106)&gt;1,"错误:重复映射ID",IF(OR(B106="",C106="",D106="",E106="",F106="",G106="",AND(J106="",OR(H106&lt;=0,I106&lt;H106)),M106=""),"错误:必填项","OK")))</x:f>
        <x:v>OK</x:v>
      </x:c>
    </x:row>
    <x:row r="107" ht="39.599998474121094" hidden="1" customHeight="1">
      <x:c r="A107" s="3" t="s">
        <x:v>1073</x:v>
      </x:c>
      <x:c r="B107" s="3" t="s">
        <x:v>235</x:v>
      </x:c>
      <x:c r="C107" s="3" t="s">
        <x:v>189</x:v>
      </x:c>
      <x:c r="D107" s="3" t="s">
        <x:v>729</x:v>
      </x:c>
      <x:c r="E107" s="3" t="s">
        <x:v>234</x:v>
      </x:c>
      <x:c r="F107" s="3" t="s">
        <x:v>258</x:v>
      </x:c>
      <x:c r="G107" s="3" t="s">
        <x:v>23</x:v>
      </x:c>
      <x:c r="H107" s="45" t="n">
        <x:v>4</x:v>
      </x:c>
      <x:c r="I107" s="45" t="n">
        <x:v>15</x:v>
      </x:c>
      <x:c r="J107" s="47"/>
      <x:c r="K107" s="17">
        <x:v>46236.783576319445</x:v>
      </x:c>
      <x:c r="L107" s="33"/>
      <x:c r="M107" t="s">
        <x:v>192</x:v>
      </x:c>
      <x:c r="N107" t="s">
        <x:v>1071</x:v>
      </x:c>
      <x:c r="O107" t="str">
        <x:f>IF(A107="","",IF(COUNTIF($A$5:$A$1004,A107)&gt;1,"错误:重复映射ID",IF(OR(B107="",C107="",D107="",E107="",F107="",G107="",AND(J107="",OR(H107&lt;=0,I107&lt;H107)),M107=""),"错误:必填项","OK")))</x:f>
        <x:v>OK</x:v>
      </x:c>
    </x:row>
    <x:row r="108" ht="39.599998474121094" hidden="1" customHeight="1">
      <x:c r="A108" s="3" t="s">
        <x:v>1074</x:v>
      </x:c>
      <x:c r="B108" s="3" t="s">
        <x:v>235</x:v>
      </x:c>
      <x:c r="C108" s="3" t="s">
        <x:v>189</x:v>
      </x:c>
      <x:c r="D108" s="3" t="s">
        <x:v>729</x:v>
      </x:c>
      <x:c r="E108" s="3" t="s">
        <x:v>238</x:v>
      </x:c>
      <x:c r="F108" s="3" t="s">
        <x:v>258</x:v>
      </x:c>
      <x:c r="G108" s="3" t="s">
        <x:v>23</x:v>
      </x:c>
      <x:c r="H108" s="45" t="n">
        <x:v>4</x:v>
      </x:c>
      <x:c r="I108" s="45" t="n">
        <x:v>15</x:v>
      </x:c>
      <x:c r="J108" s="47"/>
      <x:c r="K108" s="17">
        <x:v>46236.783576319445</x:v>
      </x:c>
      <x:c r="L108" s="33"/>
      <x:c r="M108" t="s">
        <x:v>192</x:v>
      </x:c>
      <x:c r="N108" t="s">
        <x:v>1071</x:v>
      </x:c>
      <x:c r="O108" t="str">
        <x:f>IF(A108="","",IF(COUNTIF($A$5:$A$1004,A108)&gt;1,"错误:重复映射ID",IF(OR(B108="",C108="",D108="",E108="",F108="",G108="",AND(J108="",OR(H108&lt;=0,I108&lt;H108)),M108=""),"错误:必填项","OK")))</x:f>
        <x:v>OK</x:v>
      </x:c>
    </x:row>
    <x:row r="109" ht="39.599998474121094" hidden="1" customHeight="1">
      <x:c r="A109" s="3" t="s">
        <x:v>1075</x:v>
      </x:c>
      <x:c r="B109" s="3" t="s">
        <x:v>241</x:v>
      </x:c>
      <x:c r="C109" s="3" t="s">
        <x:v>189</x:v>
      </x:c>
      <x:c r="D109" s="3" t="s">
        <x:v>740</x:v>
      </x:c>
      <x:c r="E109" s="3" t="s">
        <x:v>240</x:v>
      </x:c>
      <x:c r="F109" s="3" t="s">
        <x:v>258</x:v>
      </x:c>
      <x:c r="G109" s="3" t="s">
        <x:v>23</x:v>
      </x:c>
      <x:c r="H109" s="45" t="n">
        <x:v>4</x:v>
      </x:c>
      <x:c r="I109" s="45" t="n">
        <x:v>15</x:v>
      </x:c>
      <x:c r="J109" s="47"/>
      <x:c r="K109" s="17">
        <x:v>46236.783576319445</x:v>
      </x:c>
      <x:c r="L109" s="33"/>
      <x:c r="M109" t="s">
        <x:v>192</x:v>
      </x:c>
      <x:c r="N109" t="s">
        <x:v>1076</x:v>
      </x:c>
      <x:c r="O109" t="str">
        <x:f>IF(A109="","",IF(COUNTIF($A$5:$A$1004,A109)&gt;1,"错误:重复映射ID",IF(OR(B109="",C109="",D109="",E109="",F109="",G109="",AND(J109="",OR(H109&lt;=0,I109&lt;H109)),M109=""),"错误:必填项","OK")))</x:f>
        <x:v>OK</x:v>
      </x:c>
    </x:row>
    <x:row r="110" ht="39.599998474121094" hidden="1" customHeight="1">
      <x:c r="A110" s="3" t="s">
        <x:v>1077</x:v>
      </x:c>
      <x:c r="B110" s="3" t="s">
        <x:v>241</x:v>
      </x:c>
      <x:c r="C110" s="3" t="s">
        <x:v>189</x:v>
      </x:c>
      <x:c r="D110" s="3" t="s">
        <x:v>740</x:v>
      </x:c>
      <x:c r="E110" s="3" t="s">
        <x:v>244</x:v>
      </x:c>
      <x:c r="F110" s="3" t="s">
        <x:v>258</x:v>
      </x:c>
      <x:c r="G110" s="3" t="s">
        <x:v>23</x:v>
      </x:c>
      <x:c r="H110" s="45" t="n">
        <x:v>4</x:v>
      </x:c>
      <x:c r="I110" s="45" t="n">
        <x:v>15</x:v>
      </x:c>
      <x:c r="J110" s="47"/>
      <x:c r="K110" s="17">
        <x:v>46236.783576319445</x:v>
      </x:c>
      <x:c r="L110" s="33"/>
      <x:c r="M110" t="s">
        <x:v>192</x:v>
      </x:c>
      <x:c r="N110" t="s">
        <x:v>1076</x:v>
      </x:c>
      <x:c r="O110" t="str">
        <x:f>IF(A110="","",IF(COUNTIF($A$5:$A$1004,A110)&gt;1,"错误:重复映射ID",IF(OR(B110="",C110="",D110="",E110="",F110="",G110="",AND(J110="",OR(H110&lt;=0,I110&lt;H110)),M110=""),"错误:必填项","OK")))</x:f>
        <x:v>OK</x:v>
      </x:c>
    </x:row>
    <x:row r="111" ht="39.599998474121094" hidden="1" customHeight="1">
      <x:c r="A111" s="3" t="s">
        <x:v>1078</x:v>
      </x:c>
      <x:c r="B111" s="3" t="s">
        <x:v>218</x:v>
      </x:c>
      <x:c r="C111" s="3" t="s">
        <x:v>189</x:v>
      </x:c>
      <x:c r="D111" s="3" t="s">
        <x:v>423</x:v>
      </x:c>
      <x:c r="E111" s="3" t="s">
        <x:v>232</x:v>
      </x:c>
      <x:c r="F111" s="3" t="s">
        <x:v>258</x:v>
      </x:c>
      <x:c r="G111" s="3" t="s">
        <x:v>23</x:v>
      </x:c>
      <x:c r="H111" s="45" t="n">
        <x:v>4</x:v>
      </x:c>
      <x:c r="I111" s="45" t="n">
        <x:v>15</x:v>
      </x:c>
      <x:c r="J111" s="47"/>
      <x:c r="K111" s="17">
        <x:v>46236.783576319445</x:v>
      </x:c>
      <x:c r="L111" s="33"/>
      <x:c r="M111" t="s">
        <x:v>192</x:v>
      </x:c>
      <x:c r="N111" t="s">
        <x:v>1079</x:v>
      </x:c>
      <x:c r="O111" t="str">
        <x:f>IF(A111="","",IF(COUNTIF($A$5:$A$1004,A111)&gt;1,"错误:重复映射ID",IF(OR(B111="",C111="",D111="",E111="",F111="",G111="",AND(J111="",OR(H111&lt;=0,I111&lt;H111)),M111=""),"错误:必填项","OK")))</x:f>
        <x:v>OK</x:v>
      </x:c>
    </x:row>
    <x:row r="112" ht="39.599998474121094" hidden="1" customHeight="1">
      <x:c r="A112" s="3" t="s">
        <x:v>1080</x:v>
      </x:c>
      <x:c r="B112" s="3" t="s">
        <x:v>218</x:v>
      </x:c>
      <x:c r="C112" s="3" t="s">
        <x:v>189</x:v>
      </x:c>
      <x:c r="D112" s="3" t="s">
        <x:v>418</x:v>
      </x:c>
      <x:c r="E112" s="3" t="s">
        <x:v>227</x:v>
      </x:c>
      <x:c r="F112" s="3" t="s">
        <x:v>258</x:v>
      </x:c>
      <x:c r="G112" s="3" t="s">
        <x:v>23</x:v>
      </x:c>
      <x:c r="H112" s="45" t="n">
        <x:v>4</x:v>
      </x:c>
      <x:c r="I112" s="45" t="n">
        <x:v>15</x:v>
      </x:c>
      <x:c r="J112" s="47"/>
      <x:c r="K112" s="17">
        <x:v>46236.783576319445</x:v>
      </x:c>
      <x:c r="L112" s="33"/>
      <x:c r="M112" t="s">
        <x:v>192</x:v>
      </x:c>
      <x:c r="N112" t="s">
        <x:v>1081</x:v>
      </x:c>
      <x:c r="O112" t="str">
        <x:f>IF(A112="","",IF(COUNTIF($A$5:$A$1004,A112)&gt;1,"错误:重复映射ID",IF(OR(B112="",C112="",D112="",E112="",F112="",G112="",AND(J112="",OR(H112&lt;=0,I112&lt;H112)),M112=""),"错误:必填项","OK")))</x:f>
        <x:v>OK</x:v>
      </x:c>
    </x:row>
    <x:row r="113" ht="39.599998474121094" hidden="1" customHeight="1">
      <x:c r="A113" s="3" t="s">
        <x:v>1082</x:v>
      </x:c>
      <x:c r="B113" s="3" t="s">
        <x:v>218</x:v>
      </x:c>
      <x:c r="C113" s="3" t="s">
        <x:v>189</x:v>
      </x:c>
      <x:c r="D113" s="3" t="s">
        <x:v>423</x:v>
      </x:c>
      <x:c r="E113" s="3" t="s">
        <x:v>232</x:v>
      </x:c>
      <x:c r="F113" s="3" t="s">
        <x:v>258</x:v>
      </x:c>
      <x:c r="G113" s="3" t="s">
        <x:v>23</x:v>
      </x:c>
      <x:c r="H113" s="45" t="n">
        <x:v>4</x:v>
      </x:c>
      <x:c r="I113" s="45" t="n">
        <x:v>15</x:v>
      </x:c>
      <x:c r="J113" s="47"/>
      <x:c r="K113" s="17">
        <x:v>46236.783576319445</x:v>
      </x:c>
      <x:c r="L113" s="33"/>
      <x:c r="M113" t="s">
        <x:v>192</x:v>
      </x:c>
      <x:c r="N113" t="s">
        <x:v>1079</x:v>
      </x:c>
      <x:c r="O113" t="str">
        <x:f>IF(A113="","",IF(COUNTIF($A$5:$A$1004,A113)&gt;1,"错误:重复映射ID",IF(OR(B113="",C113="",D113="",E113="",F113="",G113="",AND(J113="",OR(H113&lt;=0,I113&lt;H113)),M113=""),"错误:必填项","OK")))</x:f>
        <x:v>OK</x:v>
      </x:c>
    </x:row>
    <x:row r="114" ht="39.599998474121094" hidden="1" customHeight="1">
      <x:c r="A114" s="3" t="s">
        <x:v>1083</x:v>
      </x:c>
      <x:c r="B114" s="3" t="s">
        <x:v>235</x:v>
      </x:c>
      <x:c r="C114" s="3" t="s">
        <x:v>189</x:v>
      </x:c>
      <x:c r="D114" s="3" t="s">
        <x:v>428</x:v>
      </x:c>
      <x:c r="E114" s="3" t="s">
        <x:v>234</x:v>
      </x:c>
      <x:c r="F114" s="3" t="s">
        <x:v>258</x:v>
      </x:c>
      <x:c r="G114" s="3" t="s">
        <x:v>23</x:v>
      </x:c>
      <x:c r="H114" s="45" t="n">
        <x:v>4</x:v>
      </x:c>
      <x:c r="I114" s="45" t="n">
        <x:v>15</x:v>
      </x:c>
      <x:c r="J114" s="47"/>
      <x:c r="K114" s="17">
        <x:v>46236.783576319445</x:v>
      </x:c>
      <x:c r="L114" s="33"/>
      <x:c r="M114" t="s">
        <x:v>192</x:v>
      </x:c>
      <x:c r="N114" t="s">
        <x:v>1084</x:v>
      </x:c>
      <x:c r="O114" t="str">
        <x:f>IF(A114="","",IF(COUNTIF($A$5:$A$1004,A114)&gt;1,"错误:重复映射ID",IF(OR(B114="",C114="",D114="",E114="",F114="",G114="",AND(J114="",OR(H114&lt;=0,I114&lt;H114)),M114=""),"错误:必填项","OK")))</x:f>
        <x:v>OK</x:v>
      </x:c>
    </x:row>
    <x:row r="115" ht="39.599998474121094" hidden="1" customHeight="1">
      <x:c r="A115" s="3" t="s">
        <x:v>1085</x:v>
      </x:c>
      <x:c r="B115" s="3" t="s">
        <x:v>235</x:v>
      </x:c>
      <x:c r="C115" s="3" t="s">
        <x:v>189</x:v>
      </x:c>
      <x:c r="D115" s="3" t="s">
        <x:v>433</x:v>
      </x:c>
      <x:c r="E115" s="3" t="s">
        <x:v>238</x:v>
      </x:c>
      <x:c r="F115" s="3" t="s">
        <x:v>258</x:v>
      </x:c>
      <x:c r="G115" s="3" t="s">
        <x:v>23</x:v>
      </x:c>
      <x:c r="H115" s="45" t="n">
        <x:v>4</x:v>
      </x:c>
      <x:c r="I115" s="45" t="n">
        <x:v>15</x:v>
      </x:c>
      <x:c r="J115" s="47"/>
      <x:c r="K115" s="17">
        <x:v>46236.783576319445</x:v>
      </x:c>
      <x:c r="L115" s="33"/>
      <x:c r="M115" t="s">
        <x:v>192</x:v>
      </x:c>
      <x:c r="N115" t="s">
        <x:v>1086</x:v>
      </x:c>
      <x:c r="O115" t="str">
        <x:f>IF(A115="","",IF(COUNTIF($A$5:$A$1004,A115)&gt;1,"错误:重复映射ID",IF(OR(B115="",C115="",D115="",E115="",F115="",G115="",AND(J115="",OR(H115&lt;=0,I115&lt;H115)),M115=""),"错误:必填项","OK")))</x:f>
        <x:v>OK</x:v>
      </x:c>
    </x:row>
    <x:row r="116" ht="39.599998474121094" hidden="1" customHeight="1">
      <x:c r="A116" s="3" t="s">
        <x:v>1087</x:v>
      </x:c>
      <x:c r="B116" s="3" t="s">
        <x:v>241</x:v>
      </x:c>
      <x:c r="C116" s="3" t="s">
        <x:v>189</x:v>
      </x:c>
      <x:c r="D116" s="3" t="s">
        <x:v>437</x:v>
      </x:c>
      <x:c r="E116" s="3" t="s">
        <x:v>240</x:v>
      </x:c>
      <x:c r="F116" s="3" t="s">
        <x:v>258</x:v>
      </x:c>
      <x:c r="G116" s="3" t="s">
        <x:v>23</x:v>
      </x:c>
      <x:c r="H116" s="45" t="n">
        <x:v>4</x:v>
      </x:c>
      <x:c r="I116" s="45" t="n">
        <x:v>15</x:v>
      </x:c>
      <x:c r="J116" s="47"/>
      <x:c r="K116" s="17">
        <x:v>46236.783576319445</x:v>
      </x:c>
      <x:c r="L116" s="33"/>
      <x:c r="M116" t="s">
        <x:v>192</x:v>
      </x:c>
      <x:c r="N116" t="s">
        <x:v>1088</x:v>
      </x:c>
      <x:c r="O116" t="str">
        <x:f>IF(A116="","",IF(COUNTIF($A$5:$A$1004,A116)&gt;1,"错误:重复映射ID",IF(OR(B116="",C116="",D116="",E116="",F116="",G116="",AND(J116="",OR(H116&lt;=0,I116&lt;H116)),M116=""),"错误:必填项","OK")))</x:f>
        <x:v>OK</x:v>
      </x:c>
    </x:row>
    <x:row r="117" ht="39.599998474121094" hidden="1" customHeight="1">
      <x:c r="A117" s="3" t="s">
        <x:v>1089</x:v>
      </x:c>
      <x:c r="B117" s="3" t="s">
        <x:v>241</x:v>
      </x:c>
      <x:c r="C117" s="3" t="s">
        <x:v>189</x:v>
      </x:c>
      <x:c r="D117" s="3" t="s">
        <x:v>442</x:v>
      </x:c>
      <x:c r="E117" s="3" t="s">
        <x:v>244</x:v>
      </x:c>
      <x:c r="F117" s="3" t="s">
        <x:v>258</x:v>
      </x:c>
      <x:c r="G117" s="3" t="s">
        <x:v>23</x:v>
      </x:c>
      <x:c r="H117" s="45" t="n">
        <x:v>4</x:v>
      </x:c>
      <x:c r="I117" s="45" t="n">
        <x:v>15</x:v>
      </x:c>
      <x:c r="J117" s="47"/>
      <x:c r="K117" s="17">
        <x:v>46236.783576319445</x:v>
      </x:c>
      <x:c r="L117" s="33"/>
      <x:c r="M117" t="s">
        <x:v>192</x:v>
      </x:c>
      <x:c r="N117" t="s">
        <x:v>1090</x:v>
      </x:c>
      <x:c r="O117" t="str">
        <x:f>IF(A117="","",IF(COUNTIF($A$5:$A$1004,A117)&gt;1,"错误:重复映射ID",IF(OR(B117="",C117="",D117="",E117="",F117="",G117="",AND(J117="",OR(H117&lt;=0,I117&lt;H117)),M117=""),"错误:必填项","OK")))</x:f>
        <x:v>OK</x:v>
      </x:c>
    </x:row>
    <x:row r="118" ht="39.599998474121094" hidden="1" customHeight="1">
      <x:c r="A118" s="3" t="s">
        <x:v>1091</x:v>
      </x:c>
      <x:c r="B118" s="3" t="s">
        <x:v>218</x:v>
      </x:c>
      <x:c r="C118" s="3" t="s">
        <x:v>199</x:v>
      </x:c>
      <x:c r="D118" s="3" t="s">
        <x:v>769</x:v>
      </x:c>
      <x:c r="E118" s="3" t="s">
        <x:v>232</x:v>
      </x:c>
      <x:c r="F118" s="3" t="s">
        <x:v>258</x:v>
      </x:c>
      <x:c r="G118" s="3" t="s">
        <x:v>23</x:v>
      </x:c>
      <x:c r="H118" s="45" t="n">
        <x:v>4</x:v>
      </x:c>
      <x:c r="I118" s="45" t="n">
        <x:v>15</x:v>
      </x:c>
      <x:c r="J118" s="47"/>
      <x:c r="K118" s="17">
        <x:v>46236.783576319445</x:v>
      </x:c>
      <x:c r="L118" s="33"/>
      <x:c r="M118" t="s">
        <x:v>202</x:v>
      </x:c>
      <x:c r="N118" t="s">
        <x:v>1092</x:v>
      </x:c>
      <x:c r="O118" t="str">
        <x:f>IF(A118="","",IF(COUNTIF($A$5:$A$1004,A118)&gt;1,"错误:重复映射ID",IF(OR(B118="",C118="",D118="",E118="",F118="",G118="",AND(J118="",OR(H118&lt;=0,I118&lt;H118)),M118=""),"错误:必填项","OK")))</x:f>
        <x:v>OK</x:v>
      </x:c>
    </x:row>
    <x:row r="119" ht="39.599998474121094" customHeight="1">
      <x:c r="A119" s="3" t="s">
        <x:v>1093</x:v>
      </x:c>
      <x:c r="B119" s="3" t="s">
        <x:v>218</x:v>
      </x:c>
      <x:c r="C119" s="3" t="s">
        <x:v>199</x:v>
      </x:c>
      <x:c r="D119" s="3" t="s">
        <x:v>774</x:v>
      </x:c>
      <x:c r="E119" s="38" t="s">
        <x:v>232</x:v>
      </x:c>
      <x:c r="F119" s="3" t="s">
        <x:v>258</x:v>
      </x:c>
      <x:c r="G119" s="3" t="s">
        <x:v>23</x:v>
      </x:c>
      <x:c r="H119" s="45" t="n">
        <x:v>4</x:v>
      </x:c>
      <x:c r="I119" s="45" t="n">
        <x:v>15</x:v>
      </x:c>
      <x:c r="J119" s="47"/>
      <x:c r="K119" s="17">
        <x:v>46236.783576319445</x:v>
      </x:c>
      <x:c r="L119" s="33"/>
      <x:c r="M119" t="s">
        <x:v>202</x:v>
      </x:c>
      <x:c r="N119" t="s">
        <x:v>1094</x:v>
      </x:c>
      <x:c r="O119" t="str">
        <x:f>IF(A119="","",IF(COUNTIF($A$5:$A$1004,A119)&gt;1,"错误:重复映射ID",IF(OR(B119="",C119="",D119="",E119="",F119="",G119="",AND(J119="",OR(H119&lt;=0,I119&lt;H119)),M119=""),"错误:必填项","OK")))</x:f>
        <x:v>OK</x:v>
      </x:c>
    </x:row>
    <x:row r="120">
      <x:c r="A120" t="s">
        <x:v>1095</x:v>
      </x:c>
      <x:c r="B120" t="s">
        <x:v>218</x:v>
      </x:c>
      <x:c r="C120" t="s">
        <x:v>199</x:v>
      </x:c>
      <x:c r="D120" t="s">
        <x:v>778</x:v>
      </x:c>
      <x:c r="E120" t="s">
        <x:v>232</x:v>
      </x:c>
      <x:c r="F120" t="s">
        <x:v>258</x:v>
      </x:c>
      <x:c r="G120" t="s">
        <x:v>23</x:v>
      </x:c>
      <x:c r="H120" s="46" t="n">
        <x:v>4</x:v>
      </x:c>
      <x:c r="I120" s="46" t="n">
        <x:v>15</x:v>
      </x:c>
      <x:c r="J120" s="48"/>
      <x:c r="K120">
        <x:v>46236.783576319445</x:v>
      </x:c>
      <x:c r="L120"/>
      <x:c r="M120" t="s">
        <x:v>202</x:v>
      </x:c>
      <x:c r="N120" t="s">
        <x:v>1096</x:v>
      </x:c>
      <x:c r="O120" t="str">
        <x:f>IF(A120="","",IF(COUNTIF($A$5:$A$1004,A120)&gt;1,"错误:重复映射ID",IF(OR(B120="",C120="",D120="",E120="",F120="",G120="",AND(J120="",OR(H120&lt;=0,I120&lt;H120)),M120=""),"错误:必填项","OK")))</x:f>
        <x:v>OK</x:v>
      </x:c>
    </x:row>
    <x:row r="121">
      <x:c r="A121" t="s">
        <x:v>1097</x:v>
      </x:c>
      <x:c r="B121" t="s">
        <x:v>218</x:v>
      </x:c>
      <x:c r="C121" t="s">
        <x:v>199</x:v>
      </x:c>
      <x:c r="D121" t="s">
        <x:v>783</x:v>
      </x:c>
      <x:c r="E121" t="s">
        <x:v>232</x:v>
      </x:c>
      <x:c r="F121" t="s">
        <x:v>258</x:v>
      </x:c>
      <x:c r="G121" t="s">
        <x:v>23</x:v>
      </x:c>
      <x:c r="H121" s="46" t="n">
        <x:v>4</x:v>
      </x:c>
      <x:c r="I121" s="46" t="n">
        <x:v>15</x:v>
      </x:c>
      <x:c r="J121" s="48"/>
      <x:c r="K121">
        <x:v>46236.783576319445</x:v>
      </x:c>
      <x:c r="L121"/>
      <x:c r="M121" t="s">
        <x:v>202</x:v>
      </x:c>
      <x:c r="N121" t="s">
        <x:v>1098</x:v>
      </x:c>
      <x:c r="O121" t="str">
        <x:f>IF(A121="","",IF(COUNTIF($A$5:$A$1004,A121)&gt;1,"错误:重复映射ID",IF(OR(B121="",C121="",D121="",E121="",F121="",G121="",AND(J121="",OR(H121&lt;=0,I121&lt;H121)),M121=""),"错误:必填项","OK")))</x:f>
        <x:v>OK</x:v>
      </x:c>
    </x:row>
    <x:row r="122">
      <x:c r="A122" t="s">
        <x:v>1099</x:v>
      </x:c>
      <x:c r="B122" t="s">
        <x:v>218</x:v>
      </x:c>
      <x:c r="C122" t="s">
        <x:v>157</x:v>
      </x:c>
      <x:c r="D122" t="s">
        <x:v>788</x:v>
      </x:c>
      <x:c r="E122" t="s">
        <x:v>232</x:v>
      </x:c>
      <x:c r="F122" t="s">
        <x:v>258</x:v>
      </x:c>
      <x:c r="G122" t="s">
        <x:v>23</x:v>
      </x:c>
      <x:c r="H122" s="46" t="n">
        <x:v>4</x:v>
      </x:c>
      <x:c r="I122" s="46" t="n">
        <x:v>15</x:v>
      </x:c>
      <x:c r="J122" s="48"/>
      <x:c r="K122">
        <x:v>46236.783576319445</x:v>
      </x:c>
      <x:c r="L122"/>
      <x:c r="M122" t="s">
        <x:v>160</x:v>
      </x:c>
      <x:c r="N122" t="s">
        <x:v>1100</x:v>
      </x:c>
      <x:c r="O122" t="str">
        <x:f>IF(A122="","",IF(COUNTIF($A$5:$A$1004,A122)&gt;1,"错误:重复映射ID",IF(OR(B122="",C122="",D122="",E122="",F122="",G122="",AND(J122="",OR(H122&lt;=0,I122&lt;H122)),M122=""),"错误:必填项","OK")))</x:f>
        <x:v>OK</x:v>
      </x:c>
    </x:row>
    <x:row r="123">
      <x:c r="A123" t="s">
        <x:v>1101</x:v>
      </x:c>
      <x:c r="B123" t="s">
        <x:v>235</x:v>
      </x:c>
      <x:c r="C123" t="s">
        <x:v>157</x:v>
      </x:c>
      <x:c r="D123" t="s">
        <x:v>793</x:v>
      </x:c>
      <x:c r="E123" t="s">
        <x:v>238</x:v>
      </x:c>
      <x:c r="F123" t="s">
        <x:v>258</x:v>
      </x:c>
      <x:c r="G123" t="s">
        <x:v>23</x:v>
      </x:c>
      <x:c r="H123" s="46" t="n">
        <x:v>4</x:v>
      </x:c>
      <x:c r="I123" s="46" t="n">
        <x:v>15</x:v>
      </x:c>
      <x:c r="J123" s="48"/>
      <x:c r="K123">
        <x:v>46236.783576319445</x:v>
      </x:c>
      <x:c r="L123"/>
      <x:c r="M123" t="s">
        <x:v>160</x:v>
      </x:c>
      <x:c r="N123" t="s">
        <x:v>1102</x:v>
      </x:c>
      <x:c r="O123" t="str">
        <x:f>IF(A123="","",IF(COUNTIF($A$5:$A$1004,A123)&gt;1,"错误:重复映射ID",IF(OR(B123="",C123="",D123="",E123="",F123="",G123="",AND(J123="",OR(H123&lt;=0,I123&lt;H123)),M123=""),"错误:必填项","OK")))</x:f>
        <x:v>OK</x:v>
      </x:c>
    </x:row>
    <x:row r="124">
      <x:c r="A124" t="s">
        <x:v>1103</x:v>
      </x:c>
      <x:c r="B124" t="s">
        <x:v>218</x:v>
      </x:c>
      <x:c r="C124" t="s">
        <x:v>157</x:v>
      </x:c>
      <x:c r="D124" t="s">
        <x:v>798</x:v>
      </x:c>
      <x:c r="E124" t="s">
        <x:v>227</x:v>
      </x:c>
      <x:c r="F124" t="s">
        <x:v>258</x:v>
      </x:c>
      <x:c r="G124" t="s">
        <x:v>23</x:v>
      </x:c>
      <x:c r="H124" s="46" t="n">
        <x:v>4</x:v>
      </x:c>
      <x:c r="I124" s="46" t="n">
        <x:v>15</x:v>
      </x:c>
      <x:c r="J124" s="48"/>
      <x:c r="K124">
        <x:v>46236.783576319445</x:v>
      </x:c>
      <x:c r="L124"/>
      <x:c r="M124" t="s">
        <x:v>160</x:v>
      </x:c>
      <x:c r="N124" t="s">
        <x:v>1104</x:v>
      </x:c>
      <x:c r="O124" t="str">
        <x:f>IF(A124="","",IF(COUNTIF($A$5:$A$1004,A124)&gt;1,"错误:重复映射ID",IF(OR(B124="",C124="",D124="",E124="",F124="",G124="",AND(J124="",OR(H124&lt;=0,I124&lt;H124)),M124=""),"错误:必填项","OK")))</x:f>
        <x:v>OK</x:v>
      </x:c>
    </x:row>
    <x:row r="125">
      <x:c r="A125" t="s">
        <x:v>1105</x:v>
      </x:c>
      <x:c r="B125" t="s">
        <x:v>218</x:v>
      </x:c>
      <x:c r="C125" t="s">
        <x:v>157</x:v>
      </x:c>
      <x:c r="D125" t="s">
        <x:v>798</x:v>
      </x:c>
      <x:c r="E125" t="s">
        <x:v>232</x:v>
      </x:c>
      <x:c r="F125" t="s">
        <x:v>258</x:v>
      </x:c>
      <x:c r="G125" t="s">
        <x:v>23</x:v>
      </x:c>
      <x:c r="H125" s="46" t="n">
        <x:v>4</x:v>
      </x:c>
      <x:c r="I125" s="46" t="n">
        <x:v>15</x:v>
      </x:c>
      <x:c r="J125" s="48"/>
      <x:c r="K125">
        <x:v>46236.783576319445</x:v>
      </x:c>
      <x:c r="L125"/>
      <x:c r="M125" t="s">
        <x:v>160</x:v>
      </x:c>
      <x:c r="N125" t="s">
        <x:v>1104</x:v>
      </x:c>
      <x:c r="O125" t="str">
        <x:f>IF(A125="","",IF(COUNTIF($A$5:$A$1004,A125)&gt;1,"错误:重复映射ID",IF(OR(B125="",C125="",D125="",E125="",F125="",G125="",AND(J125="",OR(H125&lt;=0,I125&lt;H125)),M125=""),"错误:必填项","OK")))</x:f>
        <x:v>OK</x:v>
      </x:c>
    </x:row>
    <x:row r="126">
      <x:c r="A126" t="s">
        <x:v>1106</x:v>
      </x:c>
      <x:c r="B126" t="s">
        <x:v>218</x:v>
      </x:c>
      <x:c r="C126" t="s">
        <x:v>157</x:v>
      </x:c>
      <x:c r="D126" t="s">
        <x:v>798</x:v>
      </x:c>
      <x:c r="E126" t="s">
        <x:v>217</x:v>
      </x:c>
      <x:c r="F126" t="s">
        <x:v>258</x:v>
      </x:c>
      <x:c r="G126" t="s">
        <x:v>23</x:v>
      </x:c>
      <x:c r="H126" s="46" t="n">
        <x:v>4</x:v>
      </x:c>
      <x:c r="I126" s="46" t="n">
        <x:v>15</x:v>
      </x:c>
      <x:c r="J126" s="48"/>
      <x:c r="K126">
        <x:v>46236.783576319445</x:v>
      </x:c>
      <x:c r="L126"/>
      <x:c r="M126" t="s">
        <x:v>160</x:v>
      </x:c>
      <x:c r="N126" t="s">
        <x:v>1104</x:v>
      </x:c>
      <x:c r="O126" t="str">
        <x:f>IF(A126="","",IF(COUNTIF($A$5:$A$1004,A126)&gt;1,"错误:重复映射ID",IF(OR(B126="",C126="",D126="",E126="",F126="",G126="",AND(J126="",OR(H126&lt;=0,I126&lt;H126)),M126=""),"错误:必填项","OK")))</x:f>
        <x:v>OK</x:v>
      </x:c>
    </x:row>
    <x:row r="127">
      <x:c r="A127" t="s">
        <x:v>1107</x:v>
      </x:c>
      <x:c r="B127" t="s">
        <x:v>218</x:v>
      </x:c>
      <x:c r="C127" t="s">
        <x:v>157</x:v>
      </x:c>
      <x:c r="D127" t="s">
        <x:v>798</x:v>
      </x:c>
      <x:c r="E127" t="s">
        <x:v>230</x:v>
      </x:c>
      <x:c r="F127" t="s">
        <x:v>258</x:v>
      </x:c>
      <x:c r="G127" t="s">
        <x:v>23</x:v>
      </x:c>
      <x:c r="H127" s="46" t="n">
        <x:v>4</x:v>
      </x:c>
      <x:c r="I127" s="46" t="n">
        <x:v>15</x:v>
      </x:c>
      <x:c r="J127" s="48"/>
      <x:c r="K127">
        <x:v>46236.783576319445</x:v>
      </x:c>
      <x:c r="L127"/>
      <x:c r="M127" t="s">
        <x:v>160</x:v>
      </x:c>
      <x:c r="N127" t="s">
        <x:v>1104</x:v>
      </x:c>
      <x:c r="O127" t="str">
        <x:f>IF(A127="","",IF(COUNTIF($A$5:$A$1004,A127)&gt;1,"错误:重复映射ID",IF(OR(B127="",C127="",D127="",E127="",F127="",G127="",AND(J127="",OR(H127&lt;=0,I127&lt;H127)),M127=""),"错误:必填项","OK")))</x:f>
        <x:v>OK</x:v>
      </x:c>
    </x:row>
    <x:row r="128">
      <x:c r="A128" t="s">
        <x:v>1108</x:v>
      </x:c>
      <x:c r="B128" t="s">
        <x:v>235</x:v>
      </x:c>
      <x:c r="C128" t="s">
        <x:v>157</x:v>
      </x:c>
      <x:c r="D128" t="s">
        <x:v>811</x:v>
      </x:c>
      <x:c r="E128" t="s">
        <x:v>234</x:v>
      </x:c>
      <x:c r="F128" t="s">
        <x:v>258</x:v>
      </x:c>
      <x:c r="G128" t="s">
        <x:v>23</x:v>
      </x:c>
      <x:c r="H128" s="46" t="n">
        <x:v>4</x:v>
      </x:c>
      <x:c r="I128" s="46" t="n">
        <x:v>15</x:v>
      </x:c>
      <x:c r="J128" s="48"/>
      <x:c r="K128">
        <x:v>46236.783576319445</x:v>
      </x:c>
      <x:c r="L128"/>
      <x:c r="M128" t="s">
        <x:v>160</x:v>
      </x:c>
      <x:c r="N128" t="s">
        <x:v>1109</x:v>
      </x:c>
      <x:c r="O128" t="str">
        <x:f>IF(A128="","",IF(COUNTIF($A$5:$A$1004,A128)&gt;1,"错误:重复映射ID",IF(OR(B128="",C128="",D128="",E128="",F128="",G128="",AND(J128="",OR(H128&lt;=0,I128&lt;H128)),M128=""),"错误:必填项","OK")))</x:f>
        <x:v>OK</x:v>
      </x:c>
    </x:row>
    <x:row r="129">
      <x:c r="A129" t="s">
        <x:v>1110</x:v>
      </x:c>
      <x:c r="B129" t="s">
        <x:v>235</x:v>
      </x:c>
      <x:c r="C129" t="s">
        <x:v>157</x:v>
      </x:c>
      <x:c r="D129" t="s">
        <x:v>811</x:v>
      </x:c>
      <x:c r="E129" t="s">
        <x:v>238</x:v>
      </x:c>
      <x:c r="F129" t="s">
        <x:v>258</x:v>
      </x:c>
      <x:c r="G129" t="s">
        <x:v>23</x:v>
      </x:c>
      <x:c r="H129" s="46" t="n">
        <x:v>4</x:v>
      </x:c>
      <x:c r="I129" s="46" t="n">
        <x:v>15</x:v>
      </x:c>
      <x:c r="J129" s="48"/>
      <x:c r="K129">
        <x:v>46236.783576319445</x:v>
      </x:c>
      <x:c r="L129"/>
      <x:c r="M129" t="s">
        <x:v>160</x:v>
      </x:c>
      <x:c r="N129" t="s">
        <x:v>1109</x:v>
      </x:c>
      <x:c r="O129" t="str">
        <x:f>IF(A129="","",IF(COUNTIF($A$5:$A$1004,A129)&gt;1,"错误:重复映射ID",IF(OR(B129="",C129="",D129="",E129="",F129="",G129="",AND(J129="",OR(H129&lt;=0,I129&lt;H129)),M129=""),"错误:必填项","OK")))</x:f>
        <x:v>OK</x:v>
      </x:c>
    </x:row>
    <x:row r="130">
      <x:c r="A130" t="s">
        <x:v>1111</x:v>
      </x:c>
      <x:c r="B130" t="s">
        <x:v>241</x:v>
      </x:c>
      <x:c r="C130" t="s">
        <x:v>157</x:v>
      </x:c>
      <x:c r="D130" t="s">
        <x:v>818</x:v>
      </x:c>
      <x:c r="E130" t="s">
        <x:v>240</x:v>
      </x:c>
      <x:c r="F130" t="s">
        <x:v>258</x:v>
      </x:c>
      <x:c r="G130" t="s">
        <x:v>23</x:v>
      </x:c>
      <x:c r="H130" s="46" t="n">
        <x:v>4</x:v>
      </x:c>
      <x:c r="I130" s="46" t="n">
        <x:v>15</x:v>
      </x:c>
      <x:c r="J130" s="48"/>
      <x:c r="K130">
        <x:v>46236.783576319445</x:v>
      </x:c>
      <x:c r="L130"/>
      <x:c r="M130" t="s">
        <x:v>160</x:v>
      </x:c>
      <x:c r="N130" t="s">
        <x:v>1112</x:v>
      </x:c>
      <x:c r="O130" t="str">
        <x:f>IF(A130="","",IF(COUNTIF($A$5:$A$1004,A130)&gt;1,"错误:重复映射ID",IF(OR(B130="",C130="",D130="",E130="",F130="",G130="",AND(J130="",OR(H130&lt;=0,I130&lt;H130)),M130=""),"错误:必填项","OK")))</x:f>
        <x:v>OK</x:v>
      </x:c>
    </x:row>
    <x:row r="131">
      <x:c r="A131" t="s">
        <x:v>1113</x:v>
      </x:c>
      <x:c r="B131" t="s">
        <x:v>241</x:v>
      </x:c>
      <x:c r="C131" t="s">
        <x:v>157</x:v>
      </x:c>
      <x:c r="D131" t="s">
        <x:v>818</x:v>
      </x:c>
      <x:c r="E131" t="s">
        <x:v>244</x:v>
      </x:c>
      <x:c r="F131" t="s">
        <x:v>258</x:v>
      </x:c>
      <x:c r="G131" t="s">
        <x:v>23</x:v>
      </x:c>
      <x:c r="H131" s="46" t="n">
        <x:v>4</x:v>
      </x:c>
      <x:c r="I131" s="46" t="n">
        <x:v>15</x:v>
      </x:c>
      <x:c r="J131" s="48"/>
      <x:c r="K131">
        <x:v>46236.783576319445</x:v>
      </x:c>
      <x:c r="L131"/>
      <x:c r="M131" t="s">
        <x:v>160</x:v>
      </x:c>
      <x:c r="N131" t="s">
        <x:v>1112</x:v>
      </x:c>
      <x:c r="O131" t="str">
        <x:f>IF(A131="","",IF(COUNTIF($A$5:$A$1004,A131)&gt;1,"错误:重复映射ID",IF(OR(B131="",C131="",D131="",E131="",F131="",G131="",AND(J131="",OR(H131&lt;=0,I131&lt;H131)),M131=""),"错误:必填项","OK")))</x:f>
        <x:v>OK</x:v>
      </x:c>
    </x:row>
    <x:row r="132">
      <x:c r="A132" t="s">
        <x:v>1114</x:v>
      </x:c>
      <x:c r="B132" t="s">
        <x:v>218</x:v>
      </x:c>
      <x:c r="C132" t="s">
        <x:v>157</x:v>
      </x:c>
      <x:c r="D132" t="s">
        <x:v>824</x:v>
      </x:c>
      <x:c r="E132" t="s">
        <x:v>227</x:v>
      </x:c>
      <x:c r="F132" t="s">
        <x:v>258</x:v>
      </x:c>
      <x:c r="G132" t="s">
        <x:v>23</x:v>
      </x:c>
      <x:c r="H132" s="46" t="n">
        <x:v>4</x:v>
      </x:c>
      <x:c r="I132" s="46" t="n">
        <x:v>15</x:v>
      </x:c>
      <x:c r="J132" s="48"/>
      <x:c r="K132">
        <x:v>46236.783576319445</x:v>
      </x:c>
      <x:c r="L132"/>
      <x:c r="M132" t="s">
        <x:v>160</x:v>
      </x:c>
      <x:c r="N132" t="s">
        <x:v>1115</x:v>
      </x:c>
      <x:c r="O132" t="str">
        <x:f>IF(A132="","",IF(COUNTIF($A$5:$A$1004,A132)&gt;1,"错误:重复映射ID",IF(OR(B132="",C132="",D132="",E132="",F132="",G132="",AND(J132="",OR(H132&lt;=0,I132&lt;H132)),M132=""),"错误:必填项","OK")))</x:f>
        <x:v>OK</x:v>
      </x:c>
    </x:row>
    <x:row r="133">
      <x:c r="A133" t="s">
        <x:v>1116</x:v>
      </x:c>
      <x:c r="B133" t="s">
        <x:v>218</x:v>
      </x:c>
      <x:c r="C133" t="s">
        <x:v>157</x:v>
      </x:c>
      <x:c r="D133" t="s">
        <x:v>824</x:v>
      </x:c>
      <x:c r="E133" t="s">
        <x:v>232</x:v>
      </x:c>
      <x:c r="F133" t="s">
        <x:v>258</x:v>
      </x:c>
      <x:c r="G133" t="s">
        <x:v>23</x:v>
      </x:c>
      <x:c r="H133" s="46" t="n">
        <x:v>4</x:v>
      </x:c>
      <x:c r="I133" s="46" t="n">
        <x:v>15</x:v>
      </x:c>
      <x:c r="J133" s="48"/>
      <x:c r="K133">
        <x:v>46236.783576319445</x:v>
      </x:c>
      <x:c r="L133"/>
      <x:c r="M133" t="s">
        <x:v>160</x:v>
      </x:c>
      <x:c r="N133" t="s">
        <x:v>1115</x:v>
      </x:c>
      <x:c r="O133" t="str">
        <x:f>IF(A133="","",IF(COUNTIF($A$5:$A$1004,A133)&gt;1,"错误:重复映射ID",IF(OR(B133="",C133="",D133="",E133="",F133="",G133="",AND(J133="",OR(H133&lt;=0,I133&lt;H133)),M133=""),"错误:必填项","OK")))</x:f>
        <x:v>OK</x:v>
      </x:c>
    </x:row>
    <x:row r="134">
      <x:c r="A134" t="s">
        <x:v>1117</x:v>
      </x:c>
      <x:c r="B134" t="s">
        <x:v>235</x:v>
      </x:c>
      <x:c r="C134" t="s">
        <x:v>157</x:v>
      </x:c>
      <x:c r="D134" t="s">
        <x:v>832</x:v>
      </x:c>
      <x:c r="E134" t="s">
        <x:v>234</x:v>
      </x:c>
      <x:c r="F134" t="s">
        <x:v>258</x:v>
      </x:c>
      <x:c r="G134" t="s">
        <x:v>23</x:v>
      </x:c>
      <x:c r="H134" s="46" t="n">
        <x:v>4</x:v>
      </x:c>
      <x:c r="I134" s="46" t="n">
        <x:v>15</x:v>
      </x:c>
      <x:c r="J134" s="48"/>
      <x:c r="K134">
        <x:v>46236.783576319445</x:v>
      </x:c>
      <x:c r="L134"/>
      <x:c r="M134" t="s">
        <x:v>160</x:v>
      </x:c>
      <x:c r="N134" t="s">
        <x:v>1118</x:v>
      </x:c>
      <x:c r="O134" t="str">
        <x:f>IF(A134="","",IF(COUNTIF($A$5:$A$1004,A134)&gt;1,"错误:重复映射ID",IF(OR(B134="",C134="",D134="",E134="",F134="",G134="",AND(J134="",OR(H134&lt;=0,I134&lt;H134)),M134=""),"错误:必填项","OK")))</x:f>
        <x:v>OK</x:v>
      </x:c>
    </x:row>
    <x:row r="135">
      <x:c r="A135" t="s">
        <x:v>1119</x:v>
      </x:c>
      <x:c r="B135" t="s">
        <x:v>235</x:v>
      </x:c>
      <x:c r="C135" t="s">
        <x:v>157</x:v>
      </x:c>
      <x:c r="D135" t="s">
        <x:v>832</x:v>
      </x:c>
      <x:c r="E135" t="s">
        <x:v>238</x:v>
      </x:c>
      <x:c r="F135" t="s">
        <x:v>258</x:v>
      </x:c>
      <x:c r="G135" t="s">
        <x:v>23</x:v>
      </x:c>
      <x:c r="H135" s="46" t="n">
        <x:v>4</x:v>
      </x:c>
      <x:c r="I135" s="46" t="n">
        <x:v>15</x:v>
      </x:c>
      <x:c r="J135" s="48"/>
      <x:c r="K135">
        <x:v>46236.783576319445</x:v>
      </x:c>
      <x:c r="L135"/>
      <x:c r="M135" t="s">
        <x:v>160</x:v>
      </x:c>
      <x:c r="N135" t="s">
        <x:v>1118</x:v>
      </x:c>
      <x:c r="O135" t="str">
        <x:f>IF(A135="","",IF(COUNTIF($A$5:$A$1004,A135)&gt;1,"错误:重复映射ID",IF(OR(B135="",C135="",D135="",E135="",F135="",G135="",AND(J135="",OR(H135&lt;=0,I135&lt;H135)),M135=""),"错误:必填项","OK")))</x:f>
        <x:v>OK</x:v>
      </x:c>
    </x:row>
    <x:row r="136">
      <x:c r="A136" t="s">
        <x:v>1120</x:v>
      </x:c>
      <x:c r="B136" t="s">
        <x:v>241</x:v>
      </x:c>
      <x:c r="C136" t="s">
        <x:v>157</x:v>
      </x:c>
      <x:c r="D136" t="s">
        <x:v>839</x:v>
      </x:c>
      <x:c r="E136" t="s">
        <x:v>240</x:v>
      </x:c>
      <x:c r="F136" t="s">
        <x:v>258</x:v>
      </x:c>
      <x:c r="G136" t="s">
        <x:v>23</x:v>
      </x:c>
      <x:c r="H136" s="46" t="n">
        <x:v>4</x:v>
      </x:c>
      <x:c r="I136" s="46" t="n">
        <x:v>15</x:v>
      </x:c>
      <x:c r="J136" s="48"/>
      <x:c r="K136">
        <x:v>46236.783576319445</x:v>
      </x:c>
      <x:c r="L136"/>
      <x:c r="M136" t="s">
        <x:v>160</x:v>
      </x:c>
      <x:c r="N136" t="s">
        <x:v>1121</x:v>
      </x:c>
      <x:c r="O136" t="str">
        <x:f>IF(A136="","",IF(COUNTIF($A$5:$A$1004,A136)&gt;1,"错误:重复映射ID",IF(OR(B136="",C136="",D136="",E136="",F136="",G136="",AND(J136="",OR(H136&lt;=0,I136&lt;H136)),M136=""),"错误:必填项","OK")))</x:f>
        <x:v>OK</x:v>
      </x:c>
    </x:row>
    <x:row r="137">
      <x:c r="A137" t="s">
        <x:v>1122</x:v>
      </x:c>
      <x:c r="B137" t="s">
        <x:v>241</x:v>
      </x:c>
      <x:c r="C137" t="s">
        <x:v>157</x:v>
      </x:c>
      <x:c r="D137" t="s">
        <x:v>839</x:v>
      </x:c>
      <x:c r="E137" t="s">
        <x:v>244</x:v>
      </x:c>
      <x:c r="F137" t="s">
        <x:v>258</x:v>
      </x:c>
      <x:c r="G137" t="s">
        <x:v>23</x:v>
      </x:c>
      <x:c r="H137" s="46" t="n">
        <x:v>4</x:v>
      </x:c>
      <x:c r="I137" s="46" t="n">
        <x:v>15</x:v>
      </x:c>
      <x:c r="J137" s="48"/>
      <x:c r="K137">
        <x:v>46236.783576319445</x:v>
      </x:c>
      <x:c r="L137"/>
      <x:c r="M137" t="s">
        <x:v>160</x:v>
      </x:c>
      <x:c r="N137" t="s">
        <x:v>1121</x:v>
      </x:c>
      <x:c r="O137" t="str">
        <x:f>IF(A137="","",IF(COUNTIF($A$5:$A$1004,A137)&gt;1,"错误:重复映射ID",IF(OR(B137="",C137="",D137="",E137="",F137="",G137="",AND(J137="",OR(H137&lt;=0,I137&lt;H137)),M137=""),"错误:必填项","OK")))</x:f>
        <x:v>OK</x:v>
      </x:c>
    </x:row>
    <x:row r="138">
      <x:c r="A138" t="s">
        <x:v>1123</x:v>
      </x:c>
      <x:c r="B138" t="s">
        <x:v>218</x:v>
      </x:c>
      <x:c r="C138" t="s">
        <x:v>157</x:v>
      </x:c>
      <x:c r="D138" t="s">
        <x:v>845</x:v>
      </x:c>
      <x:c r="E138" t="s">
        <x:v>232</x:v>
      </x:c>
      <x:c r="F138" t="s">
        <x:v>258</x:v>
      </x:c>
      <x:c r="G138" t="s">
        <x:v>23</x:v>
      </x:c>
      <x:c r="H138" s="46" t="n">
        <x:v>4</x:v>
      </x:c>
      <x:c r="I138" s="46" t="n">
        <x:v>15</x:v>
      </x:c>
      <x:c r="J138" s="48"/>
      <x:c r="K138">
        <x:v>46236.783576319445</x:v>
      </x:c>
      <x:c r="L138"/>
      <x:c r="M138" t="s">
        <x:v>160</x:v>
      </x:c>
      <x:c r="N138" t="s">
        <x:v>1124</x:v>
      </x:c>
      <x:c r="O138" t="str">
        <x:f>IF(A138="","",IF(COUNTIF($A$5:$A$1004,A138)&gt;1,"错误:重复映射ID",IF(OR(B138="",C138="",D138="",E138="",F138="",G138="",AND(J138="",OR(H138&lt;=0,I138&lt;H138)),M138=""),"错误:必填项","OK")))</x:f>
        <x:v>OK</x:v>
      </x:c>
    </x:row>
    <x:row r="139">
      <x:c r="A139" t="s">
        <x:v>1125</x:v>
      </x:c>
      <x:c r="B139" t="s">
        <x:v>218</x:v>
      </x:c>
      <x:c r="C139" t="s">
        <x:v>157</x:v>
      </x:c>
      <x:c r="D139" t="s">
        <x:v>850</x:v>
      </x:c>
      <x:c r="E139" t="s">
        <x:v>232</x:v>
      </x:c>
      <x:c r="F139" t="s">
        <x:v>258</x:v>
      </x:c>
      <x:c r="G139" t="s">
        <x:v>23</x:v>
      </x:c>
      <x:c r="H139" s="46" t="n">
        <x:v>4</x:v>
      </x:c>
      <x:c r="I139" s="46" t="n">
        <x:v>15</x:v>
      </x:c>
      <x:c r="J139" s="48"/>
      <x:c r="K139">
        <x:v>46236.783576319445</x:v>
      </x:c>
      <x:c r="L139"/>
      <x:c r="M139" t="s">
        <x:v>160</x:v>
      </x:c>
      <x:c r="N139" t="s">
        <x:v>1126</x:v>
      </x:c>
      <x:c r="O139" t="str">
        <x:f>IF(A139="","",IF(COUNTIF($A$5:$A$1004,A139)&gt;1,"错误:重复映射ID",IF(OR(B139="",C139="",D139="",E139="",F139="",G139="",AND(J139="",OR(H139&lt;=0,I139&lt;H139)),M139=""),"错误:必填项","OK")))</x:f>
        <x:v>OK</x:v>
      </x:c>
    </x:row>
    <x:row r="140">
      <x:c r="A140" t="s">
        <x:v>1127</x:v>
      </x:c>
      <x:c r="B140" t="s">
        <x:v>218</x:v>
      </x:c>
      <x:c r="C140" t="s">
        <x:v>157</x:v>
      </x:c>
      <x:c r="D140" t="s">
        <x:v>854</x:v>
      </x:c>
      <x:c r="E140" t="s">
        <x:v>232</x:v>
      </x:c>
      <x:c r="F140" t="s">
        <x:v>258</x:v>
      </x:c>
      <x:c r="G140" t="s">
        <x:v>23</x:v>
      </x:c>
      <x:c r="H140" s="46" t="n">
        <x:v>4</x:v>
      </x:c>
      <x:c r="I140" s="46" t="n">
        <x:v>15</x:v>
      </x:c>
      <x:c r="J140" s="48"/>
      <x:c r="K140">
        <x:v>46236.783576319445</x:v>
      </x:c>
      <x:c r="L140"/>
      <x:c r="M140" t="s">
        <x:v>160</x:v>
      </x:c>
      <x:c r="N140" t="s">
        <x:v>1128</x:v>
      </x:c>
      <x:c r="O140" t="str">
        <x:f>IF(A140="","",IF(COUNTIF($A$5:$A$1004,A140)&gt;1,"错误:重复映射ID",IF(OR(B140="",C140="",D140="",E140="",F140="",G140="",AND(J140="",OR(H140&lt;=0,I140&lt;H140)),M140=""),"错误:必填项","OK")))</x:f>
        <x:v>OK</x:v>
      </x:c>
    </x:row>
    <x:row r="141">
      <x:c r="A141" t="s">
        <x:v>1129</x:v>
      </x:c>
      <x:c r="B141" t="s">
        <x:v>218</x:v>
      </x:c>
      <x:c r="C141" t="s">
        <x:v>157</x:v>
      </x:c>
      <x:c r="D141" t="s">
        <x:v>858</x:v>
      </x:c>
      <x:c r="E141" t="s">
        <x:v>232</x:v>
      </x:c>
      <x:c r="F141" t="s">
        <x:v>258</x:v>
      </x:c>
      <x:c r="G141" t="s">
        <x:v>23</x:v>
      </x:c>
      <x:c r="H141" s="46" t="n">
        <x:v>4</x:v>
      </x:c>
      <x:c r="I141" s="46" t="n">
        <x:v>15</x:v>
      </x:c>
      <x:c r="J141" s="48"/>
      <x:c r="K141">
        <x:v>46236.783576319445</x:v>
      </x:c>
      <x:c r="L141"/>
      <x:c r="M141" t="s">
        <x:v>160</x:v>
      </x:c>
      <x:c r="N141" t="s">
        <x:v>1130</x:v>
      </x:c>
      <x:c r="O141" t="str">
        <x:f>IF(A141="","",IF(COUNTIF($A$5:$A$1004,A141)&gt;1,"错误:重复映射ID",IF(OR(B141="",C141="",D141="",E141="",F141="",G141="",AND(J141="",OR(H141&lt;=0,I141&lt;H141)),M141=""),"错误:必填项","OK")))</x:f>
        <x:v>OK</x:v>
      </x:c>
    </x:row>
    <x:row r="142">
      <x:c r="A142" t="s">
        <x:v>1131</x:v>
      </x:c>
      <x:c r="B142" t="s">
        <x:v>218</x:v>
      </x:c>
      <x:c r="C142" t="s">
        <x:v>173</x:v>
      </x:c>
      <x:c r="D142" t="s">
        <x:v>862</x:v>
      </x:c>
      <x:c r="E142" t="s">
        <x:v>232</x:v>
      </x:c>
      <x:c r="F142" t="s">
        <x:v>258</x:v>
      </x:c>
      <x:c r="G142" t="s">
        <x:v>23</x:v>
      </x:c>
      <x:c r="H142" s="46" t="n">
        <x:v>5</x:v>
      </x:c>
      <x:c r="I142" s="46" t="n">
        <x:v>15</x:v>
      </x:c>
      <x:c r="J142" s="48"/>
      <x:c r="K142">
        <x:v>46236.783576319445</x:v>
      </x:c>
      <x:c r="L142"/>
      <x:c r="M142" t="s">
        <x:v>177</x:v>
      </x:c>
      <x:c r="N142" t="s">
        <x:v>1132</x:v>
      </x:c>
      <x:c r="O142" t="str">
        <x:f>IF(A142="","",IF(COUNTIF($A$5:$A$1004,A142)&gt;1,"错误:重复映射ID",IF(OR(B142="",C142="",D142="",E142="",F142="",G142="",AND(J142="",OR(H142&lt;=0,I142&lt;H142)),M142=""),"错误:必填项","OK")))</x:f>
        <x:v>OK</x:v>
      </x:c>
    </x:row>
    <x:row r="143">
      <x:c r="A143" t="s">
        <x:v>1133</x:v>
      </x:c>
      <x:c r="B143" t="s">
        <x:v>218</x:v>
      </x:c>
      <x:c r="C143" t="s">
        <x:v>173</x:v>
      </x:c>
      <x:c r="D143" t="s">
        <x:v>862</x:v>
      </x:c>
      <x:c r="E143" t="s">
        <x:v>232</x:v>
      </x:c>
      <x:c r="F143" t="s">
        <x:v>258</x:v>
      </x:c>
      <x:c r="G143" t="s">
        <x:v>23</x:v>
      </x:c>
      <x:c r="H143" s="46" t="n">
        <x:v>4</x:v>
      </x:c>
      <x:c r="I143" s="46" t="n">
        <x:v>15</x:v>
      </x:c>
      <x:c r="J143" s="48"/>
      <x:c r="K143">
        <x:v>46236.783576319445</x:v>
      </x:c>
      <x:c r="L143"/>
      <x:c r="M143" t="s">
        <x:v>177</x:v>
      </x:c>
      <x:c r="N143" t="s">
        <x:v>1134</x:v>
      </x:c>
      <x:c r="O143" t="str">
        <x:f>IF(A143="","",IF(COUNTIF($A$5:$A$1004,A143)&gt;1,"错误:重复映射ID",IF(OR(B143="",C143="",D143="",E143="",F143="",G143="",AND(J143="",OR(H143&lt;=0,I143&lt;H143)),M143=""),"错误:必填项","OK")))</x:f>
        <x:v>OK</x:v>
      </x:c>
    </x:row>
    <x:row r="144">
      <x:c r="A144" t="s">
        <x:v>1135</x:v>
      </x:c>
      <x:c r="B144" t="s">
        <x:v>218</x:v>
      </x:c>
      <x:c r="C144" t="s">
        <x:v>173</x:v>
      </x:c>
      <x:c r="D144" t="s">
        <x:v>862</x:v>
      </x:c>
      <x:c r="E144" t="s">
        <x:v>217</x:v>
      </x:c>
      <x:c r="F144" t="s">
        <x:v>258</x:v>
      </x:c>
      <x:c r="G144" t="s">
        <x:v>23</x:v>
      </x:c>
      <x:c r="H144" s="46" t="n">
        <x:v>4</x:v>
      </x:c>
      <x:c r="I144" s="46" t="n">
        <x:v>15</x:v>
      </x:c>
      <x:c r="J144" s="48"/>
      <x:c r="K144">
        <x:v>46236.783576319445</x:v>
      </x:c>
      <x:c r="L144"/>
      <x:c r="M144" t="s">
        <x:v>177</x:v>
      </x:c>
      <x:c r="N144" t="s">
        <x:v>1136</x:v>
      </x:c>
      <x:c r="O144" t="str">
        <x:f>IF(A144="","",IF(COUNTIF($A$5:$A$1004,A144)&gt;1,"错误:重复映射ID",IF(OR(B144="",C144="",D144="",E144="",F144="",G144="",AND(J144="",OR(H144&lt;=0,I144&lt;H144)),M144=""),"错误:必填项","OK")))</x:f>
        <x:v>OK</x:v>
      </x:c>
    </x:row>
    <x:row r="145">
      <x:c r="A145" t="s">
        <x:v>1137</x:v>
      </x:c>
      <x:c r="B145" t="s">
        <x:v>218</x:v>
      </x:c>
      <x:c r="C145" t="s">
        <x:v>173</x:v>
      </x:c>
      <x:c r="D145" t="s">
        <x:v>862</x:v>
      </x:c>
      <x:c r="E145" t="s">
        <x:v>230</x:v>
      </x:c>
      <x:c r="F145" t="s">
        <x:v>258</x:v>
      </x:c>
      <x:c r="G145" t="s">
        <x:v>23</x:v>
      </x:c>
      <x:c r="H145" s="46" t="n">
        <x:v>4</x:v>
      </x:c>
      <x:c r="I145" s="46" t="n">
        <x:v>15</x:v>
      </x:c>
      <x:c r="J145" s="48"/>
      <x:c r="K145">
        <x:v>46236.783576319445</x:v>
      </x:c>
      <x:c r="L145"/>
      <x:c r="M145" t="s">
        <x:v>177</x:v>
      </x:c>
      <x:c r="N145" t="s">
        <x:v>1136</x:v>
      </x:c>
      <x:c r="O145" t="str">
        <x:f>IF(A145="","",IF(COUNTIF($A$5:$A$1004,A145)&gt;1,"错误:重复映射ID",IF(OR(B145="",C145="",D145="",E145="",F145="",G145="",AND(J145="",OR(H145&lt;=0,I145&lt;H145)),M145=""),"错误:必填项","OK")))</x:f>
        <x:v>OK</x:v>
      </x:c>
    </x:row>
    <x:row r="146">
      <x:c r="A146" t="s">
        <x:v>1138</x:v>
      </x:c>
      <x:c r="B146" t="s">
        <x:v>235</x:v>
      </x:c>
      <x:c r="C146" t="s">
        <x:v>173</x:v>
      </x:c>
      <x:c r="D146" t="s">
        <x:v>877</x:v>
      </x:c>
      <x:c r="E146" t="s">
        <x:v>238</x:v>
      </x:c>
      <x:c r="F146" t="s">
        <x:v>258</x:v>
      </x:c>
      <x:c r="G146" t="s">
        <x:v>23</x:v>
      </x:c>
      <x:c r="H146" s="46" t="n">
        <x:v>4</x:v>
      </x:c>
      <x:c r="I146" s="46" t="n">
        <x:v>15</x:v>
      </x:c>
      <x:c r="J146" s="48"/>
      <x:c r="K146">
        <x:v>46236.783576319445</x:v>
      </x:c>
      <x:c r="L146"/>
      <x:c r="M146" t="s">
        <x:v>177</x:v>
      </x:c>
      <x:c r="N146" t="s">
        <x:v>1139</x:v>
      </x:c>
      <x:c r="O146" t="str">
        <x:f>IF(A146="","",IF(COUNTIF($A$5:$A$1004,A146)&gt;1,"错误:重复映射ID",IF(OR(B146="",C146="",D146="",E146="",F146="",G146="",AND(J146="",OR(H146&lt;=0,I146&lt;H146)),M146=""),"错误:必填项","OK")))</x:f>
        <x:v>OK</x:v>
      </x:c>
    </x:row>
    <x:row r="147">
      <x:c r="A147" t="s">
        <x:v>1140</x:v>
      </x:c>
      <x:c r="B147" t="s">
        <x:v>241</x:v>
      </x:c>
      <x:c r="C147" t="s">
        <x:v>173</x:v>
      </x:c>
      <x:c r="D147" t="s">
        <x:v>881</x:v>
      </x:c>
      <x:c r="E147" t="s">
        <x:v>244</x:v>
      </x:c>
      <x:c r="F147" t="s">
        <x:v>258</x:v>
      </x:c>
      <x:c r="G147" t="s">
        <x:v>23</x:v>
      </x:c>
      <x:c r="H147" s="46" t="n">
        <x:v>4</x:v>
      </x:c>
      <x:c r="I147" s="46" t="n">
        <x:v>15</x:v>
      </x:c>
      <x:c r="J147" s="48"/>
      <x:c r="K147">
        <x:v>46236.783576319445</x:v>
      </x:c>
      <x:c r="L147"/>
      <x:c r="M147" t="s">
        <x:v>177</x:v>
      </x:c>
      <x:c r="N147" t="s">
        <x:v>1141</x:v>
      </x:c>
      <x:c r="O147" t="str">
        <x:f>IF(A147="","",IF(COUNTIF($A$5:$A$1004,A147)&gt;1,"错误:重复映射ID",IF(OR(B147="",C147="",D147="",E147="",F147="",G147="",AND(J147="",OR(H147&lt;=0,I147&lt;H147)),M147=""),"错误:必填项","OK")))</x:f>
        <x:v>OK</x:v>
      </x:c>
    </x:row>
    <x:row r="148">
      <x:c r="A148" t="s">
        <x:v>1142</x:v>
      </x:c>
      <x:c r="B148" t="s">
        <x:v>218</x:v>
      </x:c>
      <x:c r="C148" t="s">
        <x:v>173</x:v>
      </x:c>
      <x:c r="D148" t="s">
        <x:v>862</x:v>
      </x:c>
      <x:c r="E148" t="s">
        <x:v>232</x:v>
      </x:c>
      <x:c r="F148" t="s">
        <x:v>258</x:v>
      </x:c>
      <x:c r="G148" t="s">
        <x:v>23</x:v>
      </x:c>
      <x:c r="H148" s="46" t="n">
        <x:v>4</x:v>
      </x:c>
      <x:c r="I148" s="46" t="n">
        <x:v>15</x:v>
      </x:c>
      <x:c r="J148" s="48"/>
      <x:c r="K148">
        <x:v>46236.783576319445</x:v>
      </x:c>
      <x:c r="L148"/>
      <x:c r="M148" t="s">
        <x:v>177</x:v>
      </x:c>
      <x:c r="N148" t="s">
        <x:v>1143</x:v>
      </x:c>
      <x:c r="O148" t="str">
        <x:f>IF(A148="","",IF(COUNTIF($A$5:$A$1004,A148)&gt;1,"错误:重复映射ID",IF(OR(B148="",C148="",D148="",E148="",F148="",G148="",AND(J148="",OR(H148&lt;=0,I148&lt;H148)),M148=""),"错误:必填项","OK")))</x:f>
        <x:v>OK</x:v>
      </x:c>
    </x:row>
    <x:row r="149">
      <x:c r="A149" t="s">
        <x:v>1144</x:v>
      </x:c>
      <x:c r="B149" t="s">
        <x:v>218</x:v>
      </x:c>
      <x:c r="C149" t="s">
        <x:v>173</x:v>
      </x:c>
      <x:c r="D149" t="s">
        <x:v>862</x:v>
      </x:c>
      <x:c r="E149" t="s">
        <x:v>217</x:v>
      </x:c>
      <x:c r="F149" t="s">
        <x:v>258</x:v>
      </x:c>
      <x:c r="G149" t="s">
        <x:v>23</x:v>
      </x:c>
      <x:c r="H149" s="46" t="n">
        <x:v>4</x:v>
      </x:c>
      <x:c r="I149" s="46" t="n">
        <x:v>15</x:v>
      </x:c>
      <x:c r="J149" s="48"/>
      <x:c r="K149">
        <x:v>46236.783576319445</x:v>
      </x:c>
      <x:c r="L149"/>
      <x:c r="M149" t="s">
        <x:v>177</x:v>
      </x:c>
      <x:c r="N149" t="s">
        <x:v>1143</x:v>
      </x:c>
      <x:c r="O149" t="str">
        <x:f>IF(A149="","",IF(COUNTIF($A$5:$A$1004,A149)&gt;1,"错误:重复映射ID",IF(OR(B149="",C149="",D149="",E149="",F149="",G149="",AND(J149="",OR(H149&lt;=0,I149&lt;H149)),M149=""),"错误:必填项","OK")))</x:f>
        <x:v>OK</x:v>
      </x:c>
    </x:row>
    <x:row r="150">
      <x:c r="A150" t="s">
        <x:v>1145</x:v>
      </x:c>
      <x:c r="B150" t="s">
        <x:v>235</x:v>
      </x:c>
      <x:c r="C150" t="s">
        <x:v>173</x:v>
      </x:c>
      <x:c r="D150" t="s">
        <x:v>877</x:v>
      </x:c>
      <x:c r="E150" t="s">
        <x:v>238</x:v>
      </x:c>
      <x:c r="F150" t="s">
        <x:v>258</x:v>
      </x:c>
      <x:c r="G150" t="s">
        <x:v>23</x:v>
      </x:c>
      <x:c r="H150" s="46" t="n">
        <x:v>4</x:v>
      </x:c>
      <x:c r="I150" s="46" t="n">
        <x:v>15</x:v>
      </x:c>
      <x:c r="J150" s="48"/>
      <x:c r="K150">
        <x:v>46236.783576319445</x:v>
      </x:c>
      <x:c r="L150"/>
      <x:c r="M150" t="s">
        <x:v>177</x:v>
      </x:c>
      <x:c r="N150" t="s">
        <x:v>1146</x:v>
      </x:c>
      <x:c r="O150" t="str">
        <x:f>IF(A150="","",IF(COUNTIF($A$5:$A$1004,A150)&gt;1,"错误:重复映射ID",IF(OR(B150="",C150="",D150="",E150="",F150="",G150="",AND(J150="",OR(H150&lt;=0,I150&lt;H150)),M150=""),"错误:必填项","OK")))</x:f>
        <x:v>OK</x:v>
      </x:c>
    </x:row>
    <x:row r="151">
      <x:c r="A151" t="s">
        <x:v>1147</x:v>
      </x:c>
      <x:c r="B151" t="s">
        <x:v>241</x:v>
      </x:c>
      <x:c r="C151" t="s">
        <x:v>173</x:v>
      </x:c>
      <x:c r="D151" t="s">
        <x:v>881</x:v>
      </x:c>
      <x:c r="E151" t="s">
        <x:v>244</x:v>
      </x:c>
      <x:c r="F151" t="s">
        <x:v>258</x:v>
      </x:c>
      <x:c r="G151" t="s">
        <x:v>23</x:v>
      </x:c>
      <x:c r="H151" s="46" t="n">
        <x:v>4</x:v>
      </x:c>
      <x:c r="I151" s="46" t="n">
        <x:v>15</x:v>
      </x:c>
      <x:c r="J151" s="48"/>
      <x:c r="K151">
        <x:v>46236.783576319445</x:v>
      </x:c>
      <x:c r="L151"/>
      <x:c r="M151" t="s">
        <x:v>177</x:v>
      </x:c>
      <x:c r="N151" t="s">
        <x:v>1148</x:v>
      </x:c>
      <x:c r="O151" t="str">
        <x:f>IF(A151="","",IF(COUNTIF($A$5:$A$1004,A151)&gt;1,"错误:重复映射ID",IF(OR(B151="",C151="",D151="",E151="",F151="",G151="",AND(J151="",OR(H151&lt;=0,I151&lt;H151)),M151=""),"错误:必填项","OK")))</x:f>
        <x:v>OK</x:v>
      </x:c>
    </x:row>
    <x:row r="152">
      <x:c r="H152" s="46"/>
      <x:c r="I152" s="46"/>
      <x:c r="J152" s="48"/>
      <x:c r="K152"/>
      <x:c r="L152"/>
      <x:c r="M152"/>
      <x:c r="N152"/>
      <x:c r="O152"/>
    </x:row>
    <x:row r="153">
      <x:c r="H153" s="46"/>
      <x:c r="I153" s="46"/>
      <x:c r="J153" s="48"/>
      <x:c r="K153"/>
      <x:c r="L153"/>
      <x:c r="M153"/>
      <x:c r="N153"/>
      <x:c r="O153"/>
    </x:row>
    <x:row r="154">
      <x:c r="H154" s="46"/>
      <x:c r="I154" s="46"/>
      <x:c r="J154" s="48"/>
      <x:c r="K154"/>
      <x:c r="L154"/>
      <x:c r="M154"/>
      <x:c r="N154"/>
      <x:c r="O154"/>
    </x:row>
    <x:row r="155">
      <x:c r="H155" s="46"/>
      <x:c r="I155" s="46"/>
      <x:c r="J155" s="48"/>
      <x:c r="K155"/>
      <x:c r="L155"/>
      <x:c r="M155"/>
      <x:c r="N155"/>
      <x:c r="O155"/>
    </x:row>
    <x:row r="156">
      <x:c r="H156" s="46"/>
      <x:c r="I156" s="46"/>
      <x:c r="J156" s="48"/>
      <x:c r="K156"/>
      <x:c r="L156"/>
      <x:c r="M156"/>
      <x:c r="N156"/>
      <x:c r="O156"/>
    </x:row>
    <x:row r="157">
      <x:c r="H157" s="46"/>
      <x:c r="I157" s="46"/>
      <x:c r="J157" s="48"/>
      <x:c r="K157"/>
      <x:c r="L157"/>
      <x:c r="M157"/>
      <x:c r="N157"/>
      <x:c r="O157"/>
    </x:row>
    <x:row r="158">
      <x:c r="H158" s="46"/>
      <x:c r="I158" s="46"/>
      <x:c r="J158" s="48"/>
      <x:c r="K158"/>
      <x:c r="L158"/>
      <x:c r="M158"/>
      <x:c r="N158"/>
      <x:c r="O158"/>
    </x:row>
    <x:row r="159">
      <x:c r="H159" s="46"/>
      <x:c r="I159" s="46"/>
      <x:c r="J159" s="48"/>
      <x:c r="K159"/>
      <x:c r="L159"/>
      <x:c r="M159"/>
      <x:c r="N159"/>
      <x:c r="O159"/>
    </x:row>
    <x:row r="160">
      <x:c r="H160" s="46"/>
      <x:c r="I160" s="46"/>
      <x:c r="J160" s="48"/>
      <x:c r="K160"/>
      <x:c r="L160"/>
      <x:c r="M160"/>
      <x:c r="N160"/>
      <x:c r="O160"/>
    </x:row>
    <x:row r="161">
      <x:c r="H161" s="46"/>
      <x:c r="I161" s="46"/>
      <x:c r="J161" s="48"/>
      <x:c r="K161"/>
      <x:c r="L161"/>
      <x:c r="M161"/>
      <x:c r="N161"/>
      <x:c r="O161"/>
    </x:row>
    <x:row r="162">
      <x:c r="H162" s="46"/>
      <x:c r="I162" s="46"/>
      <x:c r="J162" s="48"/>
      <x:c r="K162"/>
      <x:c r="L162"/>
      <x:c r="M162"/>
      <x:c r="N162"/>
      <x:c r="O162"/>
    </x:row>
    <x:row r="163">
      <x:c r="H163" s="46"/>
      <x:c r="I163" s="46"/>
      <x:c r="J163" s="48"/>
      <x:c r="K163"/>
      <x:c r="L163"/>
      <x:c r="M163"/>
      <x:c r="N163"/>
      <x:c r="O163"/>
    </x:row>
    <x:row r="164">
      <x:c r="H164" s="46"/>
      <x:c r="I164" s="46"/>
      <x:c r="J164" s="48"/>
      <x:c r="K164"/>
      <x:c r="L164"/>
      <x:c r="M164"/>
      <x:c r="N164"/>
      <x:c r="O164"/>
    </x:row>
    <x:row r="165">
      <x:c r="H165" s="46"/>
      <x:c r="I165" s="46"/>
      <x:c r="J165" s="48"/>
      <x:c r="K165"/>
      <x:c r="L165"/>
      <x:c r="M165"/>
      <x:c r="N165"/>
      <x:c r="O165"/>
    </x:row>
    <x:row r="166">
      <x:c r="H166" s="46"/>
      <x:c r="I166" s="46"/>
      <x:c r="J166" s="48"/>
      <x:c r="K166"/>
      <x:c r="L166"/>
      <x:c r="M166"/>
      <x:c r="N166"/>
      <x:c r="O166"/>
    </x:row>
    <x:row r="167">
      <x:c r="H167" s="46"/>
      <x:c r="I167" s="46"/>
      <x:c r="J167" s="48"/>
      <x:c r="K167"/>
      <x:c r="L167"/>
      <x:c r="M167"/>
      <x:c r="N167"/>
      <x:c r="O167"/>
    </x:row>
    <x:row r="168">
      <x:c r="H168" s="46"/>
      <x:c r="I168" s="46"/>
      <x:c r="J168" s="48"/>
      <x:c r="K168"/>
      <x:c r="L168"/>
      <x:c r="M168"/>
      <x:c r="N168"/>
      <x:c r="O168"/>
    </x:row>
    <x:row r="169">
      <x:c r="H169" s="46"/>
      <x:c r="I169" s="46"/>
      <x:c r="J169" s="48"/>
      <x:c r="K169"/>
      <x:c r="L169"/>
      <x:c r="M169"/>
      <x:c r="N169"/>
      <x:c r="O169"/>
    </x:row>
    <x:row r="170">
      <x:c r="H170" s="46"/>
      <x:c r="I170" s="46"/>
      <x:c r="J170" s="48"/>
      <x:c r="K170"/>
      <x:c r="L170"/>
      <x:c r="M170"/>
      <x:c r="N170"/>
      <x:c r="O170"/>
    </x:row>
    <x:row r="171">
      <x:c r="H171" s="46"/>
      <x:c r="I171" s="46"/>
      <x:c r="J171" s="48"/>
      <x:c r="K171"/>
      <x:c r="L171"/>
      <x:c r="M171"/>
      <x:c r="N171"/>
      <x:c r="O171"/>
    </x:row>
    <x:row r="172">
      <x:c r="H172" s="46"/>
      <x:c r="I172" s="46"/>
      <x:c r="J172" s="48"/>
      <x:c r="K172"/>
      <x:c r="L172"/>
      <x:c r="M172"/>
      <x:c r="N172"/>
      <x:c r="O172"/>
    </x:row>
    <x:row r="173">
      <x:c r="H173" s="46"/>
      <x:c r="I173" s="46"/>
      <x:c r="J173" s="48"/>
      <x:c r="K173"/>
      <x:c r="L173"/>
      <x:c r="M173"/>
      <x:c r="N173"/>
      <x:c r="O173"/>
    </x:row>
    <x:row r="174">
      <x:c r="H174" s="46"/>
      <x:c r="I174" s="46"/>
      <x:c r="J174" s="48"/>
      <x:c r="K174"/>
      <x:c r="L174"/>
      <x:c r="M174"/>
      <x:c r="N174"/>
      <x:c r="O174"/>
    </x:row>
    <x:row r="175">
      <x:c r="H175" s="46"/>
      <x:c r="I175" s="46"/>
      <x:c r="J175" s="48"/>
      <x:c r="K175"/>
      <x:c r="L175"/>
      <x:c r="M175"/>
      <x:c r="N175"/>
      <x:c r="O175"/>
    </x:row>
    <x:row r="176">
      <x:c r="H176" s="46"/>
      <x:c r="I176" s="46"/>
      <x:c r="J176" s="48"/>
      <x:c r="K176"/>
      <x:c r="L176"/>
      <x:c r="M176"/>
      <x:c r="N176"/>
      <x:c r="O176"/>
    </x:row>
    <x:row r="177">
      <x:c r="H177" s="46"/>
      <x:c r="I177" s="46"/>
      <x:c r="J177" s="48"/>
      <x:c r="K177"/>
      <x:c r="L177"/>
      <x:c r="M177"/>
      <x:c r="N177"/>
      <x:c r="O177"/>
    </x:row>
    <x:row r="178">
      <x:c r="H178" s="46"/>
      <x:c r="I178" s="46"/>
      <x:c r="J178" s="48"/>
      <x:c r="K178"/>
      <x:c r="L178"/>
      <x:c r="M178"/>
      <x:c r="N178"/>
      <x:c r="O178"/>
    </x:row>
    <x:row r="179">
      <x:c r="H179" s="46"/>
      <x:c r="I179" s="46"/>
      <x:c r="J179" s="48"/>
      <x:c r="K179"/>
      <x:c r="L179"/>
      <x:c r="M179"/>
      <x:c r="N179"/>
      <x:c r="O179"/>
    </x:row>
    <x:row r="180">
      <x:c r="H180" s="46"/>
      <x:c r="I180" s="46"/>
      <x:c r="J180" s="48"/>
      <x:c r="K180"/>
      <x:c r="L180"/>
      <x:c r="M180"/>
      <x:c r="N180"/>
      <x:c r="O180"/>
    </x:row>
    <x:row r="181">
      <x:c r="H181" s="46"/>
      <x:c r="I181" s="46"/>
      <x:c r="J181" s="48"/>
      <x:c r="K181"/>
      <x:c r="L181"/>
      <x:c r="M181"/>
      <x:c r="N181"/>
      <x:c r="O181"/>
    </x:row>
    <x:row r="182">
      <x:c r="H182" s="46"/>
      <x:c r="I182" s="46"/>
      <x:c r="J182" s="48"/>
      <x:c r="K182"/>
      <x:c r="L182"/>
      <x:c r="M182"/>
      <x:c r="N182"/>
      <x:c r="O182"/>
    </x:row>
    <x:row r="183">
      <x:c r="H183" s="46"/>
      <x:c r="I183" s="46"/>
      <x:c r="J183" s="48"/>
      <x:c r="K183"/>
      <x:c r="L183"/>
      <x:c r="M183"/>
      <x:c r="N183"/>
      <x:c r="O183"/>
    </x:row>
    <x:row r="184">
      <x:c r="H184" s="46"/>
      <x:c r="I184" s="46"/>
      <x:c r="J184" s="48"/>
      <x:c r="K184"/>
      <x:c r="L184"/>
      <x:c r="M184"/>
      <x:c r="N184"/>
      <x:c r="O184"/>
    </x:row>
    <x:row r="185">
      <x:c r="H185" s="46"/>
      <x:c r="I185" s="46"/>
      <x:c r="J185" s="48"/>
      <x:c r="K185"/>
      <x:c r="L185"/>
      <x:c r="M185"/>
      <x:c r="N185"/>
      <x:c r="O185"/>
    </x:row>
    <x:row r="186">
      <x:c r="H186" s="46"/>
      <x:c r="I186" s="46"/>
      <x:c r="J186" s="48"/>
      <x:c r="K186"/>
      <x:c r="L186"/>
      <x:c r="M186"/>
      <x:c r="N186"/>
      <x:c r="O186"/>
    </x:row>
    <x:row r="187">
      <x:c r="H187" s="46"/>
      <x:c r="I187" s="46"/>
      <x:c r="J187" s="48"/>
      <x:c r="K187"/>
      <x:c r="L187"/>
      <x:c r="M187"/>
      <x:c r="N187"/>
      <x:c r="O187"/>
    </x:row>
    <x:row r="188">
      <x:c r="H188" s="46"/>
      <x:c r="I188" s="46"/>
      <x:c r="J188" s="48"/>
      <x:c r="K188"/>
      <x:c r="L188"/>
      <x:c r="M188"/>
      <x:c r="N188"/>
      <x:c r="O188"/>
    </x:row>
    <x:row r="189">
      <x:c r="H189" s="46"/>
      <x:c r="I189" s="46"/>
      <x:c r="J189" s="48"/>
      <x:c r="K189"/>
      <x:c r="L189"/>
      <x:c r="M189"/>
      <x:c r="N189"/>
      <x:c r="O189"/>
    </x:row>
    <x:row r="190">
      <x:c r="H190" s="46"/>
      <x:c r="I190" s="46"/>
      <x:c r="J190" s="48"/>
      <x:c r="K190"/>
      <x:c r="L190"/>
      <x:c r="M190"/>
      <x:c r="N190"/>
      <x:c r="O190"/>
    </x:row>
    <x:row r="191">
      <x:c r="H191" s="46"/>
      <x:c r="I191" s="46"/>
      <x:c r="J191" s="48"/>
      <x:c r="K191"/>
      <x:c r="L191"/>
      <x:c r="M191"/>
      <x:c r="N191"/>
      <x:c r="O191"/>
    </x:row>
    <x:row r="192">
      <x:c r="H192" s="46"/>
      <x:c r="I192" s="46"/>
      <x:c r="J192" s="48"/>
      <x:c r="K192"/>
      <x:c r="L192"/>
      <x:c r="M192"/>
      <x:c r="N192"/>
      <x:c r="O192"/>
    </x:row>
    <x:row r="193">
      <x:c r="H193" s="46"/>
      <x:c r="I193" s="46"/>
      <x:c r="J193" s="48"/>
      <x:c r="K193"/>
      <x:c r="L193"/>
      <x:c r="M193"/>
      <x:c r="N193"/>
      <x:c r="O193"/>
    </x:row>
    <x:row r="194">
      <x:c r="H194" s="46"/>
      <x:c r="I194" s="46"/>
      <x:c r="J194" s="48"/>
      <x:c r="K194"/>
      <x:c r="L194"/>
      <x:c r="M194"/>
      <x:c r="N194"/>
      <x:c r="O194"/>
    </x:row>
    <x:row r="195">
      <x:c r="H195" s="46"/>
      <x:c r="I195" s="46"/>
      <x:c r="J195" s="48"/>
      <x:c r="K195"/>
      <x:c r="L195"/>
      <x:c r="M195"/>
      <x:c r="N195"/>
      <x:c r="O195"/>
    </x:row>
    <x:row r="196">
      <x:c r="H196" s="46"/>
      <x:c r="I196" s="46"/>
      <x:c r="J196" s="48"/>
      <x:c r="K196"/>
      <x:c r="L196"/>
      <x:c r="M196"/>
      <x:c r="N196"/>
      <x:c r="O196"/>
    </x:row>
    <x:row r="197">
      <x:c r="H197" s="46"/>
      <x:c r="I197" s="46"/>
      <x:c r="J197" s="48"/>
      <x:c r="K197"/>
      <x:c r="L197"/>
      <x:c r="M197"/>
      <x:c r="N197"/>
      <x:c r="O197"/>
    </x:row>
    <x:row r="198">
      <x:c r="H198" s="46"/>
      <x:c r="I198" s="46"/>
      <x:c r="J198" s="48"/>
      <x:c r="K198"/>
      <x:c r="L198"/>
      <x:c r="M198"/>
      <x:c r="N198"/>
      <x:c r="O198"/>
    </x:row>
    <x:row r="199">
      <x:c r="H199" s="46"/>
      <x:c r="I199" s="46"/>
      <x:c r="J199" s="48"/>
      <x:c r="K199"/>
      <x:c r="L199"/>
      <x:c r="M199"/>
      <x:c r="N199"/>
      <x:c r="O199"/>
    </x:row>
    <x:row r="200">
      <x:c r="H200" s="46"/>
      <x:c r="I200" s="46"/>
      <x:c r="J200" s="48"/>
      <x:c r="K200"/>
      <x:c r="L200"/>
      <x:c r="M200"/>
      <x:c r="N200"/>
      <x:c r="O200"/>
    </x:row>
    <x:row r="201">
      <x:c r="H201" s="46"/>
      <x:c r="I201" s="46"/>
      <x:c r="J201" s="48"/>
      <x:c r="K201"/>
      <x:c r="L201"/>
      <x:c r="M201"/>
      <x:c r="N201"/>
      <x:c r="O201"/>
    </x:row>
    <x:row r="202">
      <x:c r="H202" s="46"/>
      <x:c r="I202" s="46"/>
      <x:c r="J202" s="48"/>
      <x:c r="K202"/>
      <x:c r="L202"/>
      <x:c r="M202"/>
      <x:c r="N202"/>
      <x:c r="O202"/>
    </x:row>
    <x:row r="203">
      <x:c r="H203" s="46"/>
      <x:c r="I203" s="46"/>
      <x:c r="J203" s="48"/>
      <x:c r="K203"/>
      <x:c r="L203"/>
      <x:c r="M203"/>
      <x:c r="N203"/>
      <x:c r="O203"/>
    </x:row>
    <x:row r="204">
      <x:c r="H204" s="46"/>
      <x:c r="I204" s="46"/>
      <x:c r="J204" s="48"/>
      <x:c r="K204"/>
      <x:c r="L204"/>
      <x:c r="M204"/>
      <x:c r="N204"/>
      <x:c r="O204"/>
    </x:row>
    <x:row r="205">
      <x:c r="H205" s="46"/>
      <x:c r="I205" s="46"/>
      <x:c r="J205" s="48"/>
      <x:c r="K205"/>
      <x:c r="L205"/>
      <x:c r="M205"/>
      <x:c r="N205"/>
      <x:c r="O205"/>
    </x:row>
    <x:row r="206">
      <x:c r="H206" s="46"/>
      <x:c r="I206" s="46"/>
      <x:c r="J206" s="48"/>
      <x:c r="K206"/>
      <x:c r="L206"/>
      <x:c r="M206"/>
      <x:c r="N206"/>
      <x:c r="O206"/>
    </x:row>
    <x:row r="207">
      <x:c r="H207" s="46"/>
      <x:c r="I207" s="46"/>
      <x:c r="J207" s="48"/>
      <x:c r="K207"/>
      <x:c r="L207"/>
      <x:c r="M207"/>
      <x:c r="N207"/>
      <x:c r="O207"/>
    </x:row>
    <x:row r="208">
      <x:c r="H208" s="46"/>
      <x:c r="I208" s="46"/>
      <x:c r="J208" s="48"/>
      <x:c r="K208"/>
      <x:c r="L208"/>
      <x:c r="M208"/>
      <x:c r="N208"/>
      <x:c r="O208"/>
    </x:row>
    <x:row r="209">
      <x:c r="H209" s="46"/>
      <x:c r="I209" s="46"/>
      <x:c r="J209" s="48"/>
      <x:c r="K209"/>
      <x:c r="L209"/>
      <x:c r="M209"/>
      <x:c r="N209"/>
      <x:c r="O209"/>
    </x:row>
    <x:row r="210">
      <x:c r="H210" s="46"/>
      <x:c r="I210" s="46"/>
      <x:c r="J210" s="48"/>
      <x:c r="K210"/>
      <x:c r="L210"/>
      <x:c r="M210"/>
      <x:c r="N210"/>
      <x:c r="O210"/>
    </x:row>
    <x:row r="211">
      <x:c r="H211" s="46"/>
      <x:c r="I211" s="46"/>
      <x:c r="J211" s="48"/>
      <x:c r="K211"/>
      <x:c r="L211"/>
      <x:c r="M211"/>
      <x:c r="N211"/>
      <x:c r="O211"/>
    </x:row>
    <x:row r="212">
      <x:c r="H212" s="46"/>
      <x:c r="I212" s="46"/>
      <x:c r="J212" s="48"/>
      <x:c r="K212"/>
      <x:c r="L212"/>
      <x:c r="M212"/>
      <x:c r="N212"/>
      <x:c r="O212"/>
    </x:row>
    <x:row r="213">
      <x:c r="H213" s="46"/>
      <x:c r="I213" s="46"/>
      <x:c r="J213" s="48"/>
      <x:c r="K213"/>
      <x:c r="L213"/>
      <x:c r="M213"/>
      <x:c r="N213"/>
      <x:c r="O213"/>
    </x:row>
    <x:row r="214">
      <x:c r="H214" s="46"/>
      <x:c r="I214" s="46"/>
      <x:c r="J214" s="48"/>
      <x:c r="K214"/>
      <x:c r="L214"/>
      <x:c r="M214"/>
      <x:c r="N214"/>
      <x:c r="O214"/>
    </x:row>
    <x:row r="215">
      <x:c r="H215" s="46"/>
      <x:c r="I215" s="46"/>
      <x:c r="J215" s="48"/>
      <x:c r="K215"/>
      <x:c r="L215"/>
      <x:c r="M215"/>
      <x:c r="N215"/>
      <x:c r="O215"/>
    </x:row>
    <x:row r="216">
      <x:c r="H216" s="46"/>
      <x:c r="I216" s="46"/>
      <x:c r="J216" s="48"/>
      <x:c r="K216"/>
      <x:c r="L216"/>
      <x:c r="M216"/>
      <x:c r="N216"/>
      <x:c r="O216"/>
    </x:row>
    <x:row r="217">
      <x:c r="H217" s="46"/>
      <x:c r="I217" s="46"/>
      <x:c r="J217" s="48"/>
      <x:c r="K217"/>
      <x:c r="L217"/>
      <x:c r="M217"/>
      <x:c r="N217"/>
      <x:c r="O217"/>
    </x:row>
    <x:row r="218">
      <x:c r="H218" s="46"/>
      <x:c r="I218" s="46"/>
      <x:c r="J218" s="48"/>
      <x:c r="K218"/>
      <x:c r="L218"/>
      <x:c r="M218"/>
      <x:c r="N218"/>
      <x:c r="O218"/>
    </x:row>
    <x:row r="219">
      <x:c r="H219" s="46"/>
      <x:c r="I219" s="46"/>
      <x:c r="J219" s="48"/>
      <x:c r="K219"/>
      <x:c r="L219"/>
      <x:c r="M219"/>
      <x:c r="N219"/>
      <x:c r="O219"/>
    </x:row>
    <x:row r="220">
      <x:c r="H220" s="46"/>
      <x:c r="I220" s="46"/>
      <x:c r="J220" s="48"/>
      <x:c r="K220"/>
      <x:c r="L220"/>
      <x:c r="M220"/>
      <x:c r="N220"/>
      <x:c r="O220"/>
    </x:row>
    <x:row r="221">
      <x:c r="H221" s="46"/>
      <x:c r="I221" s="46"/>
      <x:c r="J221" s="48"/>
      <x:c r="K221"/>
      <x:c r="L221"/>
      <x:c r="M221"/>
      <x:c r="N221"/>
      <x:c r="O221"/>
    </x:row>
    <x:row r="222">
      <x:c r="H222" s="46"/>
      <x:c r="I222" s="46"/>
      <x:c r="J222" s="48"/>
      <x:c r="K222"/>
      <x:c r="L222"/>
      <x:c r="M222"/>
      <x:c r="N222"/>
      <x:c r="O222"/>
    </x:row>
    <x:row r="223">
      <x:c r="H223" s="46"/>
      <x:c r="I223" s="46"/>
      <x:c r="J223" s="48"/>
      <x:c r="K223"/>
      <x:c r="L223"/>
      <x:c r="M223"/>
      <x:c r="N223"/>
      <x:c r="O223"/>
    </x:row>
    <x:row r="224">
      <x:c r="H224" s="46"/>
      <x:c r="I224" s="46"/>
      <x:c r="J224" s="48"/>
      <x:c r="K224"/>
      <x:c r="L224"/>
      <x:c r="M224"/>
      <x:c r="N224"/>
      <x:c r="O224"/>
    </x:row>
    <x:row r="225">
      <x:c r="H225" s="46"/>
      <x:c r="I225" s="46"/>
      <x:c r="J225" s="48"/>
      <x:c r="K225"/>
      <x:c r="L225"/>
      <x:c r="M225"/>
      <x:c r="N225"/>
      <x:c r="O225"/>
    </x:row>
    <x:row r="226">
      <x:c r="H226" s="46"/>
      <x:c r="I226" s="46"/>
      <x:c r="J226" s="48"/>
      <x:c r="K226"/>
      <x:c r="L226"/>
      <x:c r="M226"/>
      <x:c r="N226"/>
      <x:c r="O226"/>
    </x:row>
    <x:row r="227">
      <x:c r="H227" s="46"/>
      <x:c r="I227" s="46"/>
      <x:c r="J227" s="48"/>
      <x:c r="K227"/>
      <x:c r="L227"/>
      <x:c r="M227"/>
      <x:c r="N227"/>
      <x:c r="O227"/>
    </x:row>
    <x:row r="228">
      <x:c r="H228" s="46"/>
      <x:c r="I228" s="46"/>
      <x:c r="J228" s="48"/>
      <x:c r="K228"/>
      <x:c r="L228"/>
      <x:c r="M228"/>
      <x:c r="N228"/>
      <x:c r="O228"/>
    </x:row>
    <x:row r="229">
      <x:c r="H229" s="46"/>
      <x:c r="I229" s="46"/>
      <x:c r="J229" s="48"/>
      <x:c r="K229"/>
      <x:c r="L229"/>
      <x:c r="M229"/>
      <x:c r="N229"/>
      <x:c r="O229"/>
    </x:row>
    <x:row r="230">
      <x:c r="H230" s="46"/>
      <x:c r="I230" s="46"/>
      <x:c r="J230" s="48"/>
      <x:c r="K230"/>
      <x:c r="L230"/>
      <x:c r="M230"/>
      <x:c r="N230"/>
      <x:c r="O230"/>
    </x:row>
    <x:row r="231">
      <x:c r="H231" s="46"/>
      <x:c r="I231" s="46"/>
      <x:c r="J231" s="48"/>
      <x:c r="K231"/>
      <x:c r="L231"/>
      <x:c r="M231"/>
      <x:c r="N231"/>
      <x:c r="O231"/>
    </x:row>
    <x:row r="232">
      <x:c r="H232" s="46"/>
      <x:c r="I232" s="46"/>
      <x:c r="J232" s="48"/>
      <x:c r="K232"/>
      <x:c r="L232"/>
      <x:c r="M232"/>
      <x:c r="N232"/>
      <x:c r="O232"/>
    </x:row>
    <x:row r="233">
      <x:c r="H233" s="46"/>
      <x:c r="I233" s="46"/>
      <x:c r="J233" s="48"/>
      <x:c r="K233"/>
      <x:c r="L233"/>
      <x:c r="M233"/>
      <x:c r="N233"/>
      <x:c r="O233"/>
    </x:row>
    <x:row r="234">
      <x:c r="H234" s="46"/>
      <x:c r="I234" s="46"/>
      <x:c r="J234" s="48"/>
      <x:c r="K234"/>
      <x:c r="L234"/>
      <x:c r="M234"/>
      <x:c r="N234"/>
      <x:c r="O234"/>
    </x:row>
    <x:row r="235">
      <x:c r="H235" s="46"/>
      <x:c r="I235" s="46"/>
      <x:c r="J235" s="48"/>
      <x:c r="K235"/>
      <x:c r="L235"/>
      <x:c r="M235"/>
      <x:c r="N235"/>
      <x:c r="O235"/>
    </x:row>
    <x:row r="236">
      <x:c r="H236" s="46"/>
      <x:c r="I236" s="46"/>
      <x:c r="J236" s="48"/>
      <x:c r="K236"/>
      <x:c r="L236"/>
      <x:c r="M236"/>
      <x:c r="N236"/>
      <x:c r="O236"/>
    </x:row>
    <x:row r="237">
      <x:c r="H237" s="46"/>
      <x:c r="I237" s="46"/>
      <x:c r="J237" s="48"/>
      <x:c r="K237"/>
      <x:c r="L237"/>
      <x:c r="M237"/>
      <x:c r="N237"/>
      <x:c r="O237"/>
    </x:row>
    <x:row r="238">
      <x:c r="H238" s="46"/>
      <x:c r="I238" s="46"/>
      <x:c r="J238" s="48"/>
      <x:c r="K238"/>
      <x:c r="L238"/>
      <x:c r="M238"/>
      <x:c r="N238"/>
      <x:c r="O238"/>
    </x:row>
    <x:row r="239">
      <x:c r="H239" s="46"/>
      <x:c r="I239" s="46"/>
      <x:c r="J239" s="48"/>
      <x:c r="K239"/>
      <x:c r="L239"/>
      <x:c r="M239"/>
      <x:c r="N239"/>
      <x:c r="O239"/>
    </x:row>
    <x:row r="240">
      <x:c r="H240" s="46"/>
      <x:c r="I240" s="46"/>
      <x:c r="J240" s="48"/>
      <x:c r="K240"/>
      <x:c r="L240"/>
      <x:c r="M240"/>
      <x:c r="N240"/>
      <x:c r="O240"/>
    </x:row>
    <x:row r="241">
      <x:c r="H241" s="46"/>
      <x:c r="I241" s="46"/>
      <x:c r="J241" s="48"/>
      <x:c r="K241"/>
      <x:c r="L241"/>
      <x:c r="M241"/>
      <x:c r="N241"/>
      <x:c r="O241"/>
    </x:row>
    <x:row r="242">
      <x:c r="H242" s="46"/>
      <x:c r="I242" s="46"/>
      <x:c r="J242" s="48"/>
      <x:c r="K242"/>
      <x:c r="L242"/>
      <x:c r="M242"/>
      <x:c r="N242"/>
      <x:c r="O242"/>
    </x:row>
    <x:row r="243">
      <x:c r="H243" s="46"/>
      <x:c r="I243" s="46"/>
      <x:c r="J243" s="48"/>
      <x:c r="K243"/>
      <x:c r="L243"/>
      <x:c r="M243"/>
      <x:c r="N243"/>
      <x:c r="O243"/>
    </x:row>
    <x:row r="244">
      <x:c r="H244" s="46"/>
      <x:c r="I244" s="46"/>
      <x:c r="J244" s="48"/>
      <x:c r="K244"/>
      <x:c r="L244"/>
      <x:c r="M244"/>
      <x:c r="N244"/>
      <x:c r="O244"/>
    </x:row>
    <x:row r="245">
      <x:c r="H245" s="46"/>
      <x:c r="I245" s="46"/>
      <x:c r="J245" s="48"/>
      <x:c r="K245"/>
      <x:c r="L245"/>
      <x:c r="M245"/>
      <x:c r="N245"/>
      <x:c r="O245"/>
    </x:row>
    <x:row r="246">
      <x:c r="H246" s="46"/>
      <x:c r="I246" s="46"/>
      <x:c r="J246" s="48"/>
      <x:c r="K246"/>
      <x:c r="L246"/>
      <x:c r="M246"/>
      <x:c r="N246"/>
      <x:c r="O246"/>
    </x:row>
    <x:row r="247">
      <x:c r="H247" s="46"/>
      <x:c r="I247" s="46"/>
      <x:c r="J247" s="48"/>
      <x:c r="K247"/>
      <x:c r="L247"/>
      <x:c r="M247"/>
      <x:c r="N247"/>
      <x:c r="O247"/>
    </x:row>
    <x:row r="248">
      <x:c r="H248" s="46"/>
      <x:c r="I248" s="46"/>
      <x:c r="J248" s="48"/>
      <x:c r="K248"/>
      <x:c r="L248"/>
      <x:c r="M248"/>
      <x:c r="N248"/>
      <x:c r="O248"/>
    </x:row>
    <x:row r="249">
      <x:c r="H249" s="46"/>
      <x:c r="I249" s="46"/>
      <x:c r="J249" s="48"/>
      <x:c r="K249"/>
      <x:c r="L249"/>
      <x:c r="M249"/>
      <x:c r="N249"/>
      <x:c r="O249"/>
    </x:row>
    <x:row r="250">
      <x:c r="H250" s="46"/>
      <x:c r="I250" s="46"/>
      <x:c r="J250" s="48"/>
      <x:c r="K250"/>
      <x:c r="L250"/>
      <x:c r="M250"/>
      <x:c r="N250"/>
      <x:c r="O250"/>
    </x:row>
    <x:row r="251">
      <x:c r="H251" s="46"/>
      <x:c r="I251" s="46"/>
      <x:c r="J251" s="48"/>
      <x:c r="K251"/>
      <x:c r="L251"/>
      <x:c r="M251"/>
      <x:c r="N251"/>
      <x:c r="O251"/>
    </x:row>
    <x:row r="252">
      <x:c r="H252" s="46"/>
      <x:c r="I252" s="46"/>
      <x:c r="J252" s="48"/>
      <x:c r="K252"/>
      <x:c r="L252"/>
      <x:c r="M252"/>
      <x:c r="N252"/>
      <x:c r="O252"/>
    </x:row>
    <x:row r="253">
      <x:c r="H253" s="46"/>
      <x:c r="I253" s="46"/>
      <x:c r="J253" s="48"/>
      <x:c r="K253"/>
      <x:c r="L253"/>
      <x:c r="M253"/>
      <x:c r="N253"/>
      <x:c r="O253"/>
    </x:row>
    <x:row r="254">
      <x:c r="H254" s="46"/>
      <x:c r="I254" s="46"/>
      <x:c r="J254" s="48"/>
      <x:c r="K254"/>
      <x:c r="L254"/>
      <x:c r="M254"/>
      <x:c r="N254"/>
      <x:c r="O254"/>
    </x:row>
    <x:row r="255">
      <x:c r="H255" s="46"/>
      <x:c r="I255" s="46"/>
      <x:c r="J255" s="48"/>
      <x:c r="K255"/>
      <x:c r="L255"/>
      <x:c r="M255"/>
      <x:c r="N255"/>
      <x:c r="O255"/>
    </x:row>
    <x:row r="256">
      <x:c r="H256" s="46"/>
      <x:c r="I256" s="46"/>
      <x:c r="J256" s="48"/>
      <x:c r="K256"/>
      <x:c r="L256"/>
      <x:c r="M256"/>
      <x:c r="N256"/>
      <x:c r="O256"/>
    </x:row>
    <x:row r="257">
      <x:c r="H257" s="46"/>
      <x:c r="I257" s="46"/>
      <x:c r="J257" s="48"/>
      <x:c r="K257"/>
      <x:c r="L257"/>
      <x:c r="M257"/>
      <x:c r="N257"/>
      <x:c r="O257"/>
    </x:row>
    <x:row r="258">
      <x:c r="H258" s="46"/>
      <x:c r="I258" s="46"/>
      <x:c r="J258" s="48"/>
      <x:c r="K258"/>
      <x:c r="L258"/>
      <x:c r="M258"/>
      <x:c r="N258"/>
      <x:c r="O258"/>
    </x:row>
    <x:row r="259">
      <x:c r="H259" s="46"/>
      <x:c r="I259" s="46"/>
      <x:c r="J259" s="48"/>
      <x:c r="K259"/>
      <x:c r="L259"/>
      <x:c r="M259"/>
      <x:c r="N259"/>
      <x:c r="O259"/>
    </x:row>
    <x:row r="260">
      <x:c r="H260" s="46"/>
      <x:c r="I260" s="46"/>
      <x:c r="J260" s="48"/>
      <x:c r="K260"/>
      <x:c r="L260"/>
      <x:c r="M260"/>
      <x:c r="N260"/>
      <x:c r="O260"/>
    </x:row>
    <x:row r="261">
      <x:c r="H261" s="46"/>
      <x:c r="I261" s="46"/>
      <x:c r="J261" s="48"/>
      <x:c r="K261"/>
      <x:c r="L261"/>
      <x:c r="M261"/>
      <x:c r="N261"/>
      <x:c r="O261"/>
    </x:row>
    <x:row r="262">
      <x:c r="H262" s="46"/>
      <x:c r="I262" s="46"/>
      <x:c r="J262" s="48"/>
      <x:c r="K262"/>
      <x:c r="L262"/>
      <x:c r="M262"/>
      <x:c r="N262"/>
      <x:c r="O262"/>
    </x:row>
    <x:row r="263">
      <x:c r="H263" s="46"/>
      <x:c r="I263" s="46"/>
      <x:c r="J263" s="48"/>
      <x:c r="K263"/>
      <x:c r="L263"/>
      <x:c r="M263"/>
      <x:c r="N263"/>
      <x:c r="O263"/>
    </x:row>
    <x:row r="264">
      <x:c r="H264" s="46"/>
      <x:c r="I264" s="46"/>
      <x:c r="J264" s="48"/>
      <x:c r="K264"/>
      <x:c r="L264"/>
      <x:c r="M264"/>
      <x:c r="N264"/>
      <x:c r="O264"/>
    </x:row>
    <x:row r="265">
      <x:c r="H265" s="46"/>
      <x:c r="I265" s="46"/>
      <x:c r="J265" s="48"/>
      <x:c r="K265"/>
      <x:c r="L265"/>
      <x:c r="M265"/>
      <x:c r="N265"/>
      <x:c r="O265"/>
    </x:row>
    <x:row r="266">
      <x:c r="H266" s="46"/>
      <x:c r="I266" s="46"/>
      <x:c r="J266" s="48"/>
      <x:c r="K266"/>
      <x:c r="L266"/>
      <x:c r="M266"/>
      <x:c r="N266"/>
      <x:c r="O266"/>
    </x:row>
    <x:row r="267">
      <x:c r="H267" s="46"/>
      <x:c r="I267" s="46"/>
      <x:c r="J267" s="48"/>
      <x:c r="K267"/>
      <x:c r="L267"/>
      <x:c r="M267"/>
      <x:c r="N267"/>
      <x:c r="O267"/>
    </x:row>
    <x:row r="268">
      <x:c r="H268" s="46"/>
      <x:c r="I268" s="46"/>
      <x:c r="J268" s="48"/>
      <x:c r="K268"/>
      <x:c r="L268"/>
      <x:c r="M268"/>
      <x:c r="N268"/>
      <x:c r="O268"/>
    </x:row>
    <x:row r="269">
      <x:c r="H269" s="46"/>
      <x:c r="I269" s="46"/>
      <x:c r="J269" s="48"/>
      <x:c r="K269"/>
      <x:c r="L269"/>
      <x:c r="M269"/>
      <x:c r="N269"/>
      <x:c r="O269"/>
    </x:row>
    <x:row r="270">
      <x:c r="H270" s="46"/>
      <x:c r="I270" s="46"/>
      <x:c r="J270" s="48"/>
      <x:c r="K270"/>
      <x:c r="L270"/>
      <x:c r="M270"/>
      <x:c r="N270"/>
      <x:c r="O270"/>
    </x:row>
    <x:row r="271">
      <x:c r="H271" s="46"/>
      <x:c r="I271" s="46"/>
      <x:c r="J271" s="48"/>
      <x:c r="K271"/>
      <x:c r="L271"/>
      <x:c r="M271"/>
      <x:c r="N271"/>
      <x:c r="O271"/>
    </x:row>
    <x:row r="272">
      <x:c r="H272" s="46"/>
      <x:c r="I272" s="46"/>
      <x:c r="J272" s="48"/>
      <x:c r="K272"/>
      <x:c r="L272"/>
      <x:c r="M272"/>
      <x:c r="N272"/>
      <x:c r="O272"/>
    </x:row>
    <x:row r="273">
      <x:c r="H273" s="46"/>
      <x:c r="I273" s="46"/>
      <x:c r="J273" s="48"/>
      <x:c r="K273"/>
      <x:c r="L273"/>
      <x:c r="M273"/>
      <x:c r="N273"/>
      <x:c r="O273"/>
    </x:row>
    <x:row r="274">
      <x:c r="H274" s="46"/>
      <x:c r="I274" s="46"/>
      <x:c r="J274" s="48"/>
      <x:c r="K274"/>
      <x:c r="L274"/>
      <x:c r="M274"/>
      <x:c r="N274"/>
      <x:c r="O274"/>
    </x:row>
    <x:row r="275">
      <x:c r="H275" s="46"/>
      <x:c r="I275" s="46"/>
      <x:c r="J275" s="48"/>
      <x:c r="K275"/>
      <x:c r="L275"/>
      <x:c r="M275"/>
      <x:c r="N275"/>
      <x:c r="O275"/>
    </x:row>
    <x:row r="276">
      <x:c r="H276" s="46"/>
      <x:c r="I276" s="46"/>
      <x:c r="J276" s="48"/>
      <x:c r="K276"/>
      <x:c r="L276"/>
      <x:c r="M276"/>
      <x:c r="N276"/>
      <x:c r="O276"/>
    </x:row>
    <x:row r="277">
      <x:c r="H277" s="46"/>
      <x:c r="I277" s="46"/>
      <x:c r="J277" s="48"/>
      <x:c r="K277"/>
      <x:c r="L277"/>
      <x:c r="M277"/>
      <x:c r="N277"/>
      <x:c r="O277"/>
    </x:row>
    <x:row r="278">
      <x:c r="H278" s="46"/>
      <x:c r="I278" s="46"/>
      <x:c r="J278" s="48"/>
      <x:c r="K278"/>
      <x:c r="L278"/>
      <x:c r="M278"/>
      <x:c r="N278"/>
      <x:c r="O278"/>
    </x:row>
    <x:row r="279">
      <x:c r="H279" s="46"/>
      <x:c r="I279" s="46"/>
      <x:c r="J279" s="48"/>
      <x:c r="K279"/>
      <x:c r="L279"/>
      <x:c r="M279"/>
      <x:c r="N279"/>
      <x:c r="O279"/>
    </x:row>
    <x:row r="280">
      <x:c r="H280" s="46"/>
      <x:c r="I280" s="46"/>
      <x:c r="J280" s="48"/>
      <x:c r="K280"/>
      <x:c r="L280"/>
      <x:c r="M280"/>
      <x:c r="N280"/>
      <x:c r="O280"/>
    </x:row>
    <x:row r="281">
      <x:c r="H281" s="46"/>
      <x:c r="I281" s="46"/>
      <x:c r="J281" s="48"/>
      <x:c r="K281"/>
      <x:c r="L281"/>
      <x:c r="M281"/>
      <x:c r="N281"/>
      <x:c r="O281"/>
    </x:row>
    <x:row r="282">
      <x:c r="H282" s="46"/>
      <x:c r="I282" s="46"/>
      <x:c r="J282" s="48"/>
      <x:c r="K282"/>
      <x:c r="L282"/>
      <x:c r="M282"/>
      <x:c r="N282"/>
      <x:c r="O282"/>
    </x:row>
    <x:row r="283">
      <x:c r="H283" s="46"/>
      <x:c r="I283" s="46"/>
      <x:c r="J283" s="48"/>
      <x:c r="K283"/>
      <x:c r="L283"/>
      <x:c r="M283"/>
      <x:c r="N283"/>
      <x:c r="O283"/>
    </x:row>
    <x:row r="284">
      <x:c r="H284" s="46"/>
      <x:c r="I284" s="46"/>
      <x:c r="J284" s="48"/>
      <x:c r="K284"/>
      <x:c r="L284"/>
      <x:c r="M284"/>
      <x:c r="N284"/>
      <x:c r="O284"/>
    </x:row>
    <x:row r="285">
      <x:c r="H285" s="46"/>
      <x:c r="I285" s="46"/>
      <x:c r="J285" s="48"/>
      <x:c r="K285"/>
      <x:c r="L285"/>
      <x:c r="M285"/>
      <x:c r="N285"/>
      <x:c r="O285"/>
    </x:row>
    <x:row r="286">
      <x:c r="H286" s="46"/>
      <x:c r="I286" s="46"/>
      <x:c r="J286" s="48"/>
      <x:c r="K286"/>
      <x:c r="L286"/>
      <x:c r="M286"/>
      <x:c r="N286"/>
      <x:c r="O286"/>
    </x:row>
    <x:row r="287">
      <x:c r="H287" s="46"/>
      <x:c r="I287" s="46"/>
      <x:c r="J287" s="48"/>
      <x:c r="K287"/>
      <x:c r="L287"/>
      <x:c r="M287"/>
      <x:c r="N287"/>
      <x:c r="O287"/>
    </x:row>
    <x:row r="288">
      <x:c r="H288" s="46"/>
      <x:c r="I288" s="46"/>
      <x:c r="J288" s="48"/>
      <x:c r="K288"/>
      <x:c r="L288"/>
      <x:c r="M288"/>
      <x:c r="N288"/>
      <x:c r="O288"/>
    </x:row>
    <x:row r="289">
      <x:c r="H289" s="46"/>
      <x:c r="I289" s="46"/>
      <x:c r="J289" s="48"/>
      <x:c r="K289"/>
      <x:c r="L289"/>
      <x:c r="M289"/>
      <x:c r="N289"/>
      <x:c r="O289"/>
    </x:row>
    <x:row r="290">
      <x:c r="H290" s="46"/>
      <x:c r="I290" s="46"/>
      <x:c r="J290" s="48"/>
      <x:c r="K290"/>
      <x:c r="L290"/>
      <x:c r="M290"/>
      <x:c r="N290"/>
      <x:c r="O290"/>
    </x:row>
    <x:row r="291">
      <x:c r="H291" s="46"/>
      <x:c r="I291" s="46"/>
      <x:c r="J291" s="48"/>
      <x:c r="K291"/>
      <x:c r="L291"/>
      <x:c r="M291"/>
      <x:c r="N291"/>
      <x:c r="O291"/>
    </x:row>
    <x:row r="292">
      <x:c r="H292" s="46"/>
      <x:c r="I292" s="46"/>
      <x:c r="J292" s="48"/>
      <x:c r="K292"/>
      <x:c r="L292"/>
      <x:c r="M292"/>
      <x:c r="N292"/>
      <x:c r="O292"/>
    </x:row>
    <x:row r="293">
      <x:c r="H293" s="46"/>
      <x:c r="I293" s="46"/>
      <x:c r="J293" s="48"/>
      <x:c r="K293"/>
      <x:c r="L293"/>
      <x:c r="M293"/>
      <x:c r="N293"/>
      <x:c r="O293"/>
    </x:row>
    <x:row r="294">
      <x:c r="H294" s="46"/>
      <x:c r="I294" s="46"/>
      <x:c r="J294" s="48"/>
      <x:c r="K294"/>
      <x:c r="L294"/>
      <x:c r="M294"/>
      <x:c r="N294"/>
      <x:c r="O294"/>
    </x:row>
    <x:row r="295">
      <x:c r="H295" s="46"/>
      <x:c r="I295" s="46"/>
      <x:c r="J295" s="48"/>
      <x:c r="K295"/>
      <x:c r="L295"/>
      <x:c r="M295"/>
      <x:c r="N295"/>
      <x:c r="O295"/>
    </x:row>
    <x:row r="296">
      <x:c r="H296" s="46"/>
      <x:c r="I296" s="46"/>
      <x:c r="J296" s="48"/>
      <x:c r="K296"/>
      <x:c r="L296"/>
      <x:c r="M296"/>
      <x:c r="N296"/>
      <x:c r="O296"/>
    </x:row>
    <x:row r="297">
      <x:c r="H297" s="46"/>
      <x:c r="I297" s="46"/>
      <x:c r="J297" s="48"/>
      <x:c r="K297"/>
      <x:c r="L297"/>
      <x:c r="M297"/>
      <x:c r="N297"/>
      <x:c r="O297"/>
    </x:row>
    <x:row r="298">
      <x:c r="H298" s="46"/>
      <x:c r="I298" s="46"/>
      <x:c r="J298" s="48"/>
      <x:c r="K298"/>
      <x:c r="L298"/>
      <x:c r="M298"/>
      <x:c r="N298"/>
      <x:c r="O298"/>
    </x:row>
    <x:row r="299">
      <x:c r="H299" s="46"/>
      <x:c r="I299" s="46"/>
      <x:c r="J299" s="48"/>
      <x:c r="K299"/>
      <x:c r="L299"/>
      <x:c r="M299"/>
      <x:c r="N299"/>
      <x:c r="O299"/>
    </x:row>
    <x:row r="300">
      <x:c r="H300" s="46"/>
      <x:c r="I300" s="46"/>
      <x:c r="J300" s="48"/>
      <x:c r="K300"/>
      <x:c r="L300"/>
      <x:c r="M300"/>
      <x:c r="N300"/>
      <x:c r="O300"/>
    </x:row>
    <x:row r="301">
      <x:c r="H301" s="46"/>
      <x:c r="I301" s="46"/>
      <x:c r="J301" s="48"/>
      <x:c r="K301"/>
      <x:c r="L301"/>
      <x:c r="M301"/>
      <x:c r="N301"/>
      <x:c r="O301"/>
    </x:row>
    <x:row r="302">
      <x:c r="H302" s="46"/>
      <x:c r="I302" s="46"/>
      <x:c r="J302" s="48"/>
      <x:c r="K302"/>
      <x:c r="L302"/>
      <x:c r="M302"/>
      <x:c r="N302"/>
      <x:c r="O302"/>
    </x:row>
    <x:row r="303">
      <x:c r="H303" s="46"/>
      <x:c r="I303" s="46"/>
      <x:c r="J303" s="48"/>
      <x:c r="K303"/>
      <x:c r="L303"/>
      <x:c r="M303"/>
      <x:c r="N303"/>
      <x:c r="O303"/>
    </x:row>
    <x:row r="304">
      <x:c r="H304" s="46"/>
      <x:c r="I304" s="46"/>
      <x:c r="J304" s="48"/>
      <x:c r="K304"/>
      <x:c r="L304"/>
      <x:c r="M304"/>
      <x:c r="N304"/>
      <x:c r="O304"/>
    </x:row>
    <x:row r="305">
      <x:c r="H305" s="46"/>
      <x:c r="I305" s="46"/>
      <x:c r="J305" s="48"/>
      <x:c r="K305"/>
      <x:c r="L305"/>
      <x:c r="M305"/>
      <x:c r="N305"/>
      <x:c r="O305"/>
    </x:row>
    <x:row r="306">
      <x:c r="H306" s="46"/>
      <x:c r="I306" s="46"/>
      <x:c r="J306" s="48"/>
      <x:c r="K306"/>
      <x:c r="L306"/>
      <x:c r="M306"/>
      <x:c r="N306"/>
      <x:c r="O306"/>
    </x:row>
    <x:row r="307">
      <x:c r="H307" s="46"/>
      <x:c r="I307" s="46"/>
      <x:c r="J307" s="48"/>
      <x:c r="K307"/>
      <x:c r="L307"/>
      <x:c r="M307"/>
      <x:c r="N307"/>
      <x:c r="O307"/>
    </x:row>
    <x:row r="308">
      <x:c r="H308" s="46"/>
      <x:c r="I308" s="46"/>
      <x:c r="J308" s="48"/>
      <x:c r="K308"/>
      <x:c r="L308"/>
      <x:c r="M308"/>
      <x:c r="N308"/>
      <x:c r="O308"/>
    </x:row>
    <x:row r="309">
      <x:c r="H309" s="46"/>
      <x:c r="I309" s="46"/>
      <x:c r="J309" s="48"/>
      <x:c r="K309"/>
      <x:c r="L309"/>
      <x:c r="M309"/>
      <x:c r="N309"/>
      <x:c r="O309"/>
    </x:row>
    <x:row r="310">
      <x:c r="H310" s="46"/>
      <x:c r="I310" s="46"/>
      <x:c r="J310" s="48"/>
      <x:c r="K310"/>
      <x:c r="L310"/>
      <x:c r="M310"/>
      <x:c r="N310"/>
      <x:c r="O310"/>
    </x:row>
    <x:row r="311">
      <x:c r="H311" s="46"/>
      <x:c r="I311" s="46"/>
      <x:c r="J311" s="48"/>
      <x:c r="K311"/>
      <x:c r="L311"/>
      <x:c r="M311"/>
      <x:c r="N311"/>
      <x:c r="O311"/>
    </x:row>
    <x:row r="312">
      <x:c r="H312" s="46"/>
      <x:c r="I312" s="46"/>
      <x:c r="J312" s="48"/>
      <x:c r="K312"/>
      <x:c r="L312"/>
      <x:c r="M312"/>
      <x:c r="N312"/>
      <x:c r="O312"/>
    </x:row>
    <x:row r="313">
      <x:c r="H313" s="46"/>
      <x:c r="I313" s="46"/>
      <x:c r="J313" s="48"/>
      <x:c r="K313"/>
      <x:c r="L313"/>
      <x:c r="M313"/>
      <x:c r="N313"/>
      <x:c r="O313"/>
    </x:row>
    <x:row r="314">
      <x:c r="H314" s="46"/>
      <x:c r="I314" s="46"/>
      <x:c r="J314" s="48"/>
      <x:c r="K314"/>
      <x:c r="L314"/>
      <x:c r="M314"/>
      <x:c r="N314"/>
      <x:c r="O314"/>
    </x:row>
    <x:row r="315">
      <x:c r="H315" s="46"/>
      <x:c r="I315" s="46"/>
      <x:c r="J315" s="48"/>
      <x:c r="K315"/>
      <x:c r="L315"/>
      <x:c r="M315"/>
      <x:c r="N315"/>
      <x:c r="O315"/>
    </x:row>
    <x:row r="316">
      <x:c r="H316" s="46"/>
      <x:c r="I316" s="46"/>
      <x:c r="J316" s="48"/>
      <x:c r="K316"/>
      <x:c r="L316"/>
      <x:c r="M316"/>
      <x:c r="N316"/>
      <x:c r="O316"/>
    </x:row>
    <x:row r="317">
      <x:c r="H317" s="46"/>
      <x:c r="I317" s="46"/>
      <x:c r="J317" s="48"/>
      <x:c r="K317"/>
      <x:c r="L317"/>
      <x:c r="M317"/>
      <x:c r="N317"/>
      <x:c r="O317"/>
    </x:row>
    <x:row r="318">
      <x:c r="H318" s="46"/>
      <x:c r="I318" s="46"/>
      <x:c r="J318" s="48"/>
      <x:c r="K318"/>
      <x:c r="L318"/>
      <x:c r="M318"/>
      <x:c r="N318"/>
      <x:c r="O318"/>
    </x:row>
    <x:row r="319">
      <x:c r="H319" s="46"/>
      <x:c r="I319" s="46"/>
      <x:c r="J319" s="48"/>
      <x:c r="K319"/>
      <x:c r="L319"/>
      <x:c r="M319"/>
      <x:c r="N319"/>
      <x:c r="O319"/>
    </x:row>
    <x:row r="320">
      <x:c r="H320" s="46"/>
      <x:c r="I320" s="46"/>
      <x:c r="J320" s="48"/>
      <x:c r="K320"/>
      <x:c r="L320"/>
      <x:c r="M320"/>
      <x:c r="N320"/>
      <x:c r="O320"/>
    </x:row>
    <x:row r="321">
      <x:c r="H321" s="46"/>
      <x:c r="I321" s="46"/>
      <x:c r="J321" s="48"/>
      <x:c r="K321"/>
      <x:c r="L321"/>
      <x:c r="M321"/>
      <x:c r="N321"/>
      <x:c r="O321"/>
    </x:row>
    <x:row r="322">
      <x:c r="H322" s="46"/>
      <x:c r="I322" s="46"/>
      <x:c r="J322" s="48"/>
      <x:c r="K322"/>
      <x:c r="L322"/>
      <x:c r="M322"/>
      <x:c r="N322"/>
      <x:c r="O322"/>
    </x:row>
    <x:row r="323">
      <x:c r="H323" s="46"/>
      <x:c r="I323" s="46"/>
      <x:c r="J323" s="48"/>
      <x:c r="K323"/>
      <x:c r="L323"/>
      <x:c r="M323"/>
      <x:c r="N323"/>
      <x:c r="O323"/>
    </x:row>
    <x:row r="324">
      <x:c r="H324" s="46"/>
      <x:c r="I324" s="46"/>
      <x:c r="J324" s="48"/>
      <x:c r="K324"/>
      <x:c r="L324"/>
      <x:c r="M324"/>
      <x:c r="N324"/>
      <x:c r="O324"/>
    </x:row>
    <x:row r="325">
      <x:c r="H325" s="46"/>
      <x:c r="I325" s="46"/>
      <x:c r="J325" s="48"/>
      <x:c r="K325"/>
      <x:c r="L325"/>
      <x:c r="M325"/>
      <x:c r="N325"/>
      <x:c r="O325"/>
    </x:row>
    <x:row r="326">
      <x:c r="H326" s="46"/>
      <x:c r="I326" s="46"/>
      <x:c r="J326" s="48"/>
      <x:c r="K326"/>
      <x:c r="L326"/>
      <x:c r="M326"/>
      <x:c r="N326"/>
      <x:c r="O326"/>
    </x:row>
    <x:row r="327">
      <x:c r="H327" s="46"/>
      <x:c r="I327" s="46"/>
      <x:c r="J327" s="48"/>
      <x:c r="K327"/>
      <x:c r="L327"/>
      <x:c r="M327"/>
      <x:c r="N327"/>
      <x:c r="O327"/>
    </x:row>
    <x:row r="328">
      <x:c r="H328" s="46"/>
      <x:c r="I328" s="46"/>
      <x:c r="J328" s="48"/>
      <x:c r="K328"/>
      <x:c r="L328"/>
      <x:c r="M328"/>
      <x:c r="N328"/>
      <x:c r="O328"/>
    </x:row>
    <x:row r="329">
      <x:c r="H329" s="46"/>
      <x:c r="I329" s="46"/>
      <x:c r="J329" s="48"/>
      <x:c r="K329"/>
      <x:c r="L329"/>
      <x:c r="M329"/>
      <x:c r="N329"/>
      <x:c r="O329"/>
    </x:row>
    <x:row r="330">
      <x:c r="H330" s="46"/>
      <x:c r="I330" s="46"/>
      <x:c r="J330" s="48"/>
      <x:c r="K330"/>
      <x:c r="L330"/>
      <x:c r="M330"/>
      <x:c r="N330"/>
      <x:c r="O330"/>
    </x:row>
    <x:row r="331">
      <x:c r="H331" s="46"/>
      <x:c r="I331" s="46"/>
      <x:c r="J331" s="48"/>
      <x:c r="K331"/>
      <x:c r="L331"/>
      <x:c r="M331"/>
      <x:c r="N331"/>
      <x:c r="O331"/>
    </x:row>
    <x:row r="332">
      <x:c r="H332" s="46"/>
      <x:c r="I332" s="46"/>
      <x:c r="J332" s="48"/>
      <x:c r="K332"/>
      <x:c r="L332"/>
      <x:c r="M332"/>
      <x:c r="N332"/>
      <x:c r="O332"/>
    </x:row>
    <x:row r="333">
      <x:c r="H333" s="46"/>
      <x:c r="I333" s="46"/>
      <x:c r="J333" s="48"/>
      <x:c r="K333"/>
      <x:c r="L333"/>
      <x:c r="M333"/>
      <x:c r="N333"/>
      <x:c r="O333"/>
    </x:row>
    <x:row r="334">
      <x:c r="H334" s="46"/>
      <x:c r="I334" s="46"/>
      <x:c r="J334" s="48"/>
      <x:c r="K334"/>
      <x:c r="L334"/>
      <x:c r="M334"/>
      <x:c r="N334"/>
      <x:c r="O334"/>
    </x:row>
    <x:row r="335">
      <x:c r="H335" s="46"/>
      <x:c r="I335" s="46"/>
      <x:c r="J335" s="48"/>
      <x:c r="K335"/>
      <x:c r="L335"/>
      <x:c r="M335"/>
      <x:c r="N335"/>
      <x:c r="O335"/>
    </x:row>
    <x:row r="336">
      <x:c r="H336" s="46"/>
      <x:c r="I336" s="46"/>
      <x:c r="J336" s="48"/>
      <x:c r="K336"/>
      <x:c r="L336"/>
      <x:c r="M336"/>
      <x:c r="N336"/>
      <x:c r="O336"/>
    </x:row>
    <x:row r="337">
      <x:c r="H337" s="46"/>
      <x:c r="I337" s="46"/>
      <x:c r="J337" s="48"/>
      <x:c r="K337"/>
      <x:c r="L337"/>
      <x:c r="M337"/>
      <x:c r="N337"/>
      <x:c r="O337"/>
    </x:row>
    <x:row r="338">
      <x:c r="H338" s="46"/>
      <x:c r="I338" s="46"/>
      <x:c r="J338" s="48"/>
      <x:c r="K338"/>
      <x:c r="L338"/>
      <x:c r="M338"/>
      <x:c r="N338"/>
      <x:c r="O338"/>
    </x:row>
    <x:row r="339">
      <x:c r="H339" s="46"/>
      <x:c r="I339" s="46"/>
      <x:c r="J339" s="48"/>
      <x:c r="K339"/>
      <x:c r="L339"/>
      <x:c r="M339"/>
      <x:c r="N339"/>
      <x:c r="O339"/>
    </x:row>
    <x:row r="340">
      <x:c r="H340" s="46"/>
      <x:c r="I340" s="46"/>
      <x:c r="J340" s="48"/>
      <x:c r="K340"/>
      <x:c r="L340"/>
      <x:c r="M340"/>
      <x:c r="N340"/>
      <x:c r="O340"/>
    </x:row>
    <x:row r="341">
      <x:c r="H341" s="46"/>
      <x:c r="I341" s="46"/>
      <x:c r="J341" s="48"/>
      <x:c r="K341"/>
      <x:c r="L341"/>
      <x:c r="M341"/>
      <x:c r="N341"/>
      <x:c r="O341"/>
    </x:row>
    <x:row r="342">
      <x:c r="H342" s="46"/>
      <x:c r="I342" s="46"/>
      <x:c r="J342" s="48"/>
      <x:c r="K342"/>
      <x:c r="L342"/>
      <x:c r="M342"/>
      <x:c r="N342"/>
      <x:c r="O342"/>
    </x:row>
    <x:row r="343">
      <x:c r="H343" s="46"/>
      <x:c r="I343" s="46"/>
      <x:c r="J343" s="48"/>
      <x:c r="K343"/>
      <x:c r="L343"/>
      <x:c r="M343"/>
      <x:c r="N343"/>
      <x:c r="O343"/>
    </x:row>
    <x:row r="344">
      <x:c r="H344" s="46"/>
      <x:c r="I344" s="46"/>
      <x:c r="J344" s="48"/>
      <x:c r="K344"/>
      <x:c r="L344"/>
      <x:c r="M344"/>
      <x:c r="N344"/>
      <x:c r="O344"/>
    </x:row>
    <x:row r="345">
      <x:c r="H345" s="46"/>
      <x:c r="I345" s="46"/>
      <x:c r="J345" s="48"/>
      <x:c r="K345"/>
      <x:c r="L345"/>
      <x:c r="M345"/>
      <x:c r="N345"/>
      <x:c r="O345"/>
    </x:row>
    <x:row r="346">
      <x:c r="H346" s="46"/>
      <x:c r="I346" s="46"/>
      <x:c r="J346" s="48"/>
      <x:c r="K346"/>
      <x:c r="L346"/>
      <x:c r="M346"/>
      <x:c r="N346"/>
      <x:c r="O346"/>
    </x:row>
    <x:row r="347">
      <x:c r="H347" s="46"/>
      <x:c r="I347" s="46"/>
      <x:c r="J347" s="48"/>
      <x:c r="K347"/>
      <x:c r="L347"/>
      <x:c r="M347"/>
      <x:c r="N347"/>
      <x:c r="O347"/>
    </x:row>
    <x:row r="348">
      <x:c r="H348" s="46"/>
      <x:c r="I348" s="46"/>
      <x:c r="J348" s="48"/>
      <x:c r="K348"/>
      <x:c r="L348"/>
      <x:c r="M348"/>
      <x:c r="N348"/>
      <x:c r="O348"/>
    </x:row>
    <x:row r="349">
      <x:c r="H349" s="46"/>
      <x:c r="I349" s="46"/>
      <x:c r="J349" s="48"/>
      <x:c r="K349"/>
      <x:c r="L349"/>
      <x:c r="M349"/>
      <x:c r="N349"/>
      <x:c r="O349"/>
    </x:row>
    <x:row r="350">
      <x:c r="H350" s="46"/>
      <x:c r="I350" s="46"/>
      <x:c r="J350" s="48"/>
      <x:c r="K350"/>
      <x:c r="L350"/>
      <x:c r="M350"/>
      <x:c r="N350"/>
      <x:c r="O350"/>
    </x:row>
    <x:row r="351">
      <x:c r="H351" s="46"/>
      <x:c r="I351" s="46"/>
      <x:c r="J351" s="48"/>
      <x:c r="K351"/>
      <x:c r="L351"/>
      <x:c r="M351"/>
      <x:c r="N351"/>
      <x:c r="O351"/>
    </x:row>
    <x:row r="352">
      <x:c r="H352" s="46"/>
      <x:c r="I352" s="46"/>
      <x:c r="J352" s="48"/>
      <x:c r="K352"/>
      <x:c r="L352"/>
      <x:c r="M352"/>
      <x:c r="N352"/>
      <x:c r="O352"/>
    </x:row>
    <x:row r="353">
      <x:c r="H353" s="46"/>
      <x:c r="I353" s="46"/>
      <x:c r="J353" s="48"/>
      <x:c r="K353"/>
      <x:c r="L353"/>
      <x:c r="M353"/>
      <x:c r="N353"/>
      <x:c r="O353"/>
    </x:row>
    <x:row r="354">
      <x:c r="H354" s="46"/>
      <x:c r="I354" s="46"/>
      <x:c r="J354" s="48"/>
      <x:c r="K354"/>
      <x:c r="L354"/>
      <x:c r="M354"/>
      <x:c r="N354"/>
      <x:c r="O354"/>
    </x:row>
    <x:row r="355">
      <x:c r="H355" s="46"/>
      <x:c r="I355" s="46"/>
      <x:c r="J355" s="48"/>
      <x:c r="K355"/>
      <x:c r="L355"/>
      <x:c r="M355"/>
      <x:c r="N355"/>
      <x:c r="O355"/>
    </x:row>
    <x:row r="356">
      <x:c r="H356" s="46"/>
      <x:c r="I356" s="46"/>
      <x:c r="J356" s="48"/>
      <x:c r="K356"/>
      <x:c r="L356"/>
      <x:c r="M356"/>
      <x:c r="N356"/>
      <x:c r="O356"/>
    </x:row>
    <x:row r="357">
      <x:c r="H357" s="46"/>
      <x:c r="I357" s="46"/>
      <x:c r="J357" s="48"/>
      <x:c r="K357"/>
      <x:c r="L357"/>
      <x:c r="M357"/>
      <x:c r="N357"/>
      <x:c r="O357"/>
    </x:row>
    <x:row r="358">
      <x:c r="H358" s="46"/>
      <x:c r="I358" s="46"/>
      <x:c r="J358" s="48"/>
      <x:c r="K358"/>
      <x:c r="L358"/>
      <x:c r="M358"/>
      <x:c r="N358"/>
      <x:c r="O358"/>
    </x:row>
    <x:row r="359">
      <x:c r="H359" s="46"/>
      <x:c r="I359" s="46"/>
      <x:c r="J359" s="48"/>
      <x:c r="K359"/>
      <x:c r="L359"/>
      <x:c r="M359"/>
      <x:c r="N359"/>
      <x:c r="O359"/>
    </x:row>
    <x:row r="360">
      <x:c r="H360" s="46"/>
      <x:c r="I360" s="46"/>
      <x:c r="J360" s="48"/>
      <x:c r="K360"/>
      <x:c r="L360"/>
      <x:c r="M360"/>
      <x:c r="N360"/>
      <x:c r="O360"/>
    </x:row>
    <x:row r="361">
      <x:c r="H361" s="46"/>
      <x:c r="I361" s="46"/>
      <x:c r="J361" s="48"/>
      <x:c r="K361"/>
      <x:c r="L361"/>
      <x:c r="M361"/>
      <x:c r="N361"/>
      <x:c r="O361"/>
    </x:row>
    <x:row r="362">
      <x:c r="H362" s="46"/>
      <x:c r="I362" s="46"/>
      <x:c r="J362" s="48"/>
      <x:c r="K362"/>
      <x:c r="L362"/>
      <x:c r="M362"/>
      <x:c r="N362"/>
      <x:c r="O362"/>
    </x:row>
    <x:row r="363">
      <x:c r="H363" s="46"/>
      <x:c r="I363" s="46"/>
      <x:c r="J363" s="48"/>
      <x:c r="K363"/>
      <x:c r="L363"/>
      <x:c r="M363"/>
      <x:c r="N363"/>
      <x:c r="O363"/>
    </x:row>
    <x:row r="364">
      <x:c r="H364" s="46"/>
      <x:c r="I364" s="46"/>
      <x:c r="J364" s="48"/>
      <x:c r="K364"/>
      <x:c r="L364"/>
      <x:c r="M364"/>
      <x:c r="N364"/>
      <x:c r="O364"/>
    </x:row>
    <x:row r="365">
      <x:c r="H365" s="46"/>
      <x:c r="I365" s="46"/>
      <x:c r="J365" s="48"/>
      <x:c r="K365"/>
      <x:c r="L365"/>
      <x:c r="M365"/>
      <x:c r="N365"/>
      <x:c r="O365"/>
    </x:row>
    <x:row r="366">
      <x:c r="H366" s="46"/>
      <x:c r="I366" s="46"/>
      <x:c r="J366" s="48"/>
      <x:c r="K366"/>
      <x:c r="L366"/>
      <x:c r="M366"/>
      <x:c r="N366"/>
      <x:c r="O366"/>
    </x:row>
    <x:row r="367">
      <x:c r="H367" s="46"/>
      <x:c r="I367" s="46"/>
      <x:c r="J367" s="48"/>
      <x:c r="K367"/>
      <x:c r="L367"/>
      <x:c r="M367"/>
      <x:c r="N367"/>
      <x:c r="O367"/>
    </x:row>
    <x:row r="368">
      <x:c r="H368" s="46"/>
      <x:c r="I368" s="46"/>
      <x:c r="J368" s="48"/>
      <x:c r="K368"/>
      <x:c r="L368"/>
      <x:c r="M368"/>
      <x:c r="N368"/>
      <x:c r="O368"/>
    </x:row>
    <x:row r="369">
      <x:c r="H369" s="46"/>
      <x:c r="I369" s="46"/>
      <x:c r="J369" s="48"/>
      <x:c r="K369"/>
      <x:c r="L369"/>
      <x:c r="M369"/>
      <x:c r="N369"/>
      <x:c r="O369"/>
    </x:row>
    <x:row r="370">
      <x:c r="H370" s="46"/>
      <x:c r="I370" s="46"/>
      <x:c r="J370" s="48"/>
      <x:c r="K370"/>
      <x:c r="L370"/>
      <x:c r="M370"/>
      <x:c r="N370"/>
      <x:c r="O370"/>
    </x:row>
    <x:row r="371">
      <x:c r="H371" s="46"/>
      <x:c r="I371" s="46"/>
      <x:c r="J371" s="48"/>
      <x:c r="K371"/>
      <x:c r="L371"/>
      <x:c r="M371"/>
      <x:c r="N371"/>
      <x:c r="O371"/>
    </x:row>
    <x:row r="372">
      <x:c r="H372" s="46"/>
      <x:c r="I372" s="46"/>
      <x:c r="J372" s="48"/>
      <x:c r="K372"/>
      <x:c r="L372"/>
      <x:c r="M372"/>
      <x:c r="N372"/>
      <x:c r="O372"/>
    </x:row>
    <x:row r="373">
      <x:c r="H373" s="46"/>
      <x:c r="I373" s="46"/>
      <x:c r="J373" s="48"/>
      <x:c r="K373"/>
      <x:c r="L373"/>
      <x:c r="M373"/>
      <x:c r="N373"/>
      <x:c r="O373"/>
    </x:row>
    <x:row r="374">
      <x:c r="H374" s="46"/>
      <x:c r="I374" s="46"/>
      <x:c r="J374" s="48"/>
      <x:c r="K374"/>
      <x:c r="L374"/>
      <x:c r="M374"/>
      <x:c r="N374"/>
      <x:c r="O374"/>
    </x:row>
    <x:row r="375">
      <x:c r="H375" s="46"/>
      <x:c r="I375" s="46"/>
      <x:c r="J375" s="48"/>
      <x:c r="K375"/>
      <x:c r="L375"/>
      <x:c r="M375"/>
      <x:c r="N375"/>
      <x:c r="O375"/>
    </x:row>
    <x:row r="376">
      <x:c r="H376" s="46"/>
      <x:c r="I376" s="46"/>
      <x:c r="J376" s="48"/>
      <x:c r="K376"/>
      <x:c r="L376"/>
      <x:c r="M376"/>
      <x:c r="N376"/>
      <x:c r="O376"/>
    </x:row>
    <x:row r="377">
      <x:c r="H377" s="46"/>
      <x:c r="I377" s="46"/>
      <x:c r="J377" s="48"/>
      <x:c r="K377"/>
      <x:c r="L377"/>
      <x:c r="M377"/>
      <x:c r="N377"/>
      <x:c r="O377"/>
    </x:row>
    <x:row r="378">
      <x:c r="H378" s="46"/>
      <x:c r="I378" s="46"/>
      <x:c r="J378" s="48"/>
      <x:c r="K378"/>
      <x:c r="L378"/>
      <x:c r="M378"/>
      <x:c r="N378"/>
      <x:c r="O378"/>
    </x:row>
    <x:row r="379">
      <x:c r="H379" s="46"/>
      <x:c r="I379" s="46"/>
      <x:c r="J379" s="48"/>
      <x:c r="K379"/>
      <x:c r="L379"/>
      <x:c r="M379"/>
      <x:c r="N379"/>
      <x:c r="O379"/>
    </x:row>
    <x:row r="380">
      <x:c r="H380" s="46"/>
      <x:c r="I380" s="46"/>
      <x:c r="J380" s="48"/>
      <x:c r="K380"/>
      <x:c r="L380"/>
      <x:c r="M380"/>
      <x:c r="N380"/>
      <x:c r="O380"/>
    </x:row>
    <x:row r="381">
      <x:c r="H381" s="46"/>
      <x:c r="I381" s="46"/>
      <x:c r="J381" s="48"/>
      <x:c r="K381"/>
      <x:c r="L381"/>
      <x:c r="M381"/>
      <x:c r="N381"/>
      <x:c r="O381"/>
    </x:row>
    <x:row r="382">
      <x:c r="H382" s="46"/>
      <x:c r="I382" s="46"/>
      <x:c r="J382" s="48"/>
      <x:c r="K382"/>
      <x:c r="L382"/>
      <x:c r="M382"/>
      <x:c r="N382"/>
      <x:c r="O382"/>
    </x:row>
    <x:row r="383">
      <x:c r="H383" s="46"/>
      <x:c r="I383" s="46"/>
      <x:c r="J383" s="48"/>
      <x:c r="K383"/>
      <x:c r="L383"/>
      <x:c r="M383"/>
      <x:c r="N383"/>
      <x:c r="O383"/>
    </x:row>
    <x:row r="384">
      <x:c r="H384" s="46"/>
      <x:c r="I384" s="46"/>
      <x:c r="J384" s="48"/>
      <x:c r="K384"/>
      <x:c r="L384"/>
      <x:c r="M384"/>
      <x:c r="N384"/>
      <x:c r="O384"/>
    </x:row>
    <x:row r="385">
      <x:c r="H385" s="46"/>
      <x:c r="I385" s="46"/>
      <x:c r="J385" s="48"/>
      <x:c r="K385"/>
      <x:c r="L385"/>
      <x:c r="M385"/>
      <x:c r="N385"/>
      <x:c r="O385"/>
    </x:row>
    <x:row r="386">
      <x:c r="H386" s="46"/>
      <x:c r="I386" s="46"/>
      <x:c r="J386" s="48"/>
      <x:c r="K386"/>
      <x:c r="L386"/>
      <x:c r="M386"/>
      <x:c r="N386"/>
      <x:c r="O386"/>
    </x:row>
    <x:row r="387">
      <x:c r="H387" s="46"/>
      <x:c r="I387" s="46"/>
      <x:c r="J387" s="48"/>
      <x:c r="K387"/>
      <x:c r="L387"/>
      <x:c r="M387"/>
      <x:c r="N387"/>
      <x:c r="O387"/>
    </x:row>
    <x:row r="388">
      <x:c r="H388" s="46"/>
      <x:c r="I388" s="46"/>
      <x:c r="J388" s="48"/>
      <x:c r="K388"/>
      <x:c r="L388"/>
      <x:c r="M388"/>
      <x:c r="N388"/>
      <x:c r="O388"/>
    </x:row>
    <x:row r="389">
      <x:c r="H389" s="46"/>
      <x:c r="I389" s="46"/>
      <x:c r="J389" s="48"/>
      <x:c r="K389"/>
      <x:c r="L389"/>
      <x:c r="M389"/>
      <x:c r="N389"/>
      <x:c r="O389"/>
    </x:row>
    <x:row r="390">
      <x:c r="H390" s="46"/>
      <x:c r="I390" s="46"/>
      <x:c r="J390" s="48"/>
      <x:c r="K390"/>
      <x:c r="L390"/>
      <x:c r="M390"/>
      <x:c r="N390"/>
      <x:c r="O390"/>
    </x:row>
    <x:row r="391">
      <x:c r="H391" s="46"/>
      <x:c r="I391" s="46"/>
      <x:c r="J391" s="48"/>
      <x:c r="K391"/>
      <x:c r="L391"/>
      <x:c r="M391"/>
      <x:c r="N391"/>
      <x:c r="O391"/>
    </x:row>
    <x:row r="392">
      <x:c r="H392" s="46"/>
      <x:c r="I392" s="46"/>
      <x:c r="J392" s="48"/>
      <x:c r="K392"/>
      <x:c r="L392"/>
      <x:c r="M392"/>
      <x:c r="N392"/>
      <x:c r="O392"/>
    </x:row>
    <x:row r="393">
      <x:c r="H393" s="46"/>
      <x:c r="I393" s="46"/>
      <x:c r="J393" s="48"/>
      <x:c r="K393"/>
      <x:c r="L393"/>
      <x:c r="M393"/>
      <x:c r="N393"/>
      <x:c r="O393"/>
    </x:row>
    <x:row r="394">
      <x:c r="H394" s="46"/>
      <x:c r="I394" s="46"/>
      <x:c r="J394" s="48"/>
      <x:c r="K394"/>
      <x:c r="L394"/>
      <x:c r="M394"/>
      <x:c r="N394"/>
      <x:c r="O394"/>
    </x:row>
    <x:row r="395">
      <x:c r="H395" s="46"/>
      <x:c r="I395" s="46"/>
      <x:c r="J395" s="48"/>
      <x:c r="K395"/>
      <x:c r="L395"/>
      <x:c r="M395"/>
      <x:c r="N395"/>
      <x:c r="O395"/>
    </x:row>
    <x:row r="396">
      <x:c r="H396" s="46"/>
      <x:c r="I396" s="46"/>
      <x:c r="J396" s="48"/>
      <x:c r="K396"/>
      <x:c r="L396"/>
      <x:c r="M396"/>
      <x:c r="N396"/>
      <x:c r="O396"/>
    </x:row>
    <x:row r="397">
      <x:c r="H397" s="46"/>
      <x:c r="I397" s="46"/>
      <x:c r="J397" s="48"/>
      <x:c r="K397"/>
      <x:c r="L397"/>
      <x:c r="M397"/>
      <x:c r="N397"/>
      <x:c r="O397"/>
    </x:row>
    <x:row r="398">
      <x:c r="H398" s="46"/>
      <x:c r="I398" s="46"/>
      <x:c r="J398" s="48"/>
      <x:c r="K398"/>
      <x:c r="L398"/>
      <x:c r="M398"/>
      <x:c r="N398"/>
      <x:c r="O398"/>
    </x:row>
    <x:row r="399">
      <x:c r="H399" s="46"/>
      <x:c r="I399" s="46"/>
      <x:c r="J399" s="48"/>
      <x:c r="K399"/>
      <x:c r="L399"/>
      <x:c r="M399"/>
      <x:c r="N399"/>
      <x:c r="O399"/>
    </x:row>
    <x:row r="400">
      <x:c r="H400" s="46"/>
      <x:c r="I400" s="46"/>
      <x:c r="J400" s="48"/>
      <x:c r="K400"/>
      <x:c r="L400"/>
      <x:c r="M400"/>
      <x:c r="N400"/>
      <x:c r="O400"/>
    </x:row>
    <x:row r="401">
      <x:c r="H401" s="46"/>
      <x:c r="I401" s="46"/>
      <x:c r="J401" s="48"/>
      <x:c r="K401"/>
      <x:c r="L401"/>
      <x:c r="M401"/>
      <x:c r="N401"/>
      <x:c r="O401"/>
    </x:row>
    <x:row r="402">
      <x:c r="H402" s="46"/>
      <x:c r="I402" s="46"/>
      <x:c r="J402" s="48"/>
      <x:c r="K402"/>
      <x:c r="L402"/>
      <x:c r="M402"/>
      <x:c r="N402"/>
      <x:c r="O402"/>
    </x:row>
    <x:row r="403">
      <x:c r="H403" s="46"/>
      <x:c r="I403" s="46"/>
      <x:c r="J403" s="48"/>
      <x:c r="K403"/>
      <x:c r="L403"/>
      <x:c r="M403"/>
      <x:c r="N403"/>
      <x:c r="O403"/>
    </x:row>
    <x:row r="404">
      <x:c r="H404" s="46"/>
      <x:c r="I404" s="46"/>
      <x:c r="J404" s="48"/>
      <x:c r="K404"/>
      <x:c r="L404"/>
      <x:c r="M404"/>
      <x:c r="N404"/>
      <x:c r="O404"/>
    </x:row>
    <x:row r="405">
      <x:c r="H405" s="46"/>
      <x:c r="I405" s="46"/>
      <x:c r="J405" s="48"/>
      <x:c r="K405"/>
      <x:c r="L405"/>
      <x:c r="M405"/>
      <x:c r="N405"/>
      <x:c r="O405"/>
    </x:row>
    <x:row r="406">
      <x:c r="H406" s="46"/>
      <x:c r="I406" s="46"/>
      <x:c r="J406" s="48"/>
      <x:c r="K406"/>
      <x:c r="L406"/>
      <x:c r="M406"/>
      <x:c r="N406"/>
      <x:c r="O406"/>
    </x:row>
    <x:row r="407">
      <x:c r="H407" s="46"/>
      <x:c r="I407" s="46"/>
      <x:c r="J407" s="48"/>
      <x:c r="K407"/>
      <x:c r="L407"/>
      <x:c r="M407"/>
      <x:c r="N407"/>
      <x:c r="O407"/>
    </x:row>
    <x:row r="408">
      <x:c r="H408" s="46"/>
      <x:c r="I408" s="46"/>
      <x:c r="J408" s="48"/>
      <x:c r="K408"/>
      <x:c r="L408"/>
      <x:c r="M408"/>
      <x:c r="N408"/>
      <x:c r="O408"/>
    </x:row>
    <x:row r="409">
      <x:c r="H409" s="46"/>
      <x:c r="I409" s="46"/>
      <x:c r="J409" s="48"/>
      <x:c r="K409"/>
      <x:c r="L409"/>
      <x:c r="M409"/>
      <x:c r="N409"/>
      <x:c r="O409"/>
    </x:row>
    <x:row r="410">
      <x:c r="H410" s="46"/>
      <x:c r="I410" s="46"/>
      <x:c r="J410" s="48"/>
      <x:c r="K410"/>
      <x:c r="L410"/>
      <x:c r="M410"/>
      <x:c r="N410"/>
      <x:c r="O410"/>
    </x:row>
    <x:row r="411">
      <x:c r="H411" s="46"/>
      <x:c r="I411" s="46"/>
      <x:c r="J411" s="48"/>
      <x:c r="K411"/>
      <x:c r="L411"/>
      <x:c r="M411"/>
      <x:c r="N411"/>
      <x:c r="O411"/>
    </x:row>
    <x:row r="412">
      <x:c r="H412" s="46"/>
      <x:c r="I412" s="46"/>
      <x:c r="J412" s="48"/>
      <x:c r="K412"/>
      <x:c r="L412"/>
      <x:c r="M412"/>
      <x:c r="N412"/>
      <x:c r="O412"/>
    </x:row>
    <x:row r="413">
      <x:c r="H413" s="46"/>
      <x:c r="I413" s="46"/>
      <x:c r="J413" s="48"/>
      <x:c r="K413"/>
      <x:c r="L413"/>
      <x:c r="M413"/>
      <x:c r="N413"/>
      <x:c r="O413"/>
    </x:row>
    <x:row r="414">
      <x:c r="H414" s="46"/>
      <x:c r="I414" s="46"/>
      <x:c r="J414" s="48"/>
      <x:c r="K414"/>
      <x:c r="L414"/>
      <x:c r="M414"/>
      <x:c r="N414"/>
      <x:c r="O414"/>
    </x:row>
    <x:row r="415">
      <x:c r="H415" s="46"/>
      <x:c r="I415" s="46"/>
      <x:c r="J415" s="48"/>
      <x:c r="K415"/>
      <x:c r="L415"/>
      <x:c r="M415"/>
      <x:c r="N415"/>
      <x:c r="O415"/>
    </x:row>
    <x:row r="416">
      <x:c r="H416" s="46"/>
      <x:c r="I416" s="46"/>
      <x:c r="J416" s="48"/>
      <x:c r="K416"/>
      <x:c r="L416"/>
      <x:c r="M416"/>
      <x:c r="N416"/>
      <x:c r="O416"/>
    </x:row>
    <x:row r="417">
      <x:c r="H417" s="46"/>
      <x:c r="I417" s="46"/>
      <x:c r="J417" s="48"/>
      <x:c r="K417"/>
      <x:c r="L417"/>
      <x:c r="M417"/>
      <x:c r="N417"/>
      <x:c r="O417"/>
    </x:row>
    <x:row r="418">
      <x:c r="H418" s="46"/>
      <x:c r="I418" s="46"/>
      <x:c r="J418" s="48"/>
      <x:c r="K418"/>
      <x:c r="L418"/>
      <x:c r="M418"/>
      <x:c r="N418"/>
      <x:c r="O418"/>
    </x:row>
    <x:row r="419">
      <x:c r="H419" s="46"/>
      <x:c r="I419" s="46"/>
      <x:c r="J419" s="48"/>
      <x:c r="K419"/>
      <x:c r="L419"/>
      <x:c r="M419"/>
      <x:c r="N419"/>
      <x:c r="O419"/>
    </x:row>
    <x:row r="420">
      <x:c r="H420" s="46"/>
      <x:c r="I420" s="46"/>
      <x:c r="J420" s="48"/>
      <x:c r="K420"/>
      <x:c r="L420"/>
      <x:c r="M420"/>
      <x:c r="N420"/>
      <x:c r="O420"/>
    </x:row>
    <x:row r="421">
      <x:c r="H421" s="46"/>
      <x:c r="I421" s="46"/>
      <x:c r="J421" s="48"/>
      <x:c r="K421"/>
      <x:c r="L421"/>
      <x:c r="M421"/>
      <x:c r="N421"/>
      <x:c r="O421"/>
    </x:row>
    <x:row r="422">
      <x:c r="H422" s="46"/>
      <x:c r="I422" s="46"/>
      <x:c r="J422" s="48"/>
      <x:c r="K422"/>
      <x:c r="L422"/>
      <x:c r="M422"/>
      <x:c r="N422"/>
      <x:c r="O422"/>
    </x:row>
    <x:row r="423">
      <x:c r="H423" s="46"/>
      <x:c r="I423" s="46"/>
      <x:c r="J423" s="48"/>
      <x:c r="K423"/>
      <x:c r="L423"/>
      <x:c r="M423"/>
      <x:c r="N423"/>
      <x:c r="O423"/>
    </x:row>
    <x:row r="424">
      <x:c r="H424" s="46"/>
      <x:c r="I424" s="46"/>
      <x:c r="J424" s="48"/>
      <x:c r="K424"/>
      <x:c r="L424"/>
      <x:c r="M424"/>
      <x:c r="N424"/>
      <x:c r="O424"/>
    </x:row>
    <x:row r="425">
      <x:c r="H425" s="46"/>
      <x:c r="I425" s="46"/>
      <x:c r="J425" s="48"/>
      <x:c r="K425"/>
      <x:c r="L425"/>
      <x:c r="M425"/>
      <x:c r="N425"/>
      <x:c r="O425"/>
    </x:row>
    <x:row r="426">
      <x:c r="H426" s="46"/>
      <x:c r="I426" s="46"/>
      <x:c r="J426" s="48"/>
      <x:c r="K426"/>
      <x:c r="L426"/>
      <x:c r="M426"/>
      <x:c r="N426"/>
      <x:c r="O426"/>
    </x:row>
    <x:row r="427">
      <x:c r="H427" s="46"/>
      <x:c r="I427" s="46"/>
      <x:c r="J427" s="48"/>
      <x:c r="K427"/>
      <x:c r="L427"/>
      <x:c r="M427"/>
      <x:c r="N427"/>
      <x:c r="O427"/>
    </x:row>
    <x:row r="428">
      <x:c r="H428" s="46"/>
      <x:c r="I428" s="46"/>
      <x:c r="J428" s="48"/>
      <x:c r="K428"/>
      <x:c r="L428"/>
      <x:c r="M428"/>
      <x:c r="N428"/>
      <x:c r="O428"/>
    </x:row>
    <x:row r="429">
      <x:c r="H429" s="46"/>
      <x:c r="I429" s="46"/>
      <x:c r="J429" s="48"/>
      <x:c r="K429"/>
      <x:c r="L429"/>
      <x:c r="M429"/>
      <x:c r="N429"/>
      <x:c r="O429"/>
    </x:row>
    <x:row r="430">
      <x:c r="H430" s="46"/>
      <x:c r="I430" s="46"/>
      <x:c r="J430" s="48"/>
      <x:c r="K430"/>
      <x:c r="L430"/>
      <x:c r="M430"/>
      <x:c r="N430"/>
      <x:c r="O430"/>
    </x:row>
    <x:row r="431">
      <x:c r="H431" s="46"/>
      <x:c r="I431" s="46"/>
      <x:c r="J431" s="48"/>
      <x:c r="K431"/>
      <x:c r="L431"/>
      <x:c r="M431"/>
      <x:c r="N431"/>
      <x:c r="O431"/>
    </x:row>
    <x:row r="432">
      <x:c r="H432" s="46"/>
      <x:c r="I432" s="46"/>
      <x:c r="J432" s="48"/>
      <x:c r="K432"/>
      <x:c r="L432"/>
      <x:c r="M432"/>
      <x:c r="N432"/>
      <x:c r="O432"/>
    </x:row>
    <x:row r="433">
      <x:c r="H433" s="46"/>
      <x:c r="I433" s="46"/>
      <x:c r="J433" s="48"/>
      <x:c r="K433"/>
      <x:c r="L433"/>
      <x:c r="M433"/>
      <x:c r="N433"/>
      <x:c r="O433"/>
    </x:row>
    <x:row r="434">
      <x:c r="H434" s="46"/>
      <x:c r="I434" s="46"/>
      <x:c r="J434" s="48"/>
      <x:c r="K434"/>
      <x:c r="L434"/>
      <x:c r="M434"/>
      <x:c r="N434"/>
      <x:c r="O434"/>
    </x:row>
    <x:row r="435">
      <x:c r="H435" s="46"/>
      <x:c r="I435" s="46"/>
      <x:c r="J435" s="48"/>
      <x:c r="K435"/>
      <x:c r="L435"/>
      <x:c r="M435"/>
      <x:c r="N435"/>
      <x:c r="O435"/>
    </x:row>
    <x:row r="436">
      <x:c r="H436" s="46"/>
      <x:c r="I436" s="46"/>
      <x:c r="J436" s="48"/>
      <x:c r="K436"/>
      <x:c r="L436"/>
      <x:c r="M436"/>
      <x:c r="N436"/>
      <x:c r="O436"/>
    </x:row>
    <x:row r="437">
      <x:c r="H437" s="46"/>
      <x:c r="I437" s="46"/>
      <x:c r="J437" s="48"/>
      <x:c r="K437"/>
      <x:c r="L437"/>
      <x:c r="M437"/>
      <x:c r="N437"/>
      <x:c r="O437"/>
    </x:row>
    <x:row r="438">
      <x:c r="H438" s="46"/>
      <x:c r="I438" s="46"/>
      <x:c r="J438" s="48"/>
      <x:c r="K438"/>
      <x:c r="L438"/>
      <x:c r="M438"/>
      <x:c r="N438"/>
      <x:c r="O438"/>
    </x:row>
    <x:row r="439">
      <x:c r="H439" s="46"/>
      <x:c r="I439" s="46"/>
      <x:c r="J439" s="48"/>
      <x:c r="K439"/>
      <x:c r="L439"/>
      <x:c r="M439"/>
      <x:c r="N439"/>
      <x:c r="O439"/>
    </x:row>
    <x:row r="440">
      <x:c r="H440" s="46"/>
      <x:c r="I440" s="46"/>
      <x:c r="J440" s="48"/>
      <x:c r="K440"/>
      <x:c r="L440"/>
      <x:c r="M440"/>
      <x:c r="N440"/>
      <x:c r="O440"/>
    </x:row>
    <x:row r="441">
      <x:c r="H441" s="46"/>
      <x:c r="I441" s="46"/>
      <x:c r="J441" s="48"/>
      <x:c r="K441"/>
      <x:c r="L441"/>
      <x:c r="M441"/>
      <x:c r="N441"/>
      <x:c r="O441"/>
    </x:row>
    <x:row r="442">
      <x:c r="H442" s="46"/>
      <x:c r="I442" s="46"/>
      <x:c r="J442" s="48"/>
      <x:c r="K442"/>
      <x:c r="L442"/>
      <x:c r="M442"/>
      <x:c r="N442"/>
      <x:c r="O442"/>
    </x:row>
    <x:row r="443">
      <x:c r="H443" s="46"/>
      <x:c r="I443" s="46"/>
      <x:c r="J443" s="48"/>
      <x:c r="K443"/>
      <x:c r="L443"/>
      <x:c r="M443"/>
      <x:c r="N443"/>
      <x:c r="O443"/>
    </x:row>
    <x:row r="444">
      <x:c r="H444" s="46"/>
      <x:c r="I444" s="46"/>
      <x:c r="J444" s="48"/>
      <x:c r="K444"/>
      <x:c r="L444"/>
      <x:c r="M444"/>
      <x:c r="N444"/>
      <x:c r="O444"/>
    </x:row>
    <x:row r="445">
      <x:c r="H445" s="46"/>
      <x:c r="I445" s="46"/>
      <x:c r="J445" s="48"/>
      <x:c r="K445"/>
      <x:c r="L445"/>
      <x:c r="M445"/>
      <x:c r="N445"/>
      <x:c r="O445"/>
    </x:row>
    <x:row r="446">
      <x:c r="H446" s="46"/>
      <x:c r="I446" s="46"/>
      <x:c r="J446" s="48"/>
      <x:c r="K446"/>
      <x:c r="L446"/>
      <x:c r="M446"/>
      <x:c r="N446"/>
      <x:c r="O446"/>
    </x:row>
    <x:row r="447">
      <x:c r="H447" s="46"/>
      <x:c r="I447" s="46"/>
      <x:c r="J447" s="48"/>
      <x:c r="K447"/>
      <x:c r="L447"/>
      <x:c r="M447"/>
      <x:c r="N447"/>
      <x:c r="O447"/>
    </x:row>
    <x:row r="448">
      <x:c r="H448" s="46"/>
      <x:c r="I448" s="46"/>
      <x:c r="J448" s="48"/>
      <x:c r="K448"/>
      <x:c r="L448"/>
      <x:c r="M448"/>
      <x:c r="N448"/>
      <x:c r="O448"/>
    </x:row>
    <x:row r="449">
      <x:c r="H449" s="46"/>
      <x:c r="I449" s="46"/>
      <x:c r="J449" s="48"/>
      <x:c r="K449"/>
      <x:c r="L449"/>
      <x:c r="M449"/>
      <x:c r="N449"/>
      <x:c r="O449"/>
    </x:row>
    <x:row r="450">
      <x:c r="H450" s="46"/>
      <x:c r="I450" s="46"/>
      <x:c r="J450" s="48"/>
      <x:c r="K450"/>
      <x:c r="L450"/>
      <x:c r="M450"/>
      <x:c r="N450"/>
      <x:c r="O450"/>
    </x:row>
    <x:row r="451">
      <x:c r="H451" s="46"/>
      <x:c r="I451" s="46"/>
      <x:c r="J451" s="48"/>
      <x:c r="K451"/>
      <x:c r="L451"/>
      <x:c r="M451"/>
      <x:c r="N451"/>
      <x:c r="O451"/>
    </x:row>
    <x:row r="452">
      <x:c r="H452" s="46"/>
      <x:c r="I452" s="46"/>
      <x:c r="J452" s="48"/>
      <x:c r="K452"/>
      <x:c r="L452"/>
      <x:c r="M452"/>
      <x:c r="N452"/>
      <x:c r="O452"/>
    </x:row>
    <x:row r="453">
      <x:c r="H453" s="46"/>
      <x:c r="I453" s="46"/>
      <x:c r="J453" s="48"/>
      <x:c r="K453"/>
      <x:c r="L453"/>
      <x:c r="M453"/>
      <x:c r="N453"/>
      <x:c r="O453"/>
    </x:row>
    <x:row r="454">
      <x:c r="H454" s="46"/>
      <x:c r="I454" s="46"/>
      <x:c r="J454" s="48"/>
      <x:c r="K454"/>
      <x:c r="L454"/>
      <x:c r="M454"/>
      <x:c r="N454"/>
      <x:c r="O454"/>
    </x:row>
    <x:row r="455">
      <x:c r="H455" s="46"/>
      <x:c r="I455" s="46"/>
      <x:c r="J455" s="48"/>
      <x:c r="K455"/>
      <x:c r="L455"/>
      <x:c r="M455"/>
      <x:c r="N455"/>
      <x:c r="O455"/>
    </x:row>
    <x:row r="456">
      <x:c r="H456" s="46"/>
      <x:c r="I456" s="46"/>
      <x:c r="J456" s="48"/>
      <x:c r="K456"/>
      <x:c r="L456"/>
      <x:c r="M456"/>
      <x:c r="N456"/>
      <x:c r="O456"/>
    </x:row>
    <x:row r="457">
      <x:c r="H457" s="46"/>
      <x:c r="I457" s="46"/>
      <x:c r="J457" s="48"/>
      <x:c r="K457"/>
      <x:c r="L457"/>
      <x:c r="M457"/>
      <x:c r="N457"/>
      <x:c r="O457"/>
    </x:row>
    <x:row r="458">
      <x:c r="H458" s="46"/>
      <x:c r="I458" s="46"/>
      <x:c r="J458" s="48"/>
      <x:c r="K458"/>
      <x:c r="L458"/>
      <x:c r="M458"/>
      <x:c r="N458"/>
      <x:c r="O458"/>
    </x:row>
    <x:row r="459">
      <x:c r="H459" s="46"/>
      <x:c r="I459" s="46"/>
      <x:c r="J459" s="48"/>
      <x:c r="K459"/>
      <x:c r="L459"/>
      <x:c r="M459"/>
      <x:c r="N459"/>
      <x:c r="O459"/>
    </x:row>
    <x:row r="460">
      <x:c r="H460" s="46"/>
      <x:c r="I460" s="46"/>
      <x:c r="J460" s="48"/>
      <x:c r="K460"/>
      <x:c r="L460"/>
      <x:c r="M460"/>
      <x:c r="N460"/>
      <x:c r="O460"/>
    </x:row>
    <x:row r="461">
      <x:c r="H461" s="46"/>
      <x:c r="I461" s="46"/>
      <x:c r="J461" s="48"/>
      <x:c r="K461"/>
      <x:c r="L461"/>
      <x:c r="M461"/>
      <x:c r="N461"/>
      <x:c r="O461"/>
    </x:row>
    <x:row r="462">
      <x:c r="H462" s="46"/>
      <x:c r="I462" s="46"/>
      <x:c r="J462" s="48"/>
      <x:c r="K462"/>
      <x:c r="L462"/>
      <x:c r="M462"/>
      <x:c r="N462"/>
      <x:c r="O462"/>
    </x:row>
    <x:row r="463">
      <x:c r="H463" s="46"/>
      <x:c r="I463" s="46"/>
      <x:c r="J463" s="48"/>
      <x:c r="K463"/>
      <x:c r="L463"/>
      <x:c r="M463"/>
      <x:c r="N463"/>
      <x:c r="O463"/>
    </x:row>
    <x:row r="464">
      <x:c r="H464" s="46"/>
      <x:c r="I464" s="46"/>
      <x:c r="J464" s="48"/>
      <x:c r="K464"/>
      <x:c r="L464"/>
      <x:c r="M464"/>
      <x:c r="N464"/>
      <x:c r="O464"/>
    </x:row>
    <x:row r="465">
      <x:c r="H465" s="46"/>
      <x:c r="I465" s="46"/>
      <x:c r="J465" s="48"/>
      <x:c r="K465"/>
      <x:c r="L465"/>
      <x:c r="M465"/>
      <x:c r="N465"/>
      <x:c r="O465"/>
    </x:row>
    <x:row r="466">
      <x:c r="H466" s="46"/>
      <x:c r="I466" s="46"/>
      <x:c r="J466" s="48"/>
      <x:c r="K466"/>
      <x:c r="L466"/>
      <x:c r="M466"/>
      <x:c r="N466"/>
      <x:c r="O466"/>
    </x:row>
    <x:row r="467">
      <x:c r="H467" s="46"/>
      <x:c r="I467" s="46"/>
      <x:c r="J467" s="48"/>
      <x:c r="K467"/>
      <x:c r="L467"/>
      <x:c r="M467"/>
      <x:c r="N467"/>
      <x:c r="O467"/>
    </x:row>
    <x:row r="468">
      <x:c r="H468" s="46"/>
      <x:c r="I468" s="46"/>
      <x:c r="J468" s="48"/>
      <x:c r="K468"/>
      <x:c r="L468"/>
      <x:c r="M468"/>
      <x:c r="N468"/>
      <x:c r="O468"/>
    </x:row>
    <x:row r="469">
      <x:c r="H469" s="46"/>
      <x:c r="I469" s="46"/>
      <x:c r="J469" s="48"/>
      <x:c r="K469"/>
      <x:c r="L469"/>
      <x:c r="M469"/>
      <x:c r="N469"/>
      <x:c r="O469"/>
    </x:row>
    <x:row r="470">
      <x:c r="H470" s="46"/>
      <x:c r="I470" s="46"/>
      <x:c r="J470" s="48"/>
      <x:c r="K470"/>
      <x:c r="L470"/>
      <x:c r="M470"/>
      <x:c r="N470"/>
      <x:c r="O470"/>
    </x:row>
    <x:row r="471">
      <x:c r="H471" s="46"/>
      <x:c r="I471" s="46"/>
      <x:c r="J471" s="48"/>
      <x:c r="K471"/>
      <x:c r="L471"/>
      <x:c r="M471"/>
      <x:c r="N471"/>
      <x:c r="O471"/>
    </x:row>
    <x:row r="472">
      <x:c r="H472" s="46"/>
      <x:c r="I472" s="46"/>
      <x:c r="J472" s="48"/>
      <x:c r="K472"/>
      <x:c r="L472"/>
      <x:c r="M472"/>
      <x:c r="N472"/>
      <x:c r="O472"/>
    </x:row>
    <x:row r="473">
      <x:c r="H473" s="46"/>
      <x:c r="I473" s="46"/>
      <x:c r="J473" s="48"/>
      <x:c r="K473"/>
      <x:c r="L473"/>
      <x:c r="M473"/>
      <x:c r="N473"/>
      <x:c r="O473"/>
    </x:row>
    <x:row r="474">
      <x:c r="H474" s="46"/>
      <x:c r="I474" s="46"/>
      <x:c r="J474" s="48"/>
      <x:c r="K474"/>
      <x:c r="L474"/>
      <x:c r="M474"/>
      <x:c r="N474"/>
      <x:c r="O474"/>
    </x:row>
    <x:row r="475">
      <x:c r="H475" s="46"/>
      <x:c r="I475" s="46"/>
      <x:c r="J475" s="48"/>
      <x:c r="K475"/>
      <x:c r="L475"/>
      <x:c r="M475"/>
      <x:c r="N475"/>
      <x:c r="O475"/>
    </x:row>
    <x:row r="476">
      <x:c r="H476" s="46"/>
      <x:c r="I476" s="46"/>
      <x:c r="J476" s="48"/>
      <x:c r="K476"/>
      <x:c r="L476"/>
      <x:c r="M476"/>
      <x:c r="N476"/>
      <x:c r="O476"/>
    </x:row>
    <x:row r="477">
      <x:c r="H477" s="46"/>
      <x:c r="I477" s="46"/>
      <x:c r="J477" s="48"/>
      <x:c r="K477"/>
      <x:c r="L477"/>
      <x:c r="M477"/>
      <x:c r="N477"/>
      <x:c r="O477"/>
    </x:row>
    <x:row r="478">
      <x:c r="H478" s="46"/>
      <x:c r="I478" s="46"/>
      <x:c r="J478" s="48"/>
      <x:c r="K478"/>
      <x:c r="L478"/>
      <x:c r="M478"/>
      <x:c r="N478"/>
      <x:c r="O478"/>
    </x:row>
    <x:row r="479">
      <x:c r="H479" s="46"/>
      <x:c r="I479" s="46"/>
      <x:c r="J479" s="48"/>
      <x:c r="K479"/>
      <x:c r="L479"/>
      <x:c r="M479"/>
      <x:c r="N479"/>
      <x:c r="O479"/>
    </x:row>
    <x:row r="480">
      <x:c r="H480" s="46"/>
      <x:c r="I480" s="46"/>
      <x:c r="J480" s="48"/>
      <x:c r="K480"/>
      <x:c r="L480"/>
      <x:c r="M480"/>
      <x:c r="N480"/>
      <x:c r="O480"/>
    </x:row>
    <x:row r="481">
      <x:c r="H481" s="46"/>
      <x:c r="I481" s="46"/>
      <x:c r="J481" s="48"/>
      <x:c r="K481"/>
      <x:c r="L481"/>
      <x:c r="M481"/>
      <x:c r="N481"/>
      <x:c r="O481"/>
    </x:row>
    <x:row r="482">
      <x:c r="H482" s="46"/>
      <x:c r="I482" s="46"/>
      <x:c r="J482" s="48"/>
      <x:c r="K482"/>
      <x:c r="L482"/>
      <x:c r="M482"/>
      <x:c r="N482"/>
      <x:c r="O482"/>
    </x:row>
    <x:row r="483">
      <x:c r="H483" s="46"/>
      <x:c r="I483" s="46"/>
      <x:c r="J483" s="48"/>
      <x:c r="K483"/>
      <x:c r="L483"/>
      <x:c r="M483"/>
      <x:c r="N483"/>
      <x:c r="O483"/>
    </x:row>
    <x:row r="484">
      <x:c r="H484" s="46"/>
      <x:c r="I484" s="46"/>
      <x:c r="J484" s="48"/>
      <x:c r="K484"/>
      <x:c r="L484"/>
      <x:c r="M484"/>
      <x:c r="N484"/>
      <x:c r="O484"/>
    </x:row>
    <x:row r="485">
      <x:c r="H485" s="46"/>
      <x:c r="I485" s="46"/>
      <x:c r="J485" s="48"/>
      <x:c r="K485"/>
      <x:c r="L485"/>
      <x:c r="M485"/>
      <x:c r="N485"/>
      <x:c r="O485"/>
    </x:row>
    <x:row r="486">
      <x:c r="H486" s="46"/>
      <x:c r="I486" s="46"/>
      <x:c r="J486" s="48"/>
      <x:c r="K486"/>
      <x:c r="L486"/>
      <x:c r="M486"/>
      <x:c r="N486"/>
      <x:c r="O486"/>
    </x:row>
    <x:row r="487">
      <x:c r="H487" s="46"/>
      <x:c r="I487" s="46"/>
      <x:c r="J487" s="48"/>
      <x:c r="K487"/>
      <x:c r="L487"/>
      <x:c r="M487"/>
      <x:c r="N487"/>
      <x:c r="O487"/>
    </x:row>
    <x:row r="488">
      <x:c r="H488" s="46"/>
      <x:c r="I488" s="46"/>
      <x:c r="J488" s="48"/>
      <x:c r="K488"/>
      <x:c r="L488"/>
      <x:c r="M488"/>
      <x:c r="N488"/>
      <x:c r="O488"/>
    </x:row>
    <x:row r="489">
      <x:c r="H489" s="46"/>
      <x:c r="I489" s="46"/>
      <x:c r="J489" s="48"/>
      <x:c r="K489"/>
      <x:c r="L489"/>
      <x:c r="M489"/>
      <x:c r="N489"/>
      <x:c r="O489"/>
    </x:row>
    <x:row r="490">
      <x:c r="H490" s="46"/>
      <x:c r="I490" s="46"/>
      <x:c r="J490" s="48"/>
      <x:c r="K490"/>
      <x:c r="L490"/>
      <x:c r="M490"/>
      <x:c r="N490"/>
      <x:c r="O490"/>
    </x:row>
    <x:row r="491">
      <x:c r="H491" s="46"/>
      <x:c r="I491" s="46"/>
      <x:c r="J491" s="48"/>
      <x:c r="K491"/>
      <x:c r="L491"/>
      <x:c r="M491"/>
      <x:c r="N491"/>
      <x:c r="O491"/>
    </x:row>
    <x:row r="492">
      <x:c r="H492" s="46"/>
      <x:c r="I492" s="46"/>
      <x:c r="J492" s="48"/>
      <x:c r="K492"/>
      <x:c r="L492"/>
      <x:c r="M492"/>
      <x:c r="N492"/>
      <x:c r="O492"/>
    </x:row>
    <x:row r="493">
      <x:c r="H493" s="46"/>
      <x:c r="I493" s="46"/>
      <x:c r="J493" s="48"/>
      <x:c r="K493"/>
      <x:c r="L493"/>
      <x:c r="M493"/>
      <x:c r="N493"/>
      <x:c r="O493"/>
    </x:row>
    <x:row r="494">
      <x:c r="H494" s="46"/>
      <x:c r="I494" s="46"/>
      <x:c r="J494" s="48"/>
      <x:c r="K494"/>
      <x:c r="L494"/>
      <x:c r="M494"/>
      <x:c r="N494"/>
      <x:c r="O494"/>
    </x:row>
    <x:row r="495">
      <x:c r="H495" s="46"/>
      <x:c r="I495" s="46"/>
      <x:c r="J495" s="48"/>
      <x:c r="K495"/>
      <x:c r="L495"/>
      <x:c r="M495"/>
      <x:c r="N495"/>
      <x:c r="O495"/>
    </x:row>
    <x:row r="496">
      <x:c r="H496" s="46"/>
      <x:c r="I496" s="46"/>
      <x:c r="J496" s="48"/>
      <x:c r="K496"/>
      <x:c r="L496"/>
      <x:c r="M496"/>
      <x:c r="N496"/>
      <x:c r="O496"/>
    </x:row>
    <x:row r="497">
      <x:c r="H497" s="46"/>
      <x:c r="I497" s="46"/>
      <x:c r="J497" s="48"/>
      <x:c r="K497"/>
      <x:c r="L497"/>
      <x:c r="M497"/>
      <x:c r="N497"/>
      <x:c r="O497"/>
    </x:row>
    <x:row r="498">
      <x:c r="H498" s="46"/>
      <x:c r="I498" s="46"/>
      <x:c r="J498" s="48"/>
      <x:c r="K498"/>
      <x:c r="L498"/>
      <x:c r="M498"/>
      <x:c r="N498"/>
      <x:c r="O498"/>
    </x:row>
    <x:row r="499">
      <x:c r="H499" s="46"/>
      <x:c r="I499" s="46"/>
      <x:c r="J499" s="48"/>
      <x:c r="K499"/>
      <x:c r="L499"/>
      <x:c r="M499"/>
      <x:c r="N499"/>
      <x:c r="O499"/>
    </x:row>
    <x:row r="500">
      <x:c r="H500" s="46"/>
      <x:c r="I500" s="46"/>
      <x:c r="J500" s="48"/>
      <x:c r="K500"/>
      <x:c r="L500"/>
      <x:c r="M500"/>
      <x:c r="N500"/>
      <x:c r="O500"/>
    </x:row>
    <x:row r="501">
      <x:c r="H501" s="46"/>
      <x:c r="I501" s="46"/>
      <x:c r="J501" s="48"/>
      <x:c r="K501"/>
      <x:c r="L501"/>
      <x:c r="M501"/>
      <x:c r="N501"/>
      <x:c r="O501"/>
    </x:row>
    <x:row r="502">
      <x:c r="H502" s="46"/>
      <x:c r="I502" s="46"/>
      <x:c r="J502" s="48"/>
      <x:c r="K502"/>
      <x:c r="L502"/>
      <x:c r="M502"/>
      <x:c r="N502"/>
      <x:c r="O502"/>
    </x:row>
    <x:row r="503">
      <x:c r="H503" s="46"/>
      <x:c r="I503" s="46"/>
      <x:c r="J503" s="48"/>
      <x:c r="K503"/>
      <x:c r="L503"/>
      <x:c r="M503"/>
      <x:c r="N503"/>
      <x:c r="O503"/>
    </x:row>
    <x:row r="504">
      <x:c r="H504" s="46"/>
      <x:c r="I504" s="46"/>
      <x:c r="J504" s="48"/>
      <x:c r="K504"/>
      <x:c r="L504"/>
      <x:c r="M504"/>
      <x:c r="N504"/>
      <x:c r="O504"/>
    </x:row>
    <x:row r="505">
      <x:c r="H505" s="46"/>
      <x:c r="I505" s="46"/>
      <x:c r="J505" s="48"/>
      <x:c r="K505"/>
      <x:c r="L505"/>
      <x:c r="M505"/>
      <x:c r="N505"/>
      <x:c r="O505"/>
    </x:row>
    <x:row r="506">
      <x:c r="H506" s="46"/>
      <x:c r="I506" s="46"/>
      <x:c r="J506" s="48"/>
      <x:c r="K506"/>
      <x:c r="L506"/>
      <x:c r="M506"/>
      <x:c r="N506"/>
      <x:c r="O506"/>
    </x:row>
    <x:row r="507">
      <x:c r="H507" s="46"/>
      <x:c r="I507" s="46"/>
      <x:c r="J507" s="48"/>
      <x:c r="K507"/>
      <x:c r="L507"/>
      <x:c r="M507"/>
      <x:c r="N507"/>
      <x:c r="O507"/>
    </x:row>
    <x:row r="508">
      <x:c r="H508" s="46"/>
      <x:c r="I508" s="46"/>
      <x:c r="J508" s="48"/>
      <x:c r="K508"/>
      <x:c r="L508"/>
      <x:c r="M508"/>
      <x:c r="N508"/>
      <x:c r="O508"/>
    </x:row>
    <x:row r="509">
      <x:c r="H509" s="46"/>
      <x:c r="I509" s="46"/>
      <x:c r="J509" s="48"/>
      <x:c r="K509"/>
      <x:c r="L509"/>
      <x:c r="M509"/>
      <x:c r="N509"/>
      <x:c r="O509"/>
    </x:row>
    <x:row r="510">
      <x:c r="H510" s="46"/>
      <x:c r="I510" s="46"/>
      <x:c r="J510" s="48"/>
      <x:c r="K510"/>
      <x:c r="L510"/>
      <x:c r="M510"/>
      <x:c r="N510"/>
      <x:c r="O510"/>
    </x:row>
    <x:row r="511">
      <x:c r="H511" s="46"/>
      <x:c r="I511" s="46"/>
      <x:c r="J511" s="48"/>
      <x:c r="K511"/>
      <x:c r="L511"/>
      <x:c r="M511"/>
      <x:c r="N511"/>
      <x:c r="O511"/>
    </x:row>
    <x:row r="512">
      <x:c r="H512" s="46"/>
      <x:c r="I512" s="46"/>
      <x:c r="J512" s="48"/>
      <x:c r="K512"/>
      <x:c r="L512"/>
      <x:c r="M512"/>
      <x:c r="N512"/>
      <x:c r="O512"/>
    </x:row>
    <x:row r="513">
      <x:c r="H513" s="46"/>
      <x:c r="I513" s="46"/>
      <x:c r="J513" s="48"/>
      <x:c r="K513"/>
      <x:c r="L513"/>
      <x:c r="M513"/>
      <x:c r="N513"/>
      <x:c r="O513"/>
    </x:row>
    <x:row r="514">
      <x:c r="H514" s="46"/>
      <x:c r="I514" s="46"/>
      <x:c r="J514" s="48"/>
      <x:c r="K514"/>
      <x:c r="L514"/>
      <x:c r="M514"/>
      <x:c r="N514"/>
      <x:c r="O514"/>
    </x:row>
    <x:row r="515">
      <x:c r="H515" s="46"/>
      <x:c r="I515" s="46"/>
      <x:c r="J515" s="48"/>
      <x:c r="K515"/>
      <x:c r="L515"/>
      <x:c r="M515"/>
      <x:c r="N515"/>
      <x:c r="O515"/>
    </x:row>
    <x:row r="516">
      <x:c r="H516" s="46"/>
      <x:c r="I516" s="46"/>
      <x:c r="J516" s="48"/>
      <x:c r="K516"/>
      <x:c r="L516"/>
      <x:c r="M516"/>
      <x:c r="N516"/>
      <x:c r="O516"/>
    </x:row>
    <x:row r="517">
      <x:c r="H517" s="46"/>
      <x:c r="I517" s="46"/>
      <x:c r="J517" s="48"/>
      <x:c r="K517"/>
      <x:c r="L517"/>
      <x:c r="M517"/>
      <x:c r="N517"/>
      <x:c r="O517"/>
    </x:row>
    <x:row r="518">
      <x:c r="H518" s="46"/>
      <x:c r="I518" s="46"/>
      <x:c r="J518" s="48"/>
      <x:c r="K518"/>
      <x:c r="L518"/>
      <x:c r="M518"/>
      <x:c r="N518"/>
      <x:c r="O518"/>
    </x:row>
    <x:row r="519">
      <x:c r="H519" s="46"/>
      <x:c r="I519" s="46"/>
      <x:c r="J519" s="48"/>
      <x:c r="K519"/>
      <x:c r="L519"/>
      <x:c r="M519"/>
      <x:c r="N519"/>
      <x:c r="O519"/>
    </x:row>
    <x:row r="520">
      <x:c r="H520" s="46"/>
      <x:c r="I520" s="46"/>
      <x:c r="J520" s="48"/>
      <x:c r="K520"/>
      <x:c r="L520"/>
      <x:c r="M520"/>
      <x:c r="N520"/>
      <x:c r="O520"/>
    </x:row>
    <x:row r="521">
      <x:c r="H521" s="46"/>
      <x:c r="I521" s="46"/>
      <x:c r="J521" s="48"/>
      <x:c r="K521"/>
      <x:c r="L521"/>
      <x:c r="M521"/>
      <x:c r="N521"/>
      <x:c r="O521"/>
    </x:row>
    <x:row r="522">
      <x:c r="H522" s="46"/>
      <x:c r="I522" s="46"/>
      <x:c r="J522" s="48"/>
      <x:c r="K522"/>
      <x:c r="L522"/>
      <x:c r="M522"/>
      <x:c r="N522"/>
      <x:c r="O522"/>
    </x:row>
    <x:row r="523">
      <x:c r="H523" s="46"/>
      <x:c r="I523" s="46"/>
      <x:c r="J523" s="48"/>
      <x:c r="K523"/>
      <x:c r="L523"/>
      <x:c r="M523"/>
      <x:c r="N523"/>
      <x:c r="O523"/>
    </x:row>
    <x:row r="524">
      <x:c r="H524" s="46"/>
      <x:c r="I524" s="46"/>
      <x:c r="J524" s="48"/>
      <x:c r="K524"/>
      <x:c r="L524"/>
      <x:c r="M524"/>
      <x:c r="N524"/>
      <x:c r="O524"/>
    </x:row>
    <x:row r="525">
      <x:c r="H525" s="46"/>
      <x:c r="I525" s="46"/>
      <x:c r="J525" s="48"/>
      <x:c r="K525"/>
      <x:c r="L525"/>
      <x:c r="M525"/>
      <x:c r="N525"/>
      <x:c r="O525"/>
    </x:row>
    <x:row r="526">
      <x:c r="H526" s="46"/>
      <x:c r="I526" s="46"/>
      <x:c r="J526" s="48"/>
      <x:c r="K526"/>
      <x:c r="L526"/>
      <x:c r="M526"/>
      <x:c r="N526"/>
      <x:c r="O526"/>
    </x:row>
    <x:row r="527">
      <x:c r="H527" s="46"/>
      <x:c r="I527" s="46"/>
      <x:c r="J527" s="48"/>
      <x:c r="K527"/>
      <x:c r="L527"/>
      <x:c r="M527"/>
      <x:c r="N527"/>
      <x:c r="O527"/>
    </x:row>
    <x:row r="528">
      <x:c r="H528" s="46"/>
      <x:c r="I528" s="46"/>
      <x:c r="J528" s="48"/>
      <x:c r="K528"/>
      <x:c r="L528"/>
      <x:c r="M528"/>
      <x:c r="N528"/>
      <x:c r="O528"/>
    </x:row>
    <x:row r="529">
      <x:c r="H529" s="46"/>
      <x:c r="I529" s="46"/>
      <x:c r="J529" s="48"/>
      <x:c r="K529"/>
      <x:c r="L529"/>
      <x:c r="M529"/>
      <x:c r="N529"/>
      <x:c r="O529"/>
    </x:row>
    <x:row r="530">
      <x:c r="H530" s="46"/>
      <x:c r="I530" s="46"/>
      <x:c r="J530" s="48"/>
      <x:c r="K530"/>
      <x:c r="L530"/>
      <x:c r="M530"/>
      <x:c r="N530"/>
      <x:c r="O530"/>
    </x:row>
    <x:row r="531">
      <x:c r="H531" s="46"/>
      <x:c r="I531" s="46"/>
      <x:c r="J531" s="48"/>
      <x:c r="K531"/>
      <x:c r="L531"/>
      <x:c r="M531"/>
      <x:c r="N531"/>
      <x:c r="O531"/>
    </x:row>
    <x:row r="532">
      <x:c r="H532" s="46"/>
      <x:c r="I532" s="46"/>
      <x:c r="J532" s="48"/>
      <x:c r="K532"/>
      <x:c r="L532"/>
      <x:c r="M532"/>
      <x:c r="N532"/>
      <x:c r="O532"/>
    </x:row>
    <x:row r="533">
      <x:c r="H533" s="46"/>
      <x:c r="I533" s="46"/>
      <x:c r="J533" s="48"/>
      <x:c r="K533"/>
      <x:c r="L533"/>
      <x:c r="M533"/>
      <x:c r="N533"/>
      <x:c r="O533"/>
    </x:row>
    <x:row r="534">
      <x:c r="H534" s="46"/>
      <x:c r="I534" s="46"/>
      <x:c r="J534" s="48"/>
      <x:c r="K534"/>
      <x:c r="L534"/>
      <x:c r="M534"/>
      <x:c r="N534"/>
      <x:c r="O534"/>
    </x:row>
    <x:row r="535">
      <x:c r="H535" s="46"/>
      <x:c r="I535" s="46"/>
      <x:c r="J535" s="48"/>
      <x:c r="K535"/>
      <x:c r="L535"/>
      <x:c r="M535"/>
      <x:c r="N535"/>
      <x:c r="O535"/>
    </x:row>
    <x:row r="536">
      <x:c r="H536" s="46"/>
      <x:c r="I536" s="46"/>
      <x:c r="J536" s="48"/>
      <x:c r="K536"/>
      <x:c r="L536"/>
      <x:c r="M536"/>
      <x:c r="N536"/>
      <x:c r="O536"/>
    </x:row>
    <x:row r="537">
      <x:c r="H537" s="46"/>
      <x:c r="I537" s="46"/>
      <x:c r="J537" s="48"/>
      <x:c r="K537"/>
      <x:c r="L537"/>
      <x:c r="M537"/>
      <x:c r="N537"/>
      <x:c r="O537"/>
    </x:row>
    <x:row r="538">
      <x:c r="H538" s="46"/>
      <x:c r="I538" s="46"/>
      <x:c r="J538" s="48"/>
      <x:c r="K538"/>
      <x:c r="L538"/>
      <x:c r="M538"/>
      <x:c r="N538"/>
      <x:c r="O538"/>
    </x:row>
    <x:row r="539">
      <x:c r="H539" s="46"/>
      <x:c r="I539" s="46"/>
      <x:c r="J539" s="48"/>
      <x:c r="K539"/>
      <x:c r="L539"/>
      <x:c r="M539"/>
      <x:c r="N539"/>
      <x:c r="O539"/>
    </x:row>
    <x:row r="540">
      <x:c r="H540" s="46"/>
      <x:c r="I540" s="46"/>
      <x:c r="J540" s="48"/>
      <x:c r="K540"/>
      <x:c r="L540"/>
      <x:c r="M540"/>
      <x:c r="N540"/>
      <x:c r="O540"/>
    </x:row>
    <x:row r="541">
      <x:c r="H541" s="46"/>
      <x:c r="I541" s="46"/>
      <x:c r="J541" s="48"/>
      <x:c r="K541"/>
      <x:c r="L541"/>
      <x:c r="M541"/>
      <x:c r="N541"/>
      <x:c r="O541"/>
    </x:row>
    <x:row r="542">
      <x:c r="H542" s="46"/>
      <x:c r="I542" s="46"/>
      <x:c r="J542" s="48"/>
      <x:c r="K542"/>
      <x:c r="L542"/>
      <x:c r="M542"/>
      <x:c r="N542"/>
      <x:c r="O542"/>
    </x:row>
    <x:row r="543">
      <x:c r="H543" s="46"/>
      <x:c r="I543" s="46"/>
      <x:c r="J543" s="48"/>
      <x:c r="K543"/>
      <x:c r="L543"/>
      <x:c r="M543"/>
      <x:c r="N543"/>
      <x:c r="O543"/>
    </x:row>
    <x:row r="544">
      <x:c r="H544" s="46"/>
      <x:c r="I544" s="46"/>
      <x:c r="J544" s="48"/>
      <x:c r="K544"/>
      <x:c r="L544"/>
      <x:c r="M544"/>
      <x:c r="N544"/>
      <x:c r="O544"/>
    </x:row>
    <x:row r="545">
      <x:c r="H545" s="46"/>
      <x:c r="I545" s="46"/>
      <x:c r="J545" s="48"/>
      <x:c r="K545"/>
      <x:c r="L545"/>
      <x:c r="M545"/>
      <x:c r="N545"/>
      <x:c r="O545"/>
    </x:row>
    <x:row r="546">
      <x:c r="H546" s="46"/>
      <x:c r="I546" s="46"/>
      <x:c r="J546" s="48"/>
      <x:c r="K546"/>
      <x:c r="L546"/>
      <x:c r="M546"/>
      <x:c r="N546"/>
      <x:c r="O546"/>
    </x:row>
    <x:row r="547">
      <x:c r="H547" s="46"/>
      <x:c r="I547" s="46"/>
      <x:c r="J547" s="48"/>
      <x:c r="K547"/>
      <x:c r="L547"/>
      <x:c r="M547"/>
      <x:c r="N547"/>
      <x:c r="O547"/>
    </x:row>
    <x:row r="548">
      <x:c r="H548" s="46"/>
      <x:c r="I548" s="46"/>
      <x:c r="J548" s="48"/>
      <x:c r="K548"/>
      <x:c r="L548"/>
      <x:c r="M548"/>
      <x:c r="N548"/>
      <x:c r="O548"/>
    </x:row>
    <x:row r="549">
      <x:c r="H549" s="46"/>
      <x:c r="I549" s="46"/>
      <x:c r="J549" s="48"/>
      <x:c r="K549"/>
      <x:c r="L549"/>
      <x:c r="M549"/>
      <x:c r="N549"/>
      <x:c r="O549"/>
    </x:row>
    <x:row r="550">
      <x:c r="H550" s="46"/>
      <x:c r="I550" s="46"/>
      <x:c r="J550" s="48"/>
      <x:c r="K550"/>
      <x:c r="L550"/>
      <x:c r="M550"/>
      <x:c r="N550"/>
      <x:c r="O550"/>
    </x:row>
    <x:row r="551">
      <x:c r="H551" s="46"/>
      <x:c r="I551" s="46"/>
      <x:c r="J551" s="48"/>
      <x:c r="K551"/>
      <x:c r="L551"/>
      <x:c r="M551"/>
      <x:c r="N551"/>
      <x:c r="O551"/>
    </x:row>
    <x:row r="552">
      <x:c r="H552" s="46"/>
      <x:c r="I552" s="46"/>
      <x:c r="J552" s="48"/>
      <x:c r="K552"/>
      <x:c r="L552"/>
      <x:c r="M552"/>
      <x:c r="N552"/>
      <x:c r="O552"/>
    </x:row>
    <x:row r="553">
      <x:c r="H553" s="46"/>
      <x:c r="I553" s="46"/>
      <x:c r="J553" s="48"/>
      <x:c r="K553"/>
      <x:c r="L553"/>
      <x:c r="M553"/>
      <x:c r="N553"/>
      <x:c r="O553"/>
    </x:row>
    <x:row r="554">
      <x:c r="H554" s="46"/>
      <x:c r="I554" s="46"/>
      <x:c r="J554" s="48"/>
      <x:c r="K554"/>
      <x:c r="L554"/>
      <x:c r="M554"/>
      <x:c r="N554"/>
      <x:c r="O554"/>
    </x:row>
    <x:row r="555">
      <x:c r="H555" s="46"/>
      <x:c r="I555" s="46"/>
      <x:c r="J555" s="48"/>
      <x:c r="K555"/>
      <x:c r="L555"/>
      <x:c r="M555"/>
      <x:c r="N555"/>
      <x:c r="O555"/>
    </x:row>
    <x:row r="556">
      <x:c r="H556" s="46"/>
      <x:c r="I556" s="46"/>
      <x:c r="J556" s="48"/>
      <x:c r="K556"/>
      <x:c r="L556"/>
      <x:c r="M556"/>
      <x:c r="N556"/>
      <x:c r="O556"/>
    </x:row>
    <x:row r="557">
      <x:c r="H557" s="46"/>
      <x:c r="I557" s="46"/>
      <x:c r="J557" s="48"/>
      <x:c r="K557"/>
      <x:c r="L557"/>
      <x:c r="M557"/>
      <x:c r="N557"/>
      <x:c r="O557"/>
    </x:row>
    <x:row r="558">
      <x:c r="H558" s="46"/>
      <x:c r="I558" s="46"/>
      <x:c r="J558" s="48"/>
      <x:c r="K558"/>
      <x:c r="L558"/>
      <x:c r="M558"/>
      <x:c r="N558"/>
      <x:c r="O558"/>
    </x:row>
    <x:row r="559">
      <x:c r="H559" s="46"/>
      <x:c r="I559" s="46"/>
      <x:c r="J559" s="48"/>
      <x:c r="K559"/>
      <x:c r="L559"/>
      <x:c r="M559"/>
      <x:c r="N559"/>
      <x:c r="O559"/>
    </x:row>
    <x:row r="560">
      <x:c r="H560" s="46"/>
      <x:c r="I560" s="46"/>
      <x:c r="J560" s="48"/>
      <x:c r="K560"/>
      <x:c r="L560"/>
      <x:c r="M560"/>
      <x:c r="N560"/>
      <x:c r="O560"/>
    </x:row>
    <x:row r="561">
      <x:c r="H561" s="46"/>
      <x:c r="I561" s="46"/>
      <x:c r="J561" s="48"/>
      <x:c r="K561"/>
      <x:c r="L561"/>
      <x:c r="M561"/>
      <x:c r="N561"/>
      <x:c r="O561"/>
    </x:row>
    <x:row r="562">
      <x:c r="H562" s="46"/>
      <x:c r="I562" s="46"/>
      <x:c r="J562" s="48"/>
      <x:c r="K562"/>
      <x:c r="L562"/>
      <x:c r="M562"/>
      <x:c r="N562"/>
      <x:c r="O562"/>
    </x:row>
    <x:row r="563">
      <x:c r="H563" s="46"/>
      <x:c r="I563" s="46"/>
      <x:c r="J563" s="48"/>
      <x:c r="K563"/>
      <x:c r="L563"/>
      <x:c r="M563"/>
      <x:c r="N563"/>
      <x:c r="O563"/>
    </x:row>
    <x:row r="564">
      <x:c r="H564" s="46"/>
      <x:c r="I564" s="46"/>
      <x:c r="J564" s="48"/>
      <x:c r="K564"/>
      <x:c r="L564"/>
      <x:c r="M564"/>
      <x:c r="N564"/>
      <x:c r="O564"/>
    </x:row>
    <x:row r="565">
      <x:c r="H565" s="46"/>
      <x:c r="I565" s="46"/>
      <x:c r="J565" s="48"/>
      <x:c r="K565"/>
      <x:c r="L565"/>
      <x:c r="M565"/>
      <x:c r="N565"/>
      <x:c r="O565"/>
    </x:row>
    <x:row r="566">
      <x:c r="H566" s="46"/>
      <x:c r="I566" s="46"/>
      <x:c r="J566" s="48"/>
      <x:c r="K566"/>
      <x:c r="L566"/>
      <x:c r="M566"/>
      <x:c r="N566"/>
      <x:c r="O566"/>
    </x:row>
    <x:row r="567">
      <x:c r="H567" s="46"/>
      <x:c r="I567" s="46"/>
      <x:c r="J567" s="48"/>
      <x:c r="K567"/>
      <x:c r="L567"/>
      <x:c r="M567"/>
      <x:c r="N567"/>
      <x:c r="O567"/>
    </x:row>
    <x:row r="568">
      <x:c r="H568" s="46"/>
      <x:c r="I568" s="46"/>
      <x:c r="J568" s="48"/>
      <x:c r="K568"/>
      <x:c r="L568"/>
      <x:c r="M568"/>
      <x:c r="N568"/>
      <x:c r="O568"/>
    </x:row>
    <x:row r="569">
      <x:c r="H569" s="46"/>
      <x:c r="I569" s="46"/>
      <x:c r="J569" s="48"/>
      <x:c r="K569"/>
      <x:c r="L569"/>
      <x:c r="M569"/>
      <x:c r="N569"/>
      <x:c r="O569"/>
    </x:row>
    <x:row r="570">
      <x:c r="H570" s="46"/>
      <x:c r="I570" s="46"/>
      <x:c r="J570" s="48"/>
      <x:c r="K570"/>
      <x:c r="L570"/>
      <x:c r="M570"/>
      <x:c r="N570"/>
      <x:c r="O570"/>
    </x:row>
    <x:row r="571">
      <x:c r="H571" s="46"/>
      <x:c r="I571" s="46"/>
      <x:c r="J571" s="48"/>
      <x:c r="K571"/>
      <x:c r="L571"/>
      <x:c r="M571"/>
      <x:c r="N571"/>
      <x:c r="O571"/>
    </x:row>
    <x:row r="572">
      <x:c r="H572" s="46"/>
      <x:c r="I572" s="46"/>
      <x:c r="J572" s="48"/>
      <x:c r="K572"/>
      <x:c r="L572"/>
      <x:c r="M572"/>
      <x:c r="N572"/>
      <x:c r="O572"/>
    </x:row>
    <x:row r="573">
      <x:c r="H573" s="46"/>
      <x:c r="I573" s="46"/>
      <x:c r="J573" s="48"/>
      <x:c r="K573"/>
      <x:c r="L573"/>
      <x:c r="M573"/>
      <x:c r="N573"/>
      <x:c r="O573"/>
    </x:row>
    <x:row r="574">
      <x:c r="H574" s="46"/>
      <x:c r="I574" s="46"/>
      <x:c r="J574" s="48"/>
      <x:c r="K574"/>
      <x:c r="L574"/>
      <x:c r="M574"/>
      <x:c r="N574"/>
      <x:c r="O574"/>
    </x:row>
    <x:row r="575">
      <x:c r="H575" s="46"/>
      <x:c r="I575" s="46"/>
      <x:c r="J575" s="48"/>
      <x:c r="K575"/>
      <x:c r="L575"/>
      <x:c r="M575"/>
      <x:c r="N575"/>
      <x:c r="O575"/>
    </x:row>
    <x:row r="576">
      <x:c r="H576" s="46"/>
      <x:c r="I576" s="46"/>
      <x:c r="J576" s="48"/>
      <x:c r="K576"/>
      <x:c r="L576"/>
      <x:c r="M576"/>
      <x:c r="N576"/>
      <x:c r="O576"/>
    </x:row>
    <x:row r="577">
      <x:c r="H577" s="46"/>
      <x:c r="I577" s="46"/>
      <x:c r="J577" s="48"/>
      <x:c r="K577"/>
      <x:c r="L577"/>
      <x:c r="M577"/>
      <x:c r="N577"/>
      <x:c r="O577"/>
    </x:row>
    <x:row r="578">
      <x:c r="H578" s="46"/>
      <x:c r="I578" s="46"/>
      <x:c r="J578" s="48"/>
      <x:c r="K578"/>
      <x:c r="L578"/>
      <x:c r="M578"/>
      <x:c r="N578"/>
      <x:c r="O578"/>
    </x:row>
    <x:row r="579">
      <x:c r="H579" s="46"/>
      <x:c r="I579" s="46"/>
      <x:c r="J579" s="48"/>
      <x:c r="K579"/>
      <x:c r="L579"/>
      <x:c r="M579"/>
      <x:c r="N579"/>
      <x:c r="O579"/>
    </x:row>
    <x:row r="580">
      <x:c r="H580" s="46"/>
      <x:c r="I580" s="46"/>
      <x:c r="J580" s="48"/>
      <x:c r="K580"/>
      <x:c r="L580"/>
      <x:c r="M580"/>
      <x:c r="N580"/>
      <x:c r="O580"/>
    </x:row>
    <x:row r="581">
      <x:c r="H581" s="46"/>
      <x:c r="I581" s="46"/>
      <x:c r="J581" s="48"/>
      <x:c r="K581"/>
      <x:c r="L581"/>
      <x:c r="M581"/>
      <x:c r="N581"/>
      <x:c r="O581"/>
    </x:row>
    <x:row r="582">
      <x:c r="H582" s="46"/>
      <x:c r="I582" s="46"/>
      <x:c r="J582" s="48"/>
      <x:c r="K582"/>
      <x:c r="L582"/>
      <x:c r="M582"/>
      <x:c r="N582"/>
      <x:c r="O582"/>
    </x:row>
    <x:row r="583">
      <x:c r="H583" s="46"/>
      <x:c r="I583" s="46"/>
      <x:c r="J583" s="48"/>
      <x:c r="K583"/>
      <x:c r="L583"/>
      <x:c r="M583"/>
      <x:c r="N583"/>
      <x:c r="O583"/>
    </x:row>
    <x:row r="584">
      <x:c r="H584" s="46"/>
      <x:c r="I584" s="46"/>
      <x:c r="J584" s="48"/>
      <x:c r="K584"/>
      <x:c r="L584"/>
      <x:c r="M584"/>
      <x:c r="N584"/>
      <x:c r="O584"/>
    </x:row>
    <x:row r="585">
      <x:c r="H585" s="46"/>
      <x:c r="I585" s="46"/>
      <x:c r="J585" s="48"/>
      <x:c r="K585"/>
      <x:c r="L585"/>
      <x:c r="M585"/>
      <x:c r="N585"/>
      <x:c r="O585"/>
    </x:row>
    <x:row r="586">
      <x:c r="H586" s="46"/>
      <x:c r="I586" s="46"/>
      <x:c r="J586" s="48"/>
      <x:c r="K586"/>
      <x:c r="L586"/>
      <x:c r="M586"/>
      <x:c r="N586"/>
      <x:c r="O586"/>
    </x:row>
    <x:row r="587">
      <x:c r="H587" s="46"/>
      <x:c r="I587" s="46"/>
      <x:c r="J587" s="48"/>
      <x:c r="K587"/>
      <x:c r="L587"/>
      <x:c r="M587"/>
      <x:c r="N587"/>
      <x:c r="O587"/>
    </x:row>
    <x:row r="588">
      <x:c r="H588" s="46"/>
      <x:c r="I588" s="46"/>
      <x:c r="J588" s="48"/>
      <x:c r="K588"/>
      <x:c r="L588"/>
      <x:c r="M588"/>
      <x:c r="N588"/>
      <x:c r="O588"/>
    </x:row>
    <x:row r="589">
      <x:c r="H589" s="46"/>
      <x:c r="I589" s="46"/>
      <x:c r="J589" s="48"/>
      <x:c r="K589"/>
      <x:c r="L589"/>
      <x:c r="M589"/>
      <x:c r="N589"/>
      <x:c r="O589"/>
    </x:row>
    <x:row r="590">
      <x:c r="H590" s="46"/>
      <x:c r="I590" s="46"/>
      <x:c r="J590" s="48"/>
      <x:c r="K590"/>
      <x:c r="L590"/>
      <x:c r="M590"/>
      <x:c r="N590"/>
      <x:c r="O590"/>
    </x:row>
    <x:row r="591">
      <x:c r="H591" s="46"/>
      <x:c r="I591" s="46"/>
      <x:c r="J591" s="48"/>
      <x:c r="K591"/>
      <x:c r="L591"/>
      <x:c r="M591"/>
      <x:c r="N591"/>
      <x:c r="O591"/>
    </x:row>
    <x:row r="592">
      <x:c r="H592" s="46"/>
      <x:c r="I592" s="46"/>
      <x:c r="J592" s="48"/>
      <x:c r="K592"/>
      <x:c r="L592"/>
      <x:c r="M592"/>
      <x:c r="N592"/>
      <x:c r="O592"/>
    </x:row>
    <x:row r="593">
      <x:c r="H593" s="46"/>
      <x:c r="I593" s="46"/>
      <x:c r="J593" s="48"/>
      <x:c r="K593"/>
      <x:c r="L593"/>
      <x:c r="M593"/>
      <x:c r="N593"/>
      <x:c r="O593"/>
    </x:row>
    <x:row r="594">
      <x:c r="H594" s="46"/>
      <x:c r="I594" s="46"/>
      <x:c r="J594" s="48"/>
      <x:c r="K594"/>
      <x:c r="L594"/>
      <x:c r="M594"/>
      <x:c r="N594"/>
      <x:c r="O594"/>
    </x:row>
    <x:row r="595">
      <x:c r="H595" s="46"/>
      <x:c r="I595" s="46"/>
      <x:c r="J595" s="48"/>
      <x:c r="K595"/>
      <x:c r="L595"/>
      <x:c r="M595"/>
      <x:c r="N595"/>
      <x:c r="O595"/>
    </x:row>
    <x:row r="596">
      <x:c r="H596" s="46"/>
      <x:c r="I596" s="46"/>
      <x:c r="J596" s="48"/>
      <x:c r="K596"/>
      <x:c r="L596"/>
      <x:c r="M596"/>
      <x:c r="N596"/>
      <x:c r="O596"/>
    </x:row>
    <x:row r="597">
      <x:c r="H597" s="46"/>
      <x:c r="I597" s="46"/>
      <x:c r="J597" s="48"/>
      <x:c r="K597"/>
      <x:c r="L597"/>
      <x:c r="M597"/>
      <x:c r="N597"/>
      <x:c r="O597"/>
    </x:row>
    <x:row r="598">
      <x:c r="H598" s="46"/>
      <x:c r="I598" s="46"/>
      <x:c r="J598" s="48"/>
      <x:c r="K598"/>
      <x:c r="L598"/>
      <x:c r="M598"/>
      <x:c r="N598"/>
      <x:c r="O598"/>
    </x:row>
    <x:row r="599">
      <x:c r="H599" s="46"/>
      <x:c r="I599" s="46"/>
      <x:c r="J599" s="48"/>
      <x:c r="K599"/>
      <x:c r="L599"/>
      <x:c r="M599"/>
      <x:c r="N599"/>
      <x:c r="O599"/>
    </x:row>
    <x:row r="600">
      <x:c r="H600" s="46"/>
      <x:c r="I600" s="46"/>
      <x:c r="J600" s="48"/>
      <x:c r="K600"/>
      <x:c r="L600"/>
      <x:c r="M600"/>
      <x:c r="N600"/>
      <x:c r="O600"/>
    </x:row>
    <x:row r="601">
      <x:c r="H601" s="46"/>
      <x:c r="I601" s="46"/>
      <x:c r="J601" s="48"/>
      <x:c r="K601"/>
      <x:c r="L601"/>
      <x:c r="M601"/>
      <x:c r="N601"/>
      <x:c r="O601"/>
    </x:row>
    <x:row r="602">
      <x:c r="H602" s="46"/>
      <x:c r="I602" s="46"/>
      <x:c r="J602" s="48"/>
      <x:c r="K602"/>
      <x:c r="L602"/>
      <x:c r="M602"/>
      <x:c r="N602"/>
      <x:c r="O602"/>
    </x:row>
    <x:row r="603">
      <x:c r="H603" s="46"/>
      <x:c r="I603" s="46"/>
      <x:c r="J603" s="48"/>
      <x:c r="K603"/>
      <x:c r="L603"/>
      <x:c r="M603"/>
      <x:c r="N603"/>
      <x:c r="O603"/>
    </x:row>
    <x:row r="604">
      <x:c r="H604" s="46"/>
      <x:c r="I604" s="46"/>
      <x:c r="J604" s="48"/>
      <x:c r="K604"/>
      <x:c r="L604"/>
      <x:c r="M604"/>
      <x:c r="N604"/>
      <x:c r="O604"/>
    </x:row>
    <x:row r="605">
      <x:c r="H605" s="46"/>
      <x:c r="I605" s="46"/>
      <x:c r="J605" s="48"/>
      <x:c r="K605"/>
      <x:c r="L605"/>
      <x:c r="M605"/>
      <x:c r="N605"/>
      <x:c r="O605"/>
    </x:row>
    <x:row r="606">
      <x:c r="H606" s="46"/>
      <x:c r="I606" s="46"/>
      <x:c r="J606" s="48"/>
      <x:c r="K606"/>
      <x:c r="L606"/>
      <x:c r="M606"/>
      <x:c r="N606"/>
      <x:c r="O606"/>
    </x:row>
    <x:row r="607">
      <x:c r="H607" s="46"/>
      <x:c r="I607" s="46"/>
      <x:c r="J607" s="48"/>
      <x:c r="K607"/>
      <x:c r="L607"/>
      <x:c r="M607"/>
      <x:c r="N607"/>
      <x:c r="O607"/>
    </x:row>
    <x:row r="608">
      <x:c r="H608" s="46"/>
      <x:c r="I608" s="46"/>
      <x:c r="J608" s="48"/>
      <x:c r="K608"/>
      <x:c r="L608"/>
      <x:c r="M608"/>
      <x:c r="N608"/>
      <x:c r="O608"/>
    </x:row>
    <x:row r="609">
      <x:c r="H609" s="46"/>
      <x:c r="I609" s="46"/>
      <x:c r="J609" s="48"/>
      <x:c r="K609"/>
      <x:c r="L609"/>
      <x:c r="M609"/>
      <x:c r="N609"/>
      <x:c r="O609"/>
    </x:row>
    <x:row r="610">
      <x:c r="H610" s="46"/>
      <x:c r="I610" s="46"/>
      <x:c r="J610" s="48"/>
      <x:c r="K610"/>
      <x:c r="L610"/>
      <x:c r="M610"/>
      <x:c r="N610"/>
      <x:c r="O610"/>
    </x:row>
    <x:row r="611">
      <x:c r="H611" s="46"/>
      <x:c r="I611" s="46"/>
      <x:c r="J611" s="48"/>
      <x:c r="K611"/>
      <x:c r="L611"/>
      <x:c r="M611"/>
      <x:c r="N611"/>
      <x:c r="O611"/>
    </x:row>
    <x:row r="612">
      <x:c r="H612" s="46"/>
      <x:c r="I612" s="46"/>
      <x:c r="J612" s="48"/>
      <x:c r="K612"/>
      <x:c r="L612"/>
      <x:c r="M612"/>
      <x:c r="N612"/>
      <x:c r="O612"/>
    </x:row>
    <x:row r="613">
      <x:c r="H613" s="46"/>
      <x:c r="I613" s="46"/>
      <x:c r="J613" s="48"/>
      <x:c r="K613"/>
      <x:c r="L613"/>
      <x:c r="M613"/>
      <x:c r="N613"/>
      <x:c r="O613"/>
    </x:row>
    <x:row r="614">
      <x:c r="H614" s="46"/>
      <x:c r="I614" s="46"/>
      <x:c r="J614" s="48"/>
      <x:c r="K614"/>
      <x:c r="L614"/>
      <x:c r="M614"/>
      <x:c r="N614"/>
      <x:c r="O614"/>
    </x:row>
    <x:row r="615">
      <x:c r="H615" s="46"/>
      <x:c r="I615" s="46"/>
      <x:c r="J615" s="48"/>
      <x:c r="K615"/>
      <x:c r="L615"/>
      <x:c r="M615"/>
      <x:c r="N615"/>
      <x:c r="O615"/>
    </x:row>
    <x:row r="616">
      <x:c r="H616" s="46"/>
      <x:c r="I616" s="46"/>
      <x:c r="J616" s="48"/>
      <x:c r="K616"/>
      <x:c r="L616"/>
      <x:c r="M616"/>
      <x:c r="N616"/>
      <x:c r="O616"/>
    </x:row>
    <x:row r="617">
      <x:c r="H617" s="46"/>
      <x:c r="I617" s="46"/>
      <x:c r="J617" s="48"/>
      <x:c r="K617"/>
      <x:c r="L617"/>
      <x:c r="M617"/>
      <x:c r="N617"/>
      <x:c r="O617"/>
    </x:row>
    <x:row r="618">
      <x:c r="H618" s="46"/>
      <x:c r="I618" s="46"/>
      <x:c r="J618" s="48"/>
      <x:c r="K618"/>
      <x:c r="L618"/>
      <x:c r="M618"/>
      <x:c r="N618"/>
      <x:c r="O618"/>
    </x:row>
    <x:row r="619">
      <x:c r="H619" s="46"/>
      <x:c r="I619" s="46"/>
      <x:c r="J619" s="48"/>
      <x:c r="K619"/>
      <x:c r="L619"/>
      <x:c r="M619"/>
      <x:c r="N619"/>
      <x:c r="O619"/>
    </x:row>
    <x:row r="620">
      <x:c r="H620" s="46"/>
      <x:c r="I620" s="46"/>
      <x:c r="J620" s="48"/>
      <x:c r="K620"/>
      <x:c r="L620"/>
      <x:c r="M620"/>
      <x:c r="N620"/>
      <x:c r="O620"/>
    </x:row>
    <x:row r="621">
      <x:c r="H621" s="46"/>
      <x:c r="I621" s="46"/>
      <x:c r="J621" s="48"/>
      <x:c r="K621"/>
      <x:c r="L621"/>
      <x:c r="M621"/>
      <x:c r="N621"/>
      <x:c r="O621"/>
    </x:row>
    <x:row r="622">
      <x:c r="H622" s="46"/>
      <x:c r="I622" s="46"/>
      <x:c r="J622" s="48"/>
      <x:c r="K622"/>
      <x:c r="L622"/>
      <x:c r="M622"/>
      <x:c r="N622"/>
      <x:c r="O622"/>
    </x:row>
    <x:row r="623">
      <x:c r="H623" s="46"/>
      <x:c r="I623" s="46"/>
      <x:c r="J623" s="48"/>
      <x:c r="K623"/>
      <x:c r="L623"/>
      <x:c r="M623"/>
      <x:c r="N623"/>
      <x:c r="O623"/>
    </x:row>
    <x:row r="624">
      <x:c r="H624" s="46"/>
      <x:c r="I624" s="46"/>
      <x:c r="J624" s="48"/>
      <x:c r="K624"/>
      <x:c r="L624"/>
      <x:c r="M624"/>
      <x:c r="N624"/>
      <x:c r="O624"/>
    </x:row>
    <x:row r="625">
      <x:c r="H625" s="46"/>
      <x:c r="I625" s="46"/>
      <x:c r="J625" s="48"/>
      <x:c r="K625"/>
      <x:c r="L625"/>
      <x:c r="M625"/>
      <x:c r="N625"/>
      <x:c r="O625"/>
    </x:row>
    <x:row r="626">
      <x:c r="H626" s="46"/>
      <x:c r="I626" s="46"/>
      <x:c r="J626" s="48"/>
      <x:c r="K626"/>
      <x:c r="L626"/>
      <x:c r="M626"/>
      <x:c r="N626"/>
      <x:c r="O626"/>
    </x:row>
    <x:row r="627">
      <x:c r="H627" s="46"/>
      <x:c r="I627" s="46"/>
      <x:c r="J627" s="48"/>
      <x:c r="K627"/>
      <x:c r="L627"/>
      <x:c r="M627"/>
      <x:c r="N627"/>
      <x:c r="O627"/>
    </x:row>
    <x:row r="628">
      <x:c r="H628" s="46"/>
      <x:c r="I628" s="46"/>
      <x:c r="J628" s="48"/>
      <x:c r="K628"/>
      <x:c r="L628"/>
      <x:c r="M628"/>
      <x:c r="N628"/>
      <x:c r="O628"/>
    </x:row>
    <x:row r="629">
      <x:c r="H629" s="46"/>
      <x:c r="I629" s="46"/>
      <x:c r="J629" s="48"/>
      <x:c r="K629"/>
      <x:c r="L629"/>
      <x:c r="M629"/>
      <x:c r="N629"/>
      <x:c r="O629"/>
    </x:row>
    <x:row r="630">
      <x:c r="H630" s="46"/>
      <x:c r="I630" s="46"/>
      <x:c r="J630" s="48"/>
      <x:c r="K630"/>
      <x:c r="L630"/>
      <x:c r="M630"/>
      <x:c r="N630"/>
      <x:c r="O630"/>
    </x:row>
    <x:row r="631">
      <x:c r="H631" s="46"/>
      <x:c r="I631" s="46"/>
      <x:c r="J631" s="48"/>
      <x:c r="K631"/>
      <x:c r="L631"/>
      <x:c r="M631"/>
      <x:c r="N631"/>
      <x:c r="O631"/>
    </x:row>
    <x:row r="632">
      <x:c r="H632" s="46"/>
      <x:c r="I632" s="46"/>
      <x:c r="J632" s="48"/>
      <x:c r="K632"/>
      <x:c r="L632"/>
      <x:c r="M632"/>
      <x:c r="N632"/>
      <x:c r="O632"/>
    </x:row>
    <x:row r="633">
      <x:c r="H633" s="46"/>
      <x:c r="I633" s="46"/>
      <x:c r="J633" s="48"/>
      <x:c r="K633"/>
      <x:c r="L633"/>
      <x:c r="M633"/>
      <x:c r="N633"/>
      <x:c r="O633"/>
    </x:row>
    <x:row r="634">
      <x:c r="H634" s="46"/>
      <x:c r="I634" s="46"/>
      <x:c r="J634" s="48"/>
      <x:c r="K634"/>
      <x:c r="L634"/>
      <x:c r="M634"/>
      <x:c r="N634"/>
      <x:c r="O634"/>
    </x:row>
    <x:row r="635">
      <x:c r="H635" s="46"/>
      <x:c r="I635" s="46"/>
      <x:c r="J635" s="48"/>
      <x:c r="K635"/>
      <x:c r="L635"/>
      <x:c r="M635"/>
      <x:c r="N635"/>
      <x:c r="O635"/>
    </x:row>
    <x:row r="636">
      <x:c r="H636" s="46"/>
      <x:c r="I636" s="46"/>
      <x:c r="J636" s="48"/>
      <x:c r="K636"/>
      <x:c r="L636"/>
      <x:c r="M636"/>
      <x:c r="N636"/>
      <x:c r="O636"/>
    </x:row>
    <x:row r="637">
      <x:c r="H637" s="46"/>
      <x:c r="I637" s="46"/>
      <x:c r="J637" s="48"/>
      <x:c r="K637"/>
      <x:c r="L637"/>
      <x:c r="M637"/>
      <x:c r="N637"/>
      <x:c r="O637"/>
    </x:row>
    <x:row r="638">
      <x:c r="H638" s="46"/>
      <x:c r="I638" s="46"/>
      <x:c r="J638" s="48"/>
      <x:c r="K638"/>
      <x:c r="L638"/>
      <x:c r="M638"/>
      <x:c r="N638"/>
      <x:c r="O638"/>
    </x:row>
    <x:row r="639">
      <x:c r="H639" s="46"/>
      <x:c r="I639" s="46"/>
      <x:c r="J639" s="48"/>
      <x:c r="K639"/>
      <x:c r="L639"/>
      <x:c r="M639"/>
      <x:c r="N639"/>
      <x:c r="O639"/>
    </x:row>
    <x:row r="640">
      <x:c r="H640" s="46"/>
      <x:c r="I640" s="46"/>
      <x:c r="J640" s="48"/>
      <x:c r="K640"/>
      <x:c r="L640"/>
      <x:c r="M640"/>
      <x:c r="N640"/>
      <x:c r="O640"/>
    </x:row>
    <x:row r="641">
      <x:c r="H641" s="46"/>
      <x:c r="I641" s="46"/>
      <x:c r="J641" s="48"/>
      <x:c r="K641"/>
      <x:c r="L641"/>
      <x:c r="M641"/>
      <x:c r="N641"/>
      <x:c r="O641"/>
    </x:row>
    <x:row r="642">
      <x:c r="H642" s="46"/>
      <x:c r="I642" s="46"/>
      <x:c r="J642" s="48"/>
      <x:c r="K642"/>
      <x:c r="L642"/>
      <x:c r="M642"/>
      <x:c r="N642"/>
      <x:c r="O642"/>
    </x:row>
    <x:row r="643">
      <x:c r="H643" s="46"/>
      <x:c r="I643" s="46"/>
      <x:c r="J643" s="48"/>
      <x:c r="K643"/>
      <x:c r="L643"/>
      <x:c r="M643"/>
      <x:c r="N643"/>
      <x:c r="O643"/>
    </x:row>
    <x:row r="644">
      <x:c r="H644" s="46"/>
      <x:c r="I644" s="46"/>
      <x:c r="J644" s="48"/>
      <x:c r="K644"/>
      <x:c r="L644"/>
      <x:c r="M644"/>
      <x:c r="N644"/>
      <x:c r="O644"/>
    </x:row>
    <x:row r="645">
      <x:c r="H645" s="46"/>
      <x:c r="I645" s="46"/>
      <x:c r="J645" s="48"/>
      <x:c r="K645"/>
      <x:c r="L645"/>
      <x:c r="M645"/>
      <x:c r="N645"/>
      <x:c r="O645"/>
    </x:row>
    <x:row r="646">
      <x:c r="H646" s="46"/>
      <x:c r="I646" s="46"/>
      <x:c r="J646" s="48"/>
      <x:c r="K646"/>
      <x:c r="L646"/>
      <x:c r="M646"/>
      <x:c r="N646"/>
      <x:c r="O646"/>
    </x:row>
    <x:row r="647">
      <x:c r="H647" s="46"/>
      <x:c r="I647" s="46"/>
      <x:c r="J647" s="48"/>
      <x:c r="K647"/>
      <x:c r="L647"/>
      <x:c r="M647"/>
      <x:c r="N647"/>
      <x:c r="O647"/>
    </x:row>
    <x:row r="648">
      <x:c r="H648" s="46"/>
      <x:c r="I648" s="46"/>
      <x:c r="J648" s="48"/>
      <x:c r="K648"/>
      <x:c r="L648"/>
      <x:c r="M648"/>
      <x:c r="N648"/>
      <x:c r="O648"/>
    </x:row>
    <x:row r="649">
      <x:c r="H649" s="46"/>
      <x:c r="I649" s="46"/>
      <x:c r="J649" s="48"/>
      <x:c r="K649"/>
      <x:c r="L649"/>
      <x:c r="M649"/>
      <x:c r="N649"/>
      <x:c r="O649"/>
    </x:row>
    <x:row r="650">
      <x:c r="H650" s="46"/>
      <x:c r="I650" s="46"/>
      <x:c r="J650" s="48"/>
      <x:c r="K650"/>
      <x:c r="L650"/>
      <x:c r="M650"/>
      <x:c r="N650"/>
      <x:c r="O650"/>
    </x:row>
    <x:row r="651">
      <x:c r="H651" s="46"/>
      <x:c r="I651" s="46"/>
      <x:c r="J651" s="48"/>
      <x:c r="K651"/>
      <x:c r="L651"/>
      <x:c r="M651"/>
      <x:c r="N651"/>
      <x:c r="O651"/>
    </x:row>
    <x:row r="652">
      <x:c r="H652" s="46"/>
      <x:c r="I652" s="46"/>
      <x:c r="J652" s="48"/>
      <x:c r="K652"/>
      <x:c r="L652"/>
      <x:c r="M652"/>
      <x:c r="N652"/>
      <x:c r="O652"/>
    </x:row>
    <x:row r="653">
      <x:c r="H653" s="46"/>
      <x:c r="I653" s="46"/>
      <x:c r="J653" s="48"/>
      <x:c r="K653"/>
      <x:c r="L653"/>
      <x:c r="M653"/>
      <x:c r="N653"/>
      <x:c r="O653"/>
    </x:row>
    <x:row r="654">
      <x:c r="H654" s="46"/>
      <x:c r="I654" s="46"/>
      <x:c r="J654" s="48"/>
      <x:c r="K654"/>
      <x:c r="L654"/>
      <x:c r="M654"/>
      <x:c r="N654"/>
      <x:c r="O654"/>
    </x:row>
    <x:row r="655">
      <x:c r="H655" s="46"/>
      <x:c r="I655" s="46"/>
      <x:c r="J655" s="48"/>
      <x:c r="K655"/>
      <x:c r="L655"/>
      <x:c r="M655"/>
      <x:c r="N655"/>
      <x:c r="O655"/>
    </x:row>
    <x:row r="656">
      <x:c r="H656" s="46"/>
      <x:c r="I656" s="46"/>
      <x:c r="J656" s="48"/>
      <x:c r="K656"/>
      <x:c r="L656"/>
      <x:c r="M656"/>
      <x:c r="N656"/>
      <x:c r="O656"/>
    </x:row>
    <x:row r="657">
      <x:c r="H657" s="46"/>
      <x:c r="I657" s="46"/>
      <x:c r="J657" s="48"/>
      <x:c r="K657"/>
      <x:c r="L657"/>
      <x:c r="M657"/>
      <x:c r="N657"/>
      <x:c r="O657"/>
    </x:row>
    <x:row r="658">
      <x:c r="H658" s="46"/>
      <x:c r="I658" s="46"/>
      <x:c r="J658" s="48"/>
      <x:c r="K658"/>
      <x:c r="L658"/>
      <x:c r="M658"/>
      <x:c r="N658"/>
      <x:c r="O658"/>
    </x:row>
    <x:row r="659">
      <x:c r="H659" s="46"/>
      <x:c r="I659" s="46"/>
      <x:c r="J659" s="48"/>
      <x:c r="K659"/>
      <x:c r="L659"/>
      <x:c r="M659"/>
      <x:c r="N659"/>
      <x:c r="O659"/>
    </x:row>
    <x:row r="660">
      <x:c r="H660" s="46"/>
      <x:c r="I660" s="46"/>
      <x:c r="J660" s="48"/>
      <x:c r="K660"/>
      <x:c r="L660"/>
      <x:c r="M660"/>
      <x:c r="N660"/>
      <x:c r="O660"/>
    </x:row>
    <x:row r="661">
      <x:c r="H661" s="46"/>
      <x:c r="I661" s="46"/>
      <x:c r="J661" s="48"/>
      <x:c r="K661"/>
      <x:c r="L661"/>
      <x:c r="M661"/>
      <x:c r="N661"/>
      <x:c r="O661"/>
    </x:row>
    <x:row r="662">
      <x:c r="H662" s="46"/>
      <x:c r="I662" s="46"/>
      <x:c r="J662" s="48"/>
      <x:c r="K662"/>
      <x:c r="L662"/>
      <x:c r="M662"/>
      <x:c r="N662"/>
      <x:c r="O662"/>
    </x:row>
    <x:row r="663">
      <x:c r="H663" s="46"/>
      <x:c r="I663" s="46"/>
      <x:c r="J663" s="48"/>
      <x:c r="K663"/>
      <x:c r="L663"/>
      <x:c r="M663"/>
      <x:c r="N663"/>
      <x:c r="O663"/>
    </x:row>
    <x:row r="664">
      <x:c r="H664" s="46"/>
      <x:c r="I664" s="46"/>
      <x:c r="J664" s="48"/>
      <x:c r="K664"/>
      <x:c r="L664"/>
      <x:c r="M664"/>
      <x:c r="N664"/>
      <x:c r="O664"/>
    </x:row>
    <x:row r="665">
      <x:c r="H665" s="46"/>
      <x:c r="I665" s="46"/>
      <x:c r="J665" s="48"/>
      <x:c r="K665"/>
      <x:c r="L665"/>
      <x:c r="M665"/>
      <x:c r="N665"/>
      <x:c r="O665"/>
    </x:row>
    <x:row r="666">
      <x:c r="H666" s="46"/>
      <x:c r="I666" s="46"/>
      <x:c r="J666" s="48"/>
      <x:c r="K666"/>
      <x:c r="L666"/>
      <x:c r="M666"/>
      <x:c r="N666"/>
      <x:c r="O666"/>
    </x:row>
    <x:row r="667">
      <x:c r="H667" s="46"/>
      <x:c r="I667" s="46"/>
      <x:c r="J667" s="48"/>
      <x:c r="K667"/>
      <x:c r="L667"/>
      <x:c r="M667"/>
      <x:c r="N667"/>
      <x:c r="O667"/>
    </x:row>
    <x:row r="668">
      <x:c r="H668" s="46"/>
      <x:c r="I668" s="46"/>
      <x:c r="J668" s="48"/>
      <x:c r="K668"/>
      <x:c r="L668"/>
      <x:c r="M668"/>
      <x:c r="N668"/>
      <x:c r="O668"/>
    </x:row>
    <x:row r="669">
      <x:c r="H669" s="46"/>
      <x:c r="I669" s="46"/>
      <x:c r="J669" s="48"/>
      <x:c r="K669"/>
      <x:c r="L669"/>
      <x:c r="M669"/>
      <x:c r="N669"/>
      <x:c r="O669"/>
    </x:row>
    <x:row r="670">
      <x:c r="H670" s="46"/>
      <x:c r="I670" s="46"/>
      <x:c r="J670" s="48"/>
      <x:c r="K670"/>
      <x:c r="L670"/>
      <x:c r="M670"/>
      <x:c r="N670"/>
      <x:c r="O670"/>
    </x:row>
    <x:row r="671">
      <x:c r="H671" s="46"/>
      <x:c r="I671" s="46"/>
      <x:c r="J671" s="48"/>
      <x:c r="K671"/>
      <x:c r="L671"/>
      <x:c r="M671"/>
      <x:c r="N671"/>
      <x:c r="O671"/>
    </x:row>
    <x:row r="672">
      <x:c r="H672" s="46"/>
      <x:c r="I672" s="46"/>
      <x:c r="J672" s="48"/>
      <x:c r="K672"/>
      <x:c r="L672"/>
      <x:c r="M672"/>
      <x:c r="N672"/>
      <x:c r="O672"/>
    </x:row>
    <x:row r="673">
      <x:c r="H673" s="46"/>
      <x:c r="I673" s="46"/>
      <x:c r="J673" s="48"/>
      <x:c r="K673"/>
      <x:c r="L673"/>
      <x:c r="M673"/>
      <x:c r="N673"/>
      <x:c r="O673"/>
    </x:row>
    <x:row r="674">
      <x:c r="H674" s="46"/>
      <x:c r="I674" s="46"/>
      <x:c r="J674" s="48"/>
      <x:c r="K674"/>
      <x:c r="L674"/>
      <x:c r="M674"/>
      <x:c r="N674"/>
      <x:c r="O674"/>
    </x:row>
    <x:row r="675">
      <x:c r="H675" s="46"/>
      <x:c r="I675" s="46"/>
      <x:c r="J675" s="48"/>
      <x:c r="K675"/>
      <x:c r="L675"/>
      <x:c r="M675"/>
      <x:c r="N675"/>
      <x:c r="O675"/>
    </x:row>
    <x:row r="676">
      <x:c r="H676" s="46"/>
      <x:c r="I676" s="46"/>
      <x:c r="J676" s="48"/>
      <x:c r="K676"/>
      <x:c r="L676"/>
      <x:c r="M676"/>
      <x:c r="N676"/>
      <x:c r="O676"/>
    </x:row>
    <x:row r="677">
      <x:c r="H677" s="46"/>
      <x:c r="I677" s="46"/>
      <x:c r="J677" s="48"/>
      <x:c r="K677"/>
      <x:c r="L677"/>
      <x:c r="M677"/>
      <x:c r="N677"/>
      <x:c r="O677"/>
    </x:row>
    <x:row r="678">
      <x:c r="H678" s="46"/>
      <x:c r="I678" s="46"/>
      <x:c r="J678" s="48"/>
      <x:c r="K678"/>
      <x:c r="L678"/>
      <x:c r="M678"/>
      <x:c r="N678"/>
      <x:c r="O678"/>
    </x:row>
    <x:row r="679">
      <x:c r="H679" s="46"/>
      <x:c r="I679" s="46"/>
      <x:c r="J679" s="48"/>
      <x:c r="K679"/>
      <x:c r="L679"/>
      <x:c r="M679"/>
      <x:c r="N679"/>
      <x:c r="O679"/>
    </x:row>
    <x:row r="680">
      <x:c r="H680" s="46"/>
      <x:c r="I680" s="46"/>
      <x:c r="J680" s="48"/>
      <x:c r="K680"/>
      <x:c r="L680"/>
      <x:c r="M680"/>
      <x:c r="N680"/>
      <x:c r="O680"/>
    </x:row>
    <x:row r="681">
      <x:c r="H681" s="46"/>
      <x:c r="I681" s="46"/>
      <x:c r="J681" s="48"/>
      <x:c r="K681"/>
      <x:c r="L681"/>
      <x:c r="M681"/>
      <x:c r="N681"/>
      <x:c r="O681"/>
    </x:row>
    <x:row r="682">
      <x:c r="H682" s="46"/>
      <x:c r="I682" s="46"/>
      <x:c r="J682" s="48"/>
      <x:c r="K682"/>
      <x:c r="L682"/>
      <x:c r="M682"/>
      <x:c r="N682"/>
      <x:c r="O682"/>
    </x:row>
    <x:row r="683">
      <x:c r="H683" s="46"/>
      <x:c r="I683" s="46"/>
      <x:c r="J683" s="48"/>
      <x:c r="K683"/>
      <x:c r="L683"/>
      <x:c r="M683"/>
      <x:c r="N683"/>
      <x:c r="O683"/>
    </x:row>
    <x:row r="684">
      <x:c r="H684" s="46"/>
      <x:c r="I684" s="46"/>
      <x:c r="J684" s="48"/>
      <x:c r="K684"/>
      <x:c r="L684"/>
      <x:c r="M684"/>
      <x:c r="N684"/>
      <x:c r="O684"/>
    </x:row>
    <x:row r="685">
      <x:c r="H685" s="46"/>
      <x:c r="I685" s="46"/>
      <x:c r="J685" s="48"/>
      <x:c r="K685"/>
      <x:c r="L685"/>
      <x:c r="M685"/>
      <x:c r="N685"/>
      <x:c r="O685"/>
    </x:row>
    <x:row r="686">
      <x:c r="H686" s="46"/>
      <x:c r="I686" s="46"/>
      <x:c r="J686" s="48"/>
      <x:c r="K686"/>
      <x:c r="L686"/>
      <x:c r="M686"/>
      <x:c r="N686"/>
      <x:c r="O686"/>
    </x:row>
    <x:row r="687">
      <x:c r="H687" s="46"/>
      <x:c r="I687" s="46"/>
      <x:c r="J687" s="48"/>
      <x:c r="K687"/>
      <x:c r="L687"/>
      <x:c r="M687"/>
      <x:c r="N687"/>
      <x:c r="O687"/>
    </x:row>
    <x:row r="688">
      <x:c r="H688" s="46"/>
      <x:c r="I688" s="46"/>
      <x:c r="J688" s="48"/>
      <x:c r="K688"/>
      <x:c r="L688"/>
      <x:c r="M688"/>
      <x:c r="N688"/>
      <x:c r="O688"/>
    </x:row>
    <x:row r="689">
      <x:c r="H689" s="46"/>
      <x:c r="I689" s="46"/>
      <x:c r="J689" s="48"/>
      <x:c r="K689"/>
      <x:c r="L689"/>
      <x:c r="M689"/>
      <x:c r="N689"/>
      <x:c r="O689"/>
    </x:row>
    <x:row r="690">
      <x:c r="H690" s="46"/>
      <x:c r="I690" s="46"/>
      <x:c r="J690" s="48"/>
      <x:c r="K690"/>
      <x:c r="L690"/>
      <x:c r="M690"/>
      <x:c r="N690"/>
      <x:c r="O690"/>
    </x:row>
    <x:row r="691">
      <x:c r="H691" s="46"/>
      <x:c r="I691" s="46"/>
      <x:c r="J691" s="48"/>
      <x:c r="K691"/>
      <x:c r="L691"/>
      <x:c r="M691"/>
      <x:c r="N691"/>
      <x:c r="O691"/>
    </x:row>
    <x:row r="692">
      <x:c r="H692" s="46"/>
      <x:c r="I692" s="46"/>
      <x:c r="J692" s="48"/>
      <x:c r="K692"/>
      <x:c r="L692"/>
      <x:c r="M692"/>
      <x:c r="N692"/>
      <x:c r="O692"/>
    </x:row>
    <x:row r="693">
      <x:c r="H693" s="46"/>
      <x:c r="I693" s="46"/>
      <x:c r="J693" s="48"/>
      <x:c r="K693"/>
      <x:c r="L693"/>
      <x:c r="M693"/>
      <x:c r="N693"/>
      <x:c r="O693"/>
    </x:row>
    <x:row r="694">
      <x:c r="H694" s="46"/>
      <x:c r="I694" s="46"/>
      <x:c r="J694" s="48"/>
      <x:c r="K694"/>
      <x:c r="L694"/>
      <x:c r="M694"/>
      <x:c r="N694"/>
      <x:c r="O694"/>
    </x:row>
    <x:row r="695">
      <x:c r="H695" s="46"/>
      <x:c r="I695" s="46"/>
      <x:c r="J695" s="48"/>
      <x:c r="K695"/>
      <x:c r="L695"/>
      <x:c r="M695"/>
      <x:c r="N695"/>
      <x:c r="O695"/>
    </x:row>
    <x:row r="696">
      <x:c r="H696" s="46"/>
      <x:c r="I696" s="46"/>
      <x:c r="J696" s="48"/>
      <x:c r="K696"/>
      <x:c r="L696"/>
      <x:c r="M696"/>
      <x:c r="N696"/>
      <x:c r="O696"/>
    </x:row>
    <x:row r="697">
      <x:c r="H697" s="46"/>
      <x:c r="I697" s="46"/>
      <x:c r="J697" s="48"/>
      <x:c r="K697"/>
      <x:c r="L697"/>
      <x:c r="M697"/>
      <x:c r="N697"/>
      <x:c r="O697"/>
    </x:row>
    <x:row r="698">
      <x:c r="H698" s="46"/>
      <x:c r="I698" s="46"/>
      <x:c r="J698" s="48"/>
      <x:c r="K698"/>
      <x:c r="L698"/>
      <x:c r="M698"/>
      <x:c r="N698"/>
      <x:c r="O698"/>
    </x:row>
    <x:row r="699">
      <x:c r="H699" s="46"/>
      <x:c r="I699" s="46"/>
      <x:c r="J699" s="48"/>
      <x:c r="K699"/>
      <x:c r="L699"/>
      <x:c r="M699"/>
      <x:c r="N699"/>
      <x:c r="O699"/>
    </x:row>
    <x:row r="700">
      <x:c r="H700" s="46"/>
      <x:c r="I700" s="46"/>
      <x:c r="J700" s="48"/>
      <x:c r="K700"/>
      <x:c r="L700"/>
      <x:c r="M700"/>
      <x:c r="N700"/>
      <x:c r="O700"/>
    </x:row>
    <x:row r="701">
      <x:c r="H701" s="46"/>
      <x:c r="I701" s="46"/>
      <x:c r="J701" s="48"/>
      <x:c r="K701"/>
      <x:c r="L701"/>
      <x:c r="M701"/>
      <x:c r="N701"/>
      <x:c r="O701"/>
    </x:row>
    <x:row r="702">
      <x:c r="H702" s="46"/>
      <x:c r="I702" s="46"/>
      <x:c r="J702" s="48"/>
      <x:c r="K702"/>
      <x:c r="L702"/>
      <x:c r="M702"/>
      <x:c r="N702"/>
      <x:c r="O702"/>
    </x:row>
    <x:row r="703">
      <x:c r="H703" s="46"/>
      <x:c r="I703" s="46"/>
      <x:c r="J703" s="48"/>
      <x:c r="K703"/>
      <x:c r="L703"/>
      <x:c r="M703"/>
      <x:c r="N703"/>
      <x:c r="O703"/>
    </x:row>
    <x:row r="704">
      <x:c r="H704" s="46"/>
      <x:c r="I704" s="46"/>
      <x:c r="J704" s="48"/>
      <x:c r="K704"/>
      <x:c r="L704"/>
      <x:c r="M704"/>
      <x:c r="N704"/>
      <x:c r="O704"/>
    </x:row>
    <x:row r="705">
      <x:c r="H705" s="46"/>
      <x:c r="I705" s="46"/>
      <x:c r="J705" s="48"/>
      <x:c r="K705"/>
      <x:c r="L705"/>
      <x:c r="M705"/>
      <x:c r="N705"/>
      <x:c r="O705"/>
    </x:row>
    <x:row r="706">
      <x:c r="H706" s="46"/>
      <x:c r="I706" s="46"/>
      <x:c r="J706" s="48"/>
      <x:c r="K706"/>
      <x:c r="L706"/>
      <x:c r="M706"/>
      <x:c r="N706"/>
      <x:c r="O706"/>
    </x:row>
    <x:row r="707">
      <x:c r="H707" s="46"/>
      <x:c r="I707" s="46"/>
      <x:c r="J707" s="48"/>
      <x:c r="K707"/>
      <x:c r="L707"/>
      <x:c r="M707"/>
      <x:c r="N707"/>
      <x:c r="O707"/>
    </x:row>
    <x:row r="708">
      <x:c r="H708" s="46"/>
      <x:c r="I708" s="46"/>
      <x:c r="J708" s="48"/>
      <x:c r="K708"/>
      <x:c r="L708"/>
      <x:c r="M708"/>
      <x:c r="N708"/>
      <x:c r="O708"/>
    </x:row>
    <x:row r="709">
      <x:c r="H709" s="46"/>
      <x:c r="I709" s="46"/>
      <x:c r="J709" s="48"/>
      <x:c r="K709"/>
      <x:c r="L709"/>
      <x:c r="M709"/>
      <x:c r="N709"/>
      <x:c r="O709"/>
    </x:row>
    <x:row r="710">
      <x:c r="H710" s="46"/>
      <x:c r="I710" s="46"/>
      <x:c r="J710" s="48"/>
      <x:c r="K710"/>
      <x:c r="L710"/>
      <x:c r="M710"/>
      <x:c r="N710"/>
      <x:c r="O710"/>
    </x:row>
    <x:row r="711">
      <x:c r="H711" s="46"/>
      <x:c r="I711" s="46"/>
      <x:c r="J711" s="48"/>
      <x:c r="K711"/>
      <x:c r="L711"/>
      <x:c r="M711"/>
      <x:c r="N711"/>
      <x:c r="O711"/>
    </x:row>
    <x:row r="712">
      <x:c r="H712" s="46"/>
      <x:c r="I712" s="46"/>
      <x:c r="J712" s="48"/>
      <x:c r="K712"/>
      <x:c r="L712"/>
      <x:c r="M712"/>
      <x:c r="N712"/>
      <x:c r="O712"/>
    </x:row>
    <x:row r="713">
      <x:c r="H713" s="46"/>
      <x:c r="I713" s="46"/>
      <x:c r="J713" s="48"/>
      <x:c r="K713"/>
      <x:c r="L713"/>
      <x:c r="M713"/>
      <x:c r="N713"/>
      <x:c r="O713"/>
    </x:row>
    <x:row r="714">
      <x:c r="H714" s="46"/>
      <x:c r="I714" s="46"/>
      <x:c r="J714" s="48"/>
      <x:c r="K714"/>
      <x:c r="L714"/>
      <x:c r="M714"/>
      <x:c r="N714"/>
      <x:c r="O714"/>
    </x:row>
    <x:row r="715">
      <x:c r="H715" s="46"/>
      <x:c r="I715" s="46"/>
      <x:c r="J715" s="48"/>
      <x:c r="K715"/>
      <x:c r="L715"/>
      <x:c r="M715"/>
      <x:c r="N715"/>
      <x:c r="O715"/>
    </x:row>
    <x:row r="716">
      <x:c r="H716" s="46"/>
      <x:c r="I716" s="46"/>
      <x:c r="J716" s="48"/>
      <x:c r="K716"/>
      <x:c r="L716"/>
      <x:c r="M716"/>
      <x:c r="N716"/>
      <x:c r="O716"/>
    </x:row>
    <x:row r="717">
      <x:c r="H717" s="46"/>
      <x:c r="I717" s="46"/>
      <x:c r="J717" s="48"/>
      <x:c r="K717"/>
      <x:c r="L717"/>
      <x:c r="M717"/>
      <x:c r="N717"/>
      <x:c r="O717"/>
    </x:row>
    <x:row r="718">
      <x:c r="H718" s="46"/>
      <x:c r="I718" s="46"/>
      <x:c r="J718" s="48"/>
      <x:c r="K718"/>
      <x:c r="L718"/>
      <x:c r="M718"/>
      <x:c r="N718"/>
      <x:c r="O718"/>
    </x:row>
    <x:row r="719">
      <x:c r="H719" s="46"/>
      <x:c r="I719" s="46"/>
      <x:c r="J719" s="48"/>
      <x:c r="K719"/>
      <x:c r="L719"/>
      <x:c r="M719"/>
      <x:c r="N719"/>
      <x:c r="O719"/>
    </x:row>
    <x:row r="720">
      <x:c r="H720" s="46"/>
      <x:c r="I720" s="46"/>
      <x:c r="J720" s="48"/>
      <x:c r="K720"/>
      <x:c r="L720"/>
      <x:c r="M720"/>
      <x:c r="N720"/>
      <x:c r="O720"/>
    </x:row>
    <x:row r="721">
      <x:c r="H721" s="46"/>
      <x:c r="I721" s="46"/>
      <x:c r="J721" s="48"/>
      <x:c r="K721"/>
      <x:c r="L721"/>
      <x:c r="M721"/>
      <x:c r="N721"/>
      <x:c r="O721"/>
    </x:row>
    <x:row r="722">
      <x:c r="H722" s="46"/>
      <x:c r="I722" s="46"/>
      <x:c r="J722" s="48"/>
      <x:c r="K722"/>
      <x:c r="L722"/>
      <x:c r="M722"/>
      <x:c r="N722"/>
      <x:c r="O722"/>
    </x:row>
    <x:row r="723">
      <x:c r="H723" s="46"/>
      <x:c r="I723" s="46"/>
      <x:c r="J723" s="48"/>
      <x:c r="K723"/>
      <x:c r="L723"/>
      <x:c r="M723"/>
      <x:c r="N723"/>
      <x:c r="O723"/>
    </x:row>
    <x:row r="724">
      <x:c r="H724" s="46"/>
      <x:c r="I724" s="46"/>
      <x:c r="J724" s="48"/>
      <x:c r="K724"/>
      <x:c r="L724"/>
      <x:c r="M724"/>
      <x:c r="N724"/>
      <x:c r="O724"/>
    </x:row>
    <x:row r="725">
      <x:c r="H725" s="46"/>
      <x:c r="I725" s="46"/>
      <x:c r="J725" s="48"/>
      <x:c r="K725"/>
      <x:c r="L725"/>
      <x:c r="M725"/>
      <x:c r="N725"/>
      <x:c r="O725"/>
    </x:row>
    <x:row r="726">
      <x:c r="H726" s="46"/>
      <x:c r="I726" s="46"/>
      <x:c r="J726" s="48"/>
      <x:c r="K726"/>
      <x:c r="L726"/>
      <x:c r="M726"/>
      <x:c r="N726"/>
      <x:c r="O726"/>
    </x:row>
    <x:row r="727">
      <x:c r="H727" s="46"/>
      <x:c r="I727" s="46"/>
      <x:c r="J727" s="48"/>
      <x:c r="K727"/>
      <x:c r="L727"/>
      <x:c r="M727"/>
      <x:c r="N727"/>
      <x:c r="O727"/>
    </x:row>
    <x:row r="728">
      <x:c r="H728" s="46"/>
      <x:c r="I728" s="46"/>
      <x:c r="J728" s="48"/>
      <x:c r="K728"/>
      <x:c r="L728"/>
      <x:c r="M728"/>
      <x:c r="N728"/>
      <x:c r="O728"/>
    </x:row>
    <x:row r="729">
      <x:c r="H729" s="46"/>
      <x:c r="I729" s="46"/>
      <x:c r="J729" s="48"/>
      <x:c r="K729"/>
      <x:c r="L729"/>
      <x:c r="M729"/>
      <x:c r="N729"/>
      <x:c r="O729"/>
    </x:row>
    <x:row r="730">
      <x:c r="H730" s="46"/>
      <x:c r="I730" s="46"/>
      <x:c r="J730" s="48"/>
      <x:c r="K730"/>
      <x:c r="L730"/>
      <x:c r="M730"/>
      <x:c r="N730"/>
      <x:c r="O730"/>
    </x:row>
    <x:row r="731">
      <x:c r="H731" s="46"/>
      <x:c r="I731" s="46"/>
      <x:c r="J731" s="48"/>
      <x:c r="K731"/>
      <x:c r="L731"/>
      <x:c r="M731"/>
      <x:c r="N731"/>
      <x:c r="O731"/>
    </x:row>
    <x:row r="732">
      <x:c r="H732" s="46"/>
      <x:c r="I732" s="46"/>
      <x:c r="J732" s="48"/>
      <x:c r="K732"/>
      <x:c r="L732"/>
      <x:c r="M732"/>
      <x:c r="N732"/>
      <x:c r="O732"/>
    </x:row>
    <x:row r="733">
      <x:c r="H733" s="46"/>
      <x:c r="I733" s="46"/>
      <x:c r="J733" s="48"/>
      <x:c r="K733"/>
      <x:c r="L733"/>
      <x:c r="M733"/>
      <x:c r="N733"/>
      <x:c r="O733"/>
    </x:row>
    <x:row r="734">
      <x:c r="H734" s="46"/>
      <x:c r="I734" s="46"/>
      <x:c r="J734" s="48"/>
      <x:c r="K734"/>
      <x:c r="L734"/>
      <x:c r="M734"/>
      <x:c r="N734"/>
      <x:c r="O734"/>
    </x:row>
    <x:row r="735">
      <x:c r="H735" s="46"/>
      <x:c r="I735" s="46"/>
      <x:c r="J735" s="48"/>
      <x:c r="K735"/>
      <x:c r="L735"/>
      <x:c r="M735"/>
      <x:c r="N735"/>
      <x:c r="O735"/>
    </x:row>
    <x:row r="736">
      <x:c r="H736" s="46"/>
      <x:c r="I736" s="46"/>
      <x:c r="J736" s="48"/>
      <x:c r="K736"/>
      <x:c r="L736"/>
      <x:c r="M736"/>
      <x:c r="N736"/>
      <x:c r="O736"/>
    </x:row>
    <x:row r="737">
      <x:c r="H737" s="46"/>
      <x:c r="I737" s="46"/>
      <x:c r="J737" s="48"/>
      <x:c r="K737"/>
      <x:c r="L737"/>
      <x:c r="M737"/>
      <x:c r="N737"/>
      <x:c r="O737"/>
    </x:row>
    <x:row r="738">
      <x:c r="H738" s="46"/>
      <x:c r="I738" s="46"/>
      <x:c r="J738" s="48"/>
      <x:c r="K738"/>
      <x:c r="L738"/>
      <x:c r="M738"/>
      <x:c r="N738"/>
      <x:c r="O738"/>
    </x:row>
    <x:row r="739">
      <x:c r="H739" s="46"/>
      <x:c r="I739" s="46"/>
      <x:c r="J739" s="48"/>
      <x:c r="K739"/>
      <x:c r="L739"/>
      <x:c r="M739"/>
      <x:c r="N739"/>
      <x:c r="O739"/>
    </x:row>
    <x:row r="740">
      <x:c r="H740" s="46"/>
      <x:c r="I740" s="46"/>
      <x:c r="J740" s="48"/>
      <x:c r="K740"/>
      <x:c r="L740"/>
      <x:c r="M740"/>
      <x:c r="N740"/>
      <x:c r="O740"/>
    </x:row>
    <x:row r="741">
      <x:c r="H741" s="46"/>
      <x:c r="I741" s="46"/>
      <x:c r="J741" s="48"/>
      <x:c r="K741"/>
      <x:c r="L741"/>
      <x:c r="M741"/>
      <x:c r="N741"/>
      <x:c r="O741"/>
    </x:row>
    <x:row r="742">
      <x:c r="H742" s="46"/>
      <x:c r="I742" s="46"/>
      <x:c r="J742" s="48"/>
      <x:c r="K742"/>
      <x:c r="L742"/>
      <x:c r="M742"/>
      <x:c r="N742"/>
      <x:c r="O742"/>
    </x:row>
    <x:row r="743">
      <x:c r="H743" s="46"/>
      <x:c r="I743" s="46"/>
      <x:c r="J743" s="48"/>
      <x:c r="K743"/>
      <x:c r="L743"/>
      <x:c r="M743"/>
      <x:c r="N743"/>
      <x:c r="O743"/>
    </x:row>
    <x:row r="744">
      <x:c r="H744" s="46"/>
      <x:c r="I744" s="46"/>
      <x:c r="J744" s="48"/>
      <x:c r="K744"/>
      <x:c r="L744"/>
      <x:c r="M744"/>
      <x:c r="N744"/>
      <x:c r="O744"/>
    </x:row>
    <x:row r="745">
      <x:c r="H745" s="46"/>
      <x:c r="I745" s="46"/>
      <x:c r="J745" s="48"/>
      <x:c r="K745"/>
      <x:c r="L745"/>
      <x:c r="M745"/>
      <x:c r="N745"/>
      <x:c r="O745"/>
    </x:row>
    <x:row r="746">
      <x:c r="H746" s="46"/>
      <x:c r="I746" s="46"/>
      <x:c r="J746" s="48"/>
      <x:c r="K746"/>
      <x:c r="L746"/>
      <x:c r="M746"/>
      <x:c r="N746"/>
      <x:c r="O746"/>
    </x:row>
    <x:row r="747">
      <x:c r="H747" s="46"/>
      <x:c r="I747" s="46"/>
      <x:c r="J747" s="48"/>
      <x:c r="K747"/>
      <x:c r="L747"/>
      <x:c r="M747"/>
      <x:c r="N747"/>
      <x:c r="O747"/>
    </x:row>
    <x:row r="748">
      <x:c r="H748" s="46"/>
      <x:c r="I748" s="46"/>
      <x:c r="J748" s="48"/>
      <x:c r="K748"/>
      <x:c r="L748"/>
      <x:c r="M748"/>
      <x:c r="N748"/>
      <x:c r="O748"/>
    </x:row>
    <x:row r="749">
      <x:c r="H749" s="46"/>
      <x:c r="I749" s="46"/>
      <x:c r="J749" s="48"/>
      <x:c r="K749"/>
      <x:c r="L749"/>
      <x:c r="M749"/>
      <x:c r="N749"/>
      <x:c r="O749"/>
    </x:row>
    <x:row r="750">
      <x:c r="H750" s="46"/>
      <x:c r="I750" s="46"/>
      <x:c r="J750" s="48"/>
      <x:c r="K750"/>
      <x:c r="L750"/>
      <x:c r="M750"/>
      <x:c r="N750"/>
      <x:c r="O750"/>
    </x:row>
    <x:row r="751">
      <x:c r="H751" s="46"/>
      <x:c r="I751" s="46"/>
      <x:c r="J751" s="48"/>
      <x:c r="K751"/>
      <x:c r="L751"/>
      <x:c r="M751"/>
      <x:c r="N751"/>
      <x:c r="O751"/>
    </x:row>
    <x:row r="752">
      <x:c r="H752" s="46"/>
      <x:c r="I752" s="46"/>
      <x:c r="J752" s="48"/>
      <x:c r="K752"/>
      <x:c r="L752"/>
      <x:c r="M752"/>
      <x:c r="N752"/>
      <x:c r="O752"/>
    </x:row>
    <x:row r="753">
      <x:c r="H753" s="46"/>
      <x:c r="I753" s="46"/>
      <x:c r="J753" s="48"/>
      <x:c r="K753"/>
      <x:c r="L753"/>
      <x:c r="M753"/>
      <x:c r="N753"/>
      <x:c r="O753"/>
    </x:row>
    <x:row r="754">
      <x:c r="H754" s="46"/>
      <x:c r="I754" s="46"/>
      <x:c r="J754" s="48"/>
      <x:c r="K754"/>
      <x:c r="L754"/>
      <x:c r="M754"/>
      <x:c r="N754"/>
      <x:c r="O754"/>
    </x:row>
    <x:row r="755">
      <x:c r="H755" s="46"/>
      <x:c r="I755" s="46"/>
      <x:c r="J755" s="48"/>
      <x:c r="K755"/>
      <x:c r="L755"/>
      <x:c r="M755"/>
      <x:c r="N755"/>
      <x:c r="O755"/>
    </x:row>
    <x:row r="756">
      <x:c r="H756" s="46"/>
      <x:c r="I756" s="46"/>
      <x:c r="J756" s="48"/>
      <x:c r="K756"/>
      <x:c r="L756"/>
      <x:c r="M756"/>
      <x:c r="N756"/>
      <x:c r="O756"/>
    </x:row>
    <x:row r="757">
      <x:c r="H757" s="46"/>
      <x:c r="I757" s="46"/>
      <x:c r="J757" s="48"/>
      <x:c r="K757"/>
      <x:c r="L757"/>
      <x:c r="M757"/>
      <x:c r="N757"/>
      <x:c r="O757"/>
    </x:row>
    <x:row r="758">
      <x:c r="H758" s="46"/>
      <x:c r="I758" s="46"/>
      <x:c r="J758" s="48"/>
      <x:c r="K758"/>
      <x:c r="L758"/>
      <x:c r="M758"/>
      <x:c r="N758"/>
      <x:c r="O758"/>
    </x:row>
    <x:row r="759">
      <x:c r="H759" s="46"/>
      <x:c r="I759" s="46"/>
      <x:c r="J759" s="48"/>
      <x:c r="K759"/>
      <x:c r="L759"/>
      <x:c r="M759"/>
      <x:c r="N759"/>
      <x:c r="O759"/>
    </x:row>
    <x:row r="760">
      <x:c r="H760" s="46"/>
      <x:c r="I760" s="46"/>
      <x:c r="J760" s="48"/>
      <x:c r="K760"/>
      <x:c r="L760"/>
      <x:c r="M760"/>
      <x:c r="N760"/>
      <x:c r="O760"/>
    </x:row>
    <x:row r="761">
      <x:c r="H761" s="46"/>
      <x:c r="I761" s="46"/>
      <x:c r="J761" s="48"/>
      <x:c r="K761"/>
      <x:c r="L761"/>
      <x:c r="M761"/>
      <x:c r="N761"/>
      <x:c r="O761"/>
    </x:row>
    <x:row r="762">
      <x:c r="H762" s="46"/>
      <x:c r="I762" s="46"/>
      <x:c r="J762" s="48"/>
      <x:c r="K762"/>
      <x:c r="L762"/>
      <x:c r="M762"/>
      <x:c r="N762"/>
      <x:c r="O762"/>
    </x:row>
    <x:row r="763">
      <x:c r="H763" s="46"/>
      <x:c r="I763" s="46"/>
      <x:c r="J763" s="48"/>
      <x:c r="K763"/>
      <x:c r="L763"/>
      <x:c r="M763"/>
      <x:c r="N763"/>
      <x:c r="O763"/>
    </x:row>
    <x:row r="764">
      <x:c r="H764" s="46"/>
      <x:c r="I764" s="46"/>
      <x:c r="J764" s="48"/>
      <x:c r="K764"/>
      <x:c r="L764"/>
      <x:c r="M764"/>
      <x:c r="N764"/>
      <x:c r="O764"/>
    </x:row>
    <x:row r="765">
      <x:c r="H765" s="46"/>
      <x:c r="I765" s="46"/>
      <x:c r="J765" s="48"/>
      <x:c r="K765"/>
      <x:c r="L765"/>
      <x:c r="M765"/>
      <x:c r="N765"/>
      <x:c r="O765"/>
    </x:row>
    <x:row r="766">
      <x:c r="H766" s="46"/>
      <x:c r="I766" s="46"/>
      <x:c r="J766" s="48"/>
      <x:c r="K766"/>
      <x:c r="L766"/>
      <x:c r="M766"/>
      <x:c r="N766"/>
      <x:c r="O766"/>
    </x:row>
    <x:row r="767">
      <x:c r="H767" s="46"/>
      <x:c r="I767" s="46"/>
      <x:c r="J767" s="48"/>
      <x:c r="K767"/>
      <x:c r="L767"/>
      <x:c r="M767"/>
      <x:c r="N767"/>
      <x:c r="O767"/>
    </x:row>
    <x:row r="768">
      <x:c r="H768" s="46"/>
      <x:c r="I768" s="46"/>
      <x:c r="J768" s="48"/>
      <x:c r="K768"/>
      <x:c r="L768"/>
      <x:c r="M768"/>
      <x:c r="N768"/>
      <x:c r="O768"/>
    </x:row>
    <x:row r="769">
      <x:c r="H769" s="46"/>
      <x:c r="I769" s="46"/>
      <x:c r="J769" s="48"/>
      <x:c r="K769"/>
      <x:c r="L769"/>
      <x:c r="M769"/>
      <x:c r="N769"/>
      <x:c r="O769"/>
    </x:row>
    <x:row r="770">
      <x:c r="H770" s="46"/>
      <x:c r="I770" s="46"/>
      <x:c r="J770" s="48"/>
      <x:c r="K770"/>
      <x:c r="L770"/>
      <x:c r="M770"/>
      <x:c r="N770"/>
      <x:c r="O770"/>
    </x:row>
    <x:row r="771">
      <x:c r="H771" s="46"/>
      <x:c r="I771" s="46"/>
      <x:c r="J771" s="48"/>
      <x:c r="K771"/>
      <x:c r="L771"/>
      <x:c r="M771"/>
      <x:c r="N771"/>
      <x:c r="O771"/>
    </x:row>
    <x:row r="772">
      <x:c r="H772" s="46"/>
      <x:c r="I772" s="46"/>
      <x:c r="J772" s="48"/>
      <x:c r="K772"/>
      <x:c r="L772"/>
      <x:c r="M772"/>
      <x:c r="N772"/>
      <x:c r="O772"/>
    </x:row>
    <x:row r="773">
      <x:c r="H773" s="46"/>
      <x:c r="I773" s="46"/>
      <x:c r="J773" s="48"/>
      <x:c r="K773"/>
      <x:c r="L773"/>
      <x:c r="M773"/>
      <x:c r="N773"/>
      <x:c r="O773"/>
    </x:row>
    <x:row r="774">
      <x:c r="H774" s="46"/>
      <x:c r="I774" s="46"/>
      <x:c r="J774" s="48"/>
      <x:c r="K774"/>
      <x:c r="L774"/>
      <x:c r="M774"/>
      <x:c r="N774"/>
      <x:c r="O774"/>
    </x:row>
    <x:row r="775">
      <x:c r="H775" s="46"/>
      <x:c r="I775" s="46"/>
      <x:c r="J775" s="48"/>
      <x:c r="K775"/>
      <x:c r="L775"/>
      <x:c r="M775"/>
      <x:c r="N775"/>
      <x:c r="O775"/>
    </x:row>
    <x:row r="776">
      <x:c r="H776" s="46"/>
      <x:c r="I776" s="46"/>
      <x:c r="J776" s="48"/>
      <x:c r="K776"/>
      <x:c r="L776"/>
      <x:c r="M776"/>
      <x:c r="N776"/>
      <x:c r="O776"/>
    </x:row>
    <x:row r="777">
      <x:c r="H777" s="46"/>
      <x:c r="I777" s="46"/>
      <x:c r="J777" s="48"/>
      <x:c r="K777"/>
      <x:c r="L777"/>
      <x:c r="M777"/>
      <x:c r="N777"/>
      <x:c r="O777"/>
    </x:row>
    <x:row r="778">
      <x:c r="H778" s="46"/>
      <x:c r="I778" s="46"/>
      <x:c r="J778" s="48"/>
      <x:c r="K778"/>
      <x:c r="L778"/>
      <x:c r="M778"/>
      <x:c r="N778"/>
      <x:c r="O778"/>
    </x:row>
    <x:row r="779">
      <x:c r="H779" s="46"/>
      <x:c r="I779" s="46"/>
      <x:c r="J779" s="48"/>
      <x:c r="K779"/>
      <x:c r="L779"/>
      <x:c r="M779"/>
      <x:c r="N779"/>
      <x:c r="O779"/>
    </x:row>
    <x:row r="780">
      <x:c r="H780" s="46"/>
      <x:c r="I780" s="46"/>
      <x:c r="J780" s="48"/>
      <x:c r="K780"/>
      <x:c r="L780"/>
      <x:c r="M780"/>
      <x:c r="N780"/>
      <x:c r="O780"/>
    </x:row>
    <x:row r="781">
      <x:c r="H781" s="46"/>
      <x:c r="I781" s="46"/>
      <x:c r="J781" s="48"/>
      <x:c r="K781"/>
      <x:c r="L781"/>
      <x:c r="M781"/>
      <x:c r="N781"/>
      <x:c r="O781"/>
    </x:row>
    <x:row r="782">
      <x:c r="H782" s="46"/>
      <x:c r="I782" s="46"/>
      <x:c r="J782" s="48"/>
      <x:c r="K782"/>
      <x:c r="L782"/>
      <x:c r="M782"/>
      <x:c r="N782"/>
      <x:c r="O782"/>
    </x:row>
    <x:row r="783">
      <x:c r="H783" s="46"/>
      <x:c r="I783" s="46"/>
      <x:c r="J783" s="48"/>
      <x:c r="K783"/>
      <x:c r="L783"/>
      <x:c r="M783"/>
      <x:c r="N783"/>
      <x:c r="O783"/>
    </x:row>
    <x:row r="784">
      <x:c r="H784" s="46"/>
      <x:c r="I784" s="46"/>
      <x:c r="J784" s="48"/>
      <x:c r="K784"/>
      <x:c r="L784"/>
      <x:c r="M784"/>
      <x:c r="N784"/>
      <x:c r="O784"/>
    </x:row>
    <x:row r="785">
      <x:c r="H785" s="46"/>
      <x:c r="I785" s="46"/>
      <x:c r="J785" s="48"/>
      <x:c r="K785"/>
      <x:c r="L785"/>
      <x:c r="M785"/>
      <x:c r="N785"/>
      <x:c r="O785"/>
    </x:row>
    <x:row r="786">
      <x:c r="H786" s="46"/>
      <x:c r="I786" s="46"/>
      <x:c r="J786" s="48"/>
      <x:c r="K786"/>
      <x:c r="L786"/>
      <x:c r="M786"/>
      <x:c r="N786"/>
      <x:c r="O786"/>
    </x:row>
    <x:row r="787">
      <x:c r="H787" s="46"/>
      <x:c r="I787" s="46"/>
      <x:c r="J787" s="48"/>
      <x:c r="K787"/>
      <x:c r="L787"/>
      <x:c r="M787"/>
      <x:c r="N787"/>
      <x:c r="O787"/>
    </x:row>
    <x:row r="788">
      <x:c r="H788" s="46"/>
      <x:c r="I788" s="46"/>
      <x:c r="J788" s="48"/>
      <x:c r="K788"/>
      <x:c r="L788"/>
      <x:c r="M788"/>
      <x:c r="N788"/>
      <x:c r="O788"/>
    </x:row>
    <x:row r="789">
      <x:c r="H789" s="46"/>
      <x:c r="I789" s="46"/>
      <x:c r="J789" s="48"/>
      <x:c r="K789"/>
      <x:c r="L789"/>
      <x:c r="M789"/>
      <x:c r="N789"/>
      <x:c r="O789"/>
    </x:row>
    <x:row r="790">
      <x:c r="H790" s="46"/>
      <x:c r="I790" s="46"/>
      <x:c r="J790" s="48"/>
      <x:c r="K790"/>
      <x:c r="L790"/>
      <x:c r="M790"/>
      <x:c r="N790"/>
      <x:c r="O790"/>
    </x:row>
    <x:row r="791">
      <x:c r="H791" s="46"/>
      <x:c r="I791" s="46"/>
      <x:c r="J791" s="48"/>
      <x:c r="K791"/>
      <x:c r="L791"/>
      <x:c r="M791"/>
      <x:c r="N791"/>
      <x:c r="O791"/>
    </x:row>
    <x:row r="792">
      <x:c r="H792" s="46"/>
      <x:c r="I792" s="46"/>
      <x:c r="J792" s="48"/>
      <x:c r="K792"/>
      <x:c r="L792"/>
      <x:c r="M792"/>
      <x:c r="N792"/>
      <x:c r="O792"/>
    </x:row>
    <x:row r="793">
      <x:c r="H793" s="46"/>
      <x:c r="I793" s="46"/>
      <x:c r="J793" s="48"/>
      <x:c r="K793"/>
      <x:c r="L793"/>
      <x:c r="M793"/>
      <x:c r="N793"/>
      <x:c r="O793"/>
    </x:row>
    <x:row r="794">
      <x:c r="H794" s="46"/>
      <x:c r="I794" s="46"/>
      <x:c r="J794" s="48"/>
      <x:c r="K794"/>
      <x:c r="L794"/>
      <x:c r="M794"/>
      <x:c r="N794"/>
      <x:c r="O794"/>
    </x:row>
    <x:row r="795">
      <x:c r="H795" s="46"/>
      <x:c r="I795" s="46"/>
      <x:c r="J795" s="48"/>
      <x:c r="K795"/>
      <x:c r="L795"/>
      <x:c r="M795"/>
      <x:c r="N795"/>
      <x:c r="O795"/>
    </x:row>
    <x:row r="796">
      <x:c r="H796" s="46"/>
      <x:c r="I796" s="46"/>
      <x:c r="J796" s="48"/>
      <x:c r="K796"/>
      <x:c r="L796"/>
      <x:c r="M796"/>
      <x:c r="N796"/>
      <x:c r="O796"/>
    </x:row>
    <x:row r="797">
      <x:c r="H797" s="46"/>
      <x:c r="I797" s="46"/>
      <x:c r="J797" s="48"/>
      <x:c r="K797"/>
      <x:c r="L797"/>
      <x:c r="M797"/>
      <x:c r="N797"/>
      <x:c r="O797"/>
    </x:row>
    <x:row r="798">
      <x:c r="H798" s="46"/>
      <x:c r="I798" s="46"/>
      <x:c r="J798" s="48"/>
      <x:c r="K798"/>
      <x:c r="L798"/>
      <x:c r="M798"/>
      <x:c r="N798"/>
      <x:c r="O798"/>
    </x:row>
    <x:row r="799">
      <x:c r="H799" s="46"/>
      <x:c r="I799" s="46"/>
      <x:c r="J799" s="48"/>
      <x:c r="K799"/>
      <x:c r="L799"/>
      <x:c r="M799"/>
      <x:c r="N799"/>
      <x:c r="O799"/>
    </x:row>
    <x:row r="800">
      <x:c r="H800" s="46"/>
      <x:c r="I800" s="46"/>
      <x:c r="J800" s="48"/>
      <x:c r="K800"/>
      <x:c r="L800"/>
      <x:c r="M800"/>
      <x:c r="N800"/>
      <x:c r="O800"/>
    </x:row>
    <x:row r="801">
      <x:c r="H801" s="46"/>
      <x:c r="I801" s="46"/>
      <x:c r="J801" s="48"/>
      <x:c r="K801"/>
      <x:c r="L801"/>
      <x:c r="M801"/>
      <x:c r="N801"/>
      <x:c r="O801"/>
    </x:row>
    <x:row r="802">
      <x:c r="H802" s="46"/>
      <x:c r="I802" s="46"/>
      <x:c r="J802" s="48"/>
      <x:c r="K802"/>
      <x:c r="L802"/>
      <x:c r="M802"/>
      <x:c r="N802"/>
      <x:c r="O802"/>
    </x:row>
    <x:row r="803">
      <x:c r="H803" s="46"/>
      <x:c r="I803" s="46"/>
      <x:c r="J803" s="48"/>
      <x:c r="K803"/>
      <x:c r="L803"/>
      <x:c r="M803"/>
      <x:c r="N803"/>
      <x:c r="O803"/>
    </x:row>
    <x:row r="804">
      <x:c r="H804" s="46"/>
      <x:c r="I804" s="46"/>
      <x:c r="J804" s="48"/>
      <x:c r="K804"/>
      <x:c r="L804"/>
      <x:c r="M804"/>
      <x:c r="N804"/>
      <x:c r="O804"/>
    </x:row>
    <x:row r="805">
      <x:c r="H805" s="46"/>
      <x:c r="I805" s="46"/>
      <x:c r="J805" s="48"/>
      <x:c r="K805"/>
      <x:c r="L805"/>
      <x:c r="M805"/>
      <x:c r="N805"/>
      <x:c r="O805"/>
    </x:row>
    <x:row r="806">
      <x:c r="H806" s="46"/>
      <x:c r="I806" s="46"/>
      <x:c r="J806" s="48"/>
      <x:c r="K806"/>
      <x:c r="L806"/>
      <x:c r="M806"/>
      <x:c r="N806"/>
      <x:c r="O806"/>
    </x:row>
    <x:row r="807">
      <x:c r="H807" s="46"/>
      <x:c r="I807" s="46"/>
      <x:c r="J807" s="48"/>
      <x:c r="K807"/>
      <x:c r="L807"/>
      <x:c r="M807"/>
      <x:c r="N807"/>
      <x:c r="O807"/>
    </x:row>
    <x:row r="808">
      <x:c r="H808" s="46"/>
      <x:c r="I808" s="46"/>
      <x:c r="J808" s="48"/>
      <x:c r="K808"/>
      <x:c r="L808"/>
      <x:c r="M808"/>
      <x:c r="N808"/>
      <x:c r="O808"/>
    </x:row>
    <x:row r="809">
      <x:c r="H809" s="46"/>
      <x:c r="I809" s="46"/>
      <x:c r="J809" s="48"/>
      <x:c r="K809"/>
      <x:c r="L809"/>
      <x:c r="M809"/>
      <x:c r="N809"/>
      <x:c r="O809"/>
    </x:row>
    <x:row r="810">
      <x:c r="H810" s="46"/>
      <x:c r="I810" s="46"/>
      <x:c r="J810" s="48"/>
      <x:c r="K810"/>
      <x:c r="L810"/>
      <x:c r="M810"/>
      <x:c r="N810"/>
      <x:c r="O810"/>
    </x:row>
    <x:row r="811">
      <x:c r="H811" s="46"/>
      <x:c r="I811" s="46"/>
      <x:c r="J811" s="48"/>
      <x:c r="K811"/>
      <x:c r="L811"/>
      <x:c r="M811"/>
      <x:c r="N811"/>
      <x:c r="O811"/>
    </x:row>
    <x:row r="812">
      <x:c r="H812" s="46"/>
      <x:c r="I812" s="46"/>
      <x:c r="J812" s="48"/>
      <x:c r="K812"/>
      <x:c r="L812"/>
      <x:c r="M812"/>
      <x:c r="N812"/>
      <x:c r="O812"/>
    </x:row>
    <x:row r="813">
      <x:c r="H813" s="46"/>
      <x:c r="I813" s="46"/>
      <x:c r="J813" s="48"/>
      <x:c r="K813"/>
      <x:c r="L813"/>
      <x:c r="M813"/>
      <x:c r="N813"/>
      <x:c r="O813"/>
    </x:row>
    <x:row r="814">
      <x:c r="H814" s="46"/>
      <x:c r="I814" s="46"/>
      <x:c r="J814" s="48"/>
      <x:c r="K814"/>
      <x:c r="L814"/>
      <x:c r="M814"/>
      <x:c r="N814"/>
      <x:c r="O814"/>
    </x:row>
    <x:row r="815">
      <x:c r="H815" s="46"/>
      <x:c r="I815" s="46"/>
      <x:c r="J815" s="48"/>
      <x:c r="K815"/>
      <x:c r="L815"/>
      <x:c r="M815"/>
      <x:c r="N815"/>
      <x:c r="O815"/>
    </x:row>
    <x:row r="816">
      <x:c r="H816" s="46"/>
      <x:c r="I816" s="46"/>
      <x:c r="J816" s="48"/>
      <x:c r="K816"/>
      <x:c r="L816"/>
      <x:c r="M816"/>
      <x:c r="N816"/>
      <x:c r="O816"/>
    </x:row>
    <x:row r="817">
      <x:c r="H817" s="46"/>
      <x:c r="I817" s="46"/>
      <x:c r="J817" s="48"/>
      <x:c r="K817"/>
      <x:c r="L817"/>
      <x:c r="M817"/>
      <x:c r="N817"/>
      <x:c r="O817"/>
    </x:row>
    <x:row r="818">
      <x:c r="H818" s="46"/>
      <x:c r="I818" s="46"/>
      <x:c r="J818" s="48"/>
      <x:c r="K818"/>
      <x:c r="L818"/>
      <x:c r="M818"/>
      <x:c r="N818"/>
      <x:c r="O818"/>
    </x:row>
    <x:row r="819">
      <x:c r="H819" s="46"/>
      <x:c r="I819" s="46"/>
      <x:c r="J819" s="48"/>
      <x:c r="K819"/>
      <x:c r="L819"/>
      <x:c r="M819"/>
      <x:c r="N819"/>
      <x:c r="O819"/>
    </x:row>
    <x:row r="820">
      <x:c r="H820" s="46"/>
      <x:c r="I820" s="46"/>
      <x:c r="J820" s="48"/>
      <x:c r="K820"/>
      <x:c r="L820"/>
      <x:c r="M820"/>
      <x:c r="N820"/>
      <x:c r="O820"/>
    </x:row>
    <x:row r="821">
      <x:c r="H821" s="46"/>
      <x:c r="I821" s="46"/>
      <x:c r="J821" s="48"/>
      <x:c r="K821"/>
      <x:c r="L821"/>
      <x:c r="M821"/>
      <x:c r="N821"/>
      <x:c r="O821"/>
    </x:row>
    <x:row r="822">
      <x:c r="H822" s="46"/>
      <x:c r="I822" s="46"/>
      <x:c r="J822" s="48"/>
      <x:c r="K822"/>
      <x:c r="L822"/>
      <x:c r="M822"/>
      <x:c r="N822"/>
      <x:c r="O822"/>
    </x:row>
    <x:row r="823">
      <x:c r="H823" s="46"/>
      <x:c r="I823" s="46"/>
      <x:c r="J823" s="48"/>
      <x:c r="K823"/>
      <x:c r="L823"/>
      <x:c r="M823"/>
      <x:c r="N823"/>
      <x:c r="O823"/>
    </x:row>
    <x:row r="824">
      <x:c r="H824" s="46"/>
      <x:c r="I824" s="46"/>
      <x:c r="J824" s="48"/>
      <x:c r="K824"/>
      <x:c r="L824"/>
      <x:c r="M824"/>
      <x:c r="N824"/>
      <x:c r="O824"/>
    </x:row>
    <x:row r="825">
      <x:c r="H825" s="46"/>
      <x:c r="I825" s="46"/>
      <x:c r="J825" s="48"/>
      <x:c r="K825"/>
      <x:c r="L825"/>
      <x:c r="M825"/>
      <x:c r="N825"/>
      <x:c r="O825"/>
    </x:row>
    <x:row r="826">
      <x:c r="H826" s="46"/>
      <x:c r="I826" s="46"/>
      <x:c r="J826" s="48"/>
      <x:c r="K826"/>
      <x:c r="L826"/>
      <x:c r="M826"/>
      <x:c r="N826"/>
      <x:c r="O826"/>
    </x:row>
    <x:row r="827">
      <x:c r="H827" s="46"/>
      <x:c r="I827" s="46"/>
      <x:c r="J827" s="48"/>
      <x:c r="K827"/>
      <x:c r="L827"/>
      <x:c r="M827"/>
      <x:c r="N827"/>
      <x:c r="O827"/>
    </x:row>
    <x:row r="828">
      <x:c r="H828" s="46"/>
      <x:c r="I828" s="46"/>
      <x:c r="J828" s="48"/>
      <x:c r="K828"/>
      <x:c r="L828"/>
      <x:c r="M828"/>
      <x:c r="N828"/>
      <x:c r="O828"/>
    </x:row>
    <x:row r="829">
      <x:c r="H829" s="46"/>
      <x:c r="I829" s="46"/>
      <x:c r="J829" s="48"/>
      <x:c r="K829"/>
      <x:c r="L829"/>
      <x:c r="M829"/>
      <x:c r="N829"/>
      <x:c r="O829"/>
    </x:row>
    <x:row r="830">
      <x:c r="H830" s="46"/>
      <x:c r="I830" s="46"/>
      <x:c r="J830" s="48"/>
      <x:c r="K830"/>
      <x:c r="L830"/>
      <x:c r="M830"/>
      <x:c r="N830"/>
      <x:c r="O830"/>
    </x:row>
    <x:row r="831">
      <x:c r="H831" s="46"/>
      <x:c r="I831" s="46"/>
      <x:c r="J831" s="48"/>
      <x:c r="K831"/>
      <x:c r="L831"/>
      <x:c r="M831"/>
      <x:c r="N831"/>
      <x:c r="O831"/>
    </x:row>
    <x:row r="832">
      <x:c r="H832" s="46"/>
      <x:c r="I832" s="46"/>
      <x:c r="J832" s="48"/>
      <x:c r="K832"/>
      <x:c r="L832"/>
      <x:c r="M832"/>
      <x:c r="N832"/>
      <x:c r="O832"/>
    </x:row>
    <x:row r="833">
      <x:c r="H833" s="46"/>
      <x:c r="I833" s="46"/>
      <x:c r="J833" s="48"/>
      <x:c r="K833"/>
      <x:c r="L833"/>
      <x:c r="M833"/>
      <x:c r="N833"/>
      <x:c r="O833"/>
    </x:row>
    <x:row r="834">
      <x:c r="H834" s="46"/>
      <x:c r="I834" s="46"/>
      <x:c r="J834" s="48"/>
      <x:c r="K834"/>
      <x:c r="L834"/>
      <x:c r="M834"/>
      <x:c r="N834"/>
      <x:c r="O834"/>
    </x:row>
    <x:row r="835">
      <x:c r="H835" s="46"/>
      <x:c r="I835" s="46"/>
      <x:c r="J835" s="48"/>
      <x:c r="K835"/>
      <x:c r="L835"/>
      <x:c r="M835"/>
      <x:c r="N835"/>
      <x:c r="O835"/>
    </x:row>
    <x:row r="836">
      <x:c r="H836" s="46"/>
      <x:c r="I836" s="46"/>
      <x:c r="J836" s="48"/>
      <x:c r="K836"/>
      <x:c r="L836"/>
      <x:c r="M836"/>
      <x:c r="N836"/>
      <x:c r="O836"/>
    </x:row>
    <x:row r="837">
      <x:c r="H837" s="46"/>
      <x:c r="I837" s="46"/>
      <x:c r="J837" s="48"/>
      <x:c r="K837"/>
      <x:c r="L837"/>
      <x:c r="M837"/>
      <x:c r="N837"/>
      <x:c r="O837"/>
    </x:row>
    <x:row r="838">
      <x:c r="H838" s="46"/>
      <x:c r="I838" s="46"/>
      <x:c r="J838" s="48"/>
      <x:c r="K838"/>
      <x:c r="L838"/>
      <x:c r="M838"/>
      <x:c r="N838"/>
      <x:c r="O838"/>
    </x:row>
    <x:row r="839">
      <x:c r="H839" s="46"/>
      <x:c r="I839" s="46"/>
      <x:c r="J839" s="48"/>
      <x:c r="K839"/>
      <x:c r="L839"/>
      <x:c r="M839"/>
      <x:c r="N839"/>
      <x:c r="O839"/>
    </x:row>
    <x:row r="840">
      <x:c r="H840" s="46"/>
      <x:c r="I840" s="46"/>
      <x:c r="J840" s="48"/>
      <x:c r="K840"/>
      <x:c r="L840"/>
      <x:c r="M840"/>
      <x:c r="N840"/>
      <x:c r="O840"/>
    </x:row>
    <x:row r="841">
      <x:c r="H841" s="46"/>
      <x:c r="I841" s="46"/>
      <x:c r="J841" s="48"/>
      <x:c r="K841"/>
      <x:c r="L841"/>
      <x:c r="M841"/>
      <x:c r="N841"/>
      <x:c r="O841"/>
    </x:row>
    <x:row r="842">
      <x:c r="H842" s="46"/>
      <x:c r="I842" s="46"/>
      <x:c r="J842" s="48"/>
      <x:c r="K842"/>
      <x:c r="L842"/>
      <x:c r="M842"/>
      <x:c r="N842"/>
      <x:c r="O842"/>
    </x:row>
    <x:row r="843">
      <x:c r="H843" s="46"/>
      <x:c r="I843" s="46"/>
      <x:c r="J843" s="48"/>
      <x:c r="K843"/>
      <x:c r="L843"/>
      <x:c r="M843"/>
      <x:c r="N843"/>
      <x:c r="O843"/>
    </x:row>
    <x:row r="844">
      <x:c r="H844" s="46"/>
      <x:c r="I844" s="46"/>
      <x:c r="J844" s="48"/>
      <x:c r="K844"/>
      <x:c r="L844"/>
      <x:c r="M844"/>
      <x:c r="N844"/>
      <x:c r="O844"/>
    </x:row>
    <x:row r="845">
      <x:c r="H845" s="46"/>
      <x:c r="I845" s="46"/>
      <x:c r="J845" s="48"/>
      <x:c r="K845"/>
      <x:c r="L845"/>
      <x:c r="M845"/>
      <x:c r="N845"/>
      <x:c r="O845"/>
    </x:row>
    <x:row r="846">
      <x:c r="H846" s="46"/>
      <x:c r="I846" s="46"/>
      <x:c r="J846" s="48"/>
      <x:c r="K846"/>
      <x:c r="L846"/>
      <x:c r="M846"/>
      <x:c r="N846"/>
      <x:c r="O846"/>
    </x:row>
    <x:row r="847">
      <x:c r="H847" s="46"/>
      <x:c r="I847" s="46"/>
      <x:c r="J847" s="48"/>
      <x:c r="K847"/>
      <x:c r="L847"/>
      <x:c r="M847"/>
      <x:c r="N847"/>
      <x:c r="O847"/>
    </x:row>
    <x:row r="848">
      <x:c r="H848" s="46"/>
      <x:c r="I848" s="46"/>
      <x:c r="J848" s="48"/>
      <x:c r="K848"/>
      <x:c r="L848"/>
      <x:c r="M848"/>
      <x:c r="N848"/>
      <x:c r="O848"/>
    </x:row>
    <x:row r="849">
      <x:c r="H849" s="46"/>
      <x:c r="I849" s="46"/>
      <x:c r="J849" s="48"/>
      <x:c r="K849"/>
      <x:c r="L849"/>
      <x:c r="M849"/>
      <x:c r="N849"/>
      <x:c r="O849"/>
    </x:row>
    <x:row r="850">
      <x:c r="H850" s="46"/>
      <x:c r="I850" s="46"/>
      <x:c r="J850" s="48"/>
      <x:c r="K850"/>
      <x:c r="L850"/>
      <x:c r="M850"/>
      <x:c r="N850"/>
      <x:c r="O850"/>
    </x:row>
    <x:row r="851">
      <x:c r="H851" s="46"/>
      <x:c r="I851" s="46"/>
      <x:c r="J851" s="48"/>
      <x:c r="K851"/>
      <x:c r="L851"/>
      <x:c r="M851"/>
      <x:c r="N851"/>
      <x:c r="O851"/>
    </x:row>
    <x:row r="852">
      <x:c r="H852" s="46"/>
      <x:c r="I852" s="46"/>
      <x:c r="J852" s="48"/>
      <x:c r="K852"/>
      <x:c r="L852"/>
      <x:c r="M852"/>
      <x:c r="N852"/>
      <x:c r="O852"/>
    </x:row>
    <x:row r="853">
      <x:c r="H853" s="46"/>
      <x:c r="I853" s="46"/>
      <x:c r="J853" s="48"/>
      <x:c r="K853"/>
      <x:c r="L853"/>
      <x:c r="M853"/>
      <x:c r="N853"/>
      <x:c r="O853"/>
    </x:row>
    <x:row r="854">
      <x:c r="H854" s="46"/>
      <x:c r="I854" s="46"/>
      <x:c r="J854" s="48"/>
      <x:c r="K854"/>
      <x:c r="L854"/>
      <x:c r="M854"/>
      <x:c r="N854"/>
      <x:c r="O854"/>
    </x:row>
    <x:row r="855">
      <x:c r="H855" s="46"/>
      <x:c r="I855" s="46"/>
      <x:c r="J855" s="48"/>
      <x:c r="K855"/>
      <x:c r="L855"/>
      <x:c r="M855"/>
      <x:c r="N855"/>
      <x:c r="O855"/>
    </x:row>
    <x:row r="856">
      <x:c r="H856" s="46"/>
      <x:c r="I856" s="46"/>
      <x:c r="J856" s="48"/>
      <x:c r="K856"/>
      <x:c r="L856"/>
      <x:c r="M856"/>
      <x:c r="N856"/>
      <x:c r="O856"/>
    </x:row>
    <x:row r="857">
      <x:c r="H857" s="46"/>
      <x:c r="I857" s="46"/>
      <x:c r="J857" s="48"/>
      <x:c r="K857"/>
      <x:c r="L857"/>
      <x:c r="M857"/>
      <x:c r="N857"/>
      <x:c r="O857"/>
    </x:row>
    <x:row r="858">
      <x:c r="H858" s="46"/>
      <x:c r="I858" s="46"/>
      <x:c r="J858" s="48"/>
      <x:c r="K858"/>
      <x:c r="L858"/>
      <x:c r="M858"/>
      <x:c r="N858"/>
      <x:c r="O858"/>
    </x:row>
    <x:row r="859">
      <x:c r="H859" s="46"/>
      <x:c r="I859" s="46"/>
      <x:c r="J859" s="48"/>
      <x:c r="K859"/>
      <x:c r="L859"/>
      <x:c r="M859"/>
      <x:c r="N859"/>
      <x:c r="O859"/>
    </x:row>
    <x:row r="860">
      <x:c r="H860" s="46"/>
      <x:c r="I860" s="46"/>
      <x:c r="J860" s="48"/>
      <x:c r="K860"/>
      <x:c r="L860"/>
      <x:c r="M860"/>
      <x:c r="N860"/>
      <x:c r="O860"/>
    </x:row>
    <x:row r="861">
      <x:c r="H861" s="46"/>
      <x:c r="I861" s="46"/>
      <x:c r="J861" s="48"/>
      <x:c r="K861"/>
      <x:c r="L861"/>
      <x:c r="M861"/>
      <x:c r="N861"/>
      <x:c r="O861"/>
    </x:row>
    <x:row r="862">
      <x:c r="H862" s="46"/>
      <x:c r="I862" s="46"/>
      <x:c r="J862" s="48"/>
      <x:c r="K862"/>
      <x:c r="L862"/>
      <x:c r="M862"/>
      <x:c r="N862"/>
      <x:c r="O862"/>
    </x:row>
    <x:row r="863">
      <x:c r="H863" s="46"/>
      <x:c r="I863" s="46"/>
      <x:c r="J863" s="48"/>
      <x:c r="K863"/>
      <x:c r="L863"/>
      <x:c r="M863"/>
      <x:c r="N863"/>
      <x:c r="O863"/>
    </x:row>
    <x:row r="864">
      <x:c r="H864" s="46"/>
      <x:c r="I864" s="46"/>
      <x:c r="J864" s="48"/>
      <x:c r="K864"/>
      <x:c r="L864"/>
      <x:c r="M864"/>
      <x:c r="N864"/>
      <x:c r="O864"/>
    </x:row>
    <x:row r="865">
      <x:c r="H865" s="46"/>
      <x:c r="I865" s="46"/>
      <x:c r="J865" s="48"/>
      <x:c r="K865"/>
      <x:c r="L865"/>
      <x:c r="M865"/>
      <x:c r="N865"/>
      <x:c r="O865"/>
    </x:row>
    <x:row r="866">
      <x:c r="H866" s="46"/>
      <x:c r="I866" s="46"/>
      <x:c r="J866" s="48"/>
      <x:c r="K866"/>
      <x:c r="L866"/>
      <x:c r="M866"/>
      <x:c r="N866"/>
      <x:c r="O866"/>
    </x:row>
    <x:row r="867">
      <x:c r="H867" s="46"/>
      <x:c r="I867" s="46"/>
      <x:c r="J867" s="48"/>
      <x:c r="K867"/>
      <x:c r="L867"/>
      <x:c r="M867"/>
      <x:c r="N867"/>
      <x:c r="O867"/>
    </x:row>
    <x:row r="868">
      <x:c r="H868" s="46"/>
      <x:c r="I868" s="46"/>
      <x:c r="J868" s="48"/>
      <x:c r="K868"/>
      <x:c r="L868"/>
      <x:c r="M868"/>
      <x:c r="N868"/>
      <x:c r="O868"/>
    </x:row>
    <x:row r="869">
      <x:c r="H869" s="46"/>
      <x:c r="I869" s="46"/>
      <x:c r="J869" s="48"/>
      <x:c r="K869"/>
      <x:c r="L869"/>
      <x:c r="M869"/>
      <x:c r="N869"/>
      <x:c r="O869"/>
    </x:row>
    <x:row r="870">
      <x:c r="H870" s="46"/>
      <x:c r="I870" s="46"/>
      <x:c r="J870" s="48"/>
      <x:c r="K870"/>
      <x:c r="L870"/>
      <x:c r="M870"/>
      <x:c r="N870"/>
      <x:c r="O870"/>
    </x:row>
    <x:row r="871">
      <x:c r="H871" s="46"/>
      <x:c r="I871" s="46"/>
      <x:c r="J871" s="48"/>
      <x:c r="K871"/>
      <x:c r="L871"/>
      <x:c r="M871"/>
      <x:c r="N871"/>
      <x:c r="O871"/>
    </x:row>
    <x:row r="872">
      <x:c r="H872" s="46"/>
      <x:c r="I872" s="46"/>
      <x:c r="J872" s="48"/>
      <x:c r="K872"/>
      <x:c r="L872"/>
      <x:c r="M872"/>
      <x:c r="N872"/>
      <x:c r="O872"/>
    </x:row>
    <x:row r="873">
      <x:c r="H873" s="46"/>
      <x:c r="I873" s="46"/>
      <x:c r="J873" s="48"/>
      <x:c r="K873"/>
      <x:c r="L873"/>
      <x:c r="M873"/>
      <x:c r="N873"/>
      <x:c r="O873"/>
    </x:row>
    <x:row r="874">
      <x:c r="H874" s="46"/>
      <x:c r="I874" s="46"/>
      <x:c r="J874" s="48"/>
      <x:c r="K874"/>
      <x:c r="L874"/>
      <x:c r="M874"/>
      <x:c r="N874"/>
      <x:c r="O874"/>
    </x:row>
    <x:row r="875">
      <x:c r="H875" s="46"/>
      <x:c r="I875" s="46"/>
      <x:c r="J875" s="48"/>
      <x:c r="K875"/>
      <x:c r="L875"/>
      <x:c r="M875"/>
      <x:c r="N875"/>
      <x:c r="O875"/>
    </x:row>
    <x:row r="876">
      <x:c r="H876" s="46"/>
      <x:c r="I876" s="46"/>
      <x:c r="J876" s="48"/>
      <x:c r="K876"/>
      <x:c r="L876"/>
      <x:c r="M876"/>
      <x:c r="N876"/>
      <x:c r="O876"/>
    </x:row>
    <x:row r="877">
      <x:c r="H877" s="46"/>
      <x:c r="I877" s="46"/>
      <x:c r="J877" s="48"/>
      <x:c r="K877"/>
      <x:c r="L877"/>
      <x:c r="M877"/>
      <x:c r="N877"/>
      <x:c r="O877"/>
    </x:row>
    <x:row r="878">
      <x:c r="H878" s="46"/>
      <x:c r="I878" s="46"/>
      <x:c r="J878" s="48"/>
      <x:c r="K878"/>
      <x:c r="L878"/>
      <x:c r="M878"/>
      <x:c r="N878"/>
      <x:c r="O878"/>
    </x:row>
    <x:row r="879">
      <x:c r="H879" s="46"/>
      <x:c r="I879" s="46"/>
      <x:c r="J879" s="48"/>
      <x:c r="K879"/>
      <x:c r="L879"/>
      <x:c r="M879"/>
      <x:c r="N879"/>
      <x:c r="O879"/>
    </x:row>
    <x:row r="880">
      <x:c r="H880" s="46"/>
      <x:c r="I880" s="46"/>
      <x:c r="J880" s="48"/>
      <x:c r="K880"/>
      <x:c r="L880"/>
      <x:c r="M880"/>
      <x:c r="N880"/>
      <x:c r="O880"/>
    </x:row>
    <x:row r="881">
      <x:c r="H881" s="46"/>
      <x:c r="I881" s="46"/>
      <x:c r="J881" s="48"/>
      <x:c r="K881"/>
      <x:c r="L881"/>
      <x:c r="M881"/>
      <x:c r="N881"/>
      <x:c r="O881"/>
    </x:row>
    <x:row r="882">
      <x:c r="H882" s="46"/>
      <x:c r="I882" s="46"/>
      <x:c r="J882" s="48"/>
      <x:c r="K882"/>
      <x:c r="L882"/>
      <x:c r="M882"/>
      <x:c r="N882"/>
      <x:c r="O882"/>
    </x:row>
    <x:row r="883">
      <x:c r="H883" s="46"/>
      <x:c r="I883" s="46"/>
      <x:c r="J883" s="48"/>
      <x:c r="K883"/>
      <x:c r="L883"/>
      <x:c r="M883"/>
      <x:c r="N883"/>
      <x:c r="O883"/>
    </x:row>
    <x:row r="884">
      <x:c r="H884" s="46"/>
      <x:c r="I884" s="46"/>
      <x:c r="J884" s="48"/>
      <x:c r="K884"/>
      <x:c r="L884"/>
      <x:c r="M884"/>
      <x:c r="N884"/>
      <x:c r="O884"/>
    </x:row>
    <x:row r="885">
      <x:c r="H885" s="46"/>
      <x:c r="I885" s="46"/>
      <x:c r="J885" s="48"/>
      <x:c r="K885"/>
      <x:c r="L885"/>
      <x:c r="M885"/>
      <x:c r="N885"/>
      <x:c r="O885"/>
    </x:row>
    <x:row r="886">
      <x:c r="H886" s="46"/>
      <x:c r="I886" s="46"/>
      <x:c r="J886" s="48"/>
      <x:c r="K886"/>
      <x:c r="L886"/>
      <x:c r="M886"/>
      <x:c r="N886"/>
      <x:c r="O886"/>
    </x:row>
    <x:row r="887">
      <x:c r="H887" s="46"/>
      <x:c r="I887" s="46"/>
      <x:c r="J887" s="48"/>
      <x:c r="K887"/>
      <x:c r="L887"/>
      <x:c r="M887"/>
      <x:c r="N887"/>
      <x:c r="O887"/>
    </x:row>
    <x:row r="888">
      <x:c r="H888" s="46"/>
      <x:c r="I888" s="46"/>
      <x:c r="J888" s="48"/>
      <x:c r="K888"/>
      <x:c r="L888"/>
      <x:c r="M888"/>
      <x:c r="N888"/>
      <x:c r="O888"/>
    </x:row>
    <x:row r="889">
      <x:c r="H889" s="46"/>
      <x:c r="I889" s="46"/>
      <x:c r="J889" s="48"/>
      <x:c r="K889"/>
      <x:c r="L889"/>
      <x:c r="M889"/>
      <x:c r="N889"/>
      <x:c r="O889"/>
    </x:row>
    <x:row r="890">
      <x:c r="H890" s="46"/>
      <x:c r="I890" s="46"/>
      <x:c r="J890" s="48"/>
      <x:c r="K890"/>
      <x:c r="L890"/>
      <x:c r="M890"/>
      <x:c r="N890"/>
      <x:c r="O890"/>
    </x:row>
    <x:row r="891">
      <x:c r="H891" s="46"/>
      <x:c r="I891" s="46"/>
      <x:c r="J891" s="48"/>
      <x:c r="K891"/>
      <x:c r="L891"/>
      <x:c r="M891"/>
      <x:c r="N891"/>
      <x:c r="O891"/>
    </x:row>
    <x:row r="892">
      <x:c r="H892" s="46"/>
      <x:c r="I892" s="46"/>
      <x:c r="J892" s="48"/>
      <x:c r="K892"/>
      <x:c r="L892"/>
      <x:c r="M892"/>
      <x:c r="N892"/>
      <x:c r="O892"/>
    </x:row>
    <x:row r="893">
      <x:c r="H893" s="46"/>
      <x:c r="I893" s="46"/>
      <x:c r="J893" s="48"/>
      <x:c r="K893"/>
      <x:c r="L893"/>
      <x:c r="M893"/>
      <x:c r="N893"/>
      <x:c r="O893"/>
    </x:row>
    <x:row r="894">
      <x:c r="H894" s="46"/>
      <x:c r="I894" s="46"/>
      <x:c r="J894" s="48"/>
      <x:c r="K894"/>
      <x:c r="L894"/>
      <x:c r="M894"/>
      <x:c r="N894"/>
      <x:c r="O894"/>
    </x:row>
    <x:row r="895">
      <x:c r="H895" s="46"/>
      <x:c r="I895" s="46"/>
      <x:c r="J895" s="48"/>
      <x:c r="K895"/>
      <x:c r="L895"/>
      <x:c r="M895"/>
      <x:c r="N895"/>
      <x:c r="O895"/>
    </x:row>
    <x:row r="896">
      <x:c r="H896" s="46"/>
      <x:c r="I896" s="46"/>
      <x:c r="J896" s="48"/>
      <x:c r="K896"/>
      <x:c r="L896"/>
      <x:c r="M896"/>
      <x:c r="N896"/>
      <x:c r="O896"/>
    </x:row>
    <x:row r="897">
      <x:c r="H897" s="46"/>
      <x:c r="I897" s="46"/>
      <x:c r="J897" s="48"/>
      <x:c r="K897"/>
      <x:c r="L897"/>
      <x:c r="M897"/>
      <x:c r="N897"/>
      <x:c r="O897"/>
    </x:row>
    <x:row r="898">
      <x:c r="H898" s="46"/>
      <x:c r="I898" s="46"/>
      <x:c r="J898" s="48"/>
      <x:c r="K898"/>
      <x:c r="L898"/>
      <x:c r="M898"/>
      <x:c r="N898"/>
      <x:c r="O898"/>
    </x:row>
    <x:row r="899">
      <x:c r="H899" s="46"/>
      <x:c r="I899" s="46"/>
      <x:c r="J899" s="48"/>
      <x:c r="K899"/>
      <x:c r="L899"/>
      <x:c r="M899"/>
      <x:c r="N899"/>
      <x:c r="O899"/>
    </x:row>
    <x:row r="900">
      <x:c r="H900" s="46"/>
      <x:c r="I900" s="46"/>
      <x:c r="J900" s="48"/>
      <x:c r="K900"/>
      <x:c r="L900"/>
      <x:c r="M900"/>
      <x:c r="N900"/>
      <x:c r="O900"/>
    </x:row>
    <x:row r="901">
      <x:c r="H901" s="46"/>
      <x:c r="I901" s="46"/>
      <x:c r="J901" s="48"/>
      <x:c r="K901"/>
      <x:c r="L901"/>
      <x:c r="M901"/>
      <x:c r="N901"/>
      <x:c r="O901"/>
    </x:row>
    <x:row r="902">
      <x:c r="H902" s="46"/>
      <x:c r="I902" s="46"/>
      <x:c r="J902" s="48"/>
      <x:c r="K902"/>
      <x:c r="L902"/>
      <x:c r="M902"/>
      <x:c r="N902"/>
      <x:c r="O902"/>
    </x:row>
    <x:row r="903">
      <x:c r="H903" s="46"/>
      <x:c r="I903" s="46"/>
      <x:c r="J903" s="48"/>
      <x:c r="K903"/>
      <x:c r="L903"/>
      <x:c r="M903"/>
      <x:c r="N903"/>
      <x:c r="O903"/>
    </x:row>
    <x:row r="904">
      <x:c r="H904" s="46"/>
      <x:c r="I904" s="46"/>
      <x:c r="J904" s="48"/>
      <x:c r="K904"/>
      <x:c r="L904"/>
      <x:c r="M904"/>
      <x:c r="N904"/>
      <x:c r="O904"/>
    </x:row>
    <x:row r="905">
      <x:c r="H905" s="46"/>
      <x:c r="I905" s="46"/>
      <x:c r="J905" s="48"/>
      <x:c r="K905"/>
      <x:c r="L905"/>
      <x:c r="M905"/>
      <x:c r="N905"/>
      <x:c r="O905"/>
    </x:row>
    <x:row r="906">
      <x:c r="H906" s="46"/>
      <x:c r="I906" s="46"/>
      <x:c r="J906" s="48"/>
      <x:c r="K906"/>
      <x:c r="L906"/>
      <x:c r="M906"/>
      <x:c r="N906"/>
      <x:c r="O906"/>
    </x:row>
    <x:row r="907">
      <x:c r="H907" s="46"/>
      <x:c r="I907" s="46"/>
      <x:c r="J907" s="48"/>
      <x:c r="K907"/>
      <x:c r="L907"/>
      <x:c r="M907"/>
      <x:c r="N907"/>
      <x:c r="O907"/>
    </x:row>
    <x:row r="908">
      <x:c r="H908" s="46"/>
      <x:c r="I908" s="46"/>
      <x:c r="J908" s="48"/>
      <x:c r="K908"/>
      <x:c r="L908"/>
      <x:c r="M908"/>
      <x:c r="N908"/>
      <x:c r="O908"/>
    </x:row>
    <x:row r="909">
      <x:c r="H909" s="46"/>
      <x:c r="I909" s="46"/>
      <x:c r="J909" s="48"/>
      <x:c r="K909"/>
      <x:c r="L909"/>
      <x:c r="M909"/>
      <x:c r="N909"/>
      <x:c r="O909"/>
    </x:row>
    <x:row r="910">
      <x:c r="H910" s="46"/>
      <x:c r="I910" s="46"/>
      <x:c r="J910" s="48"/>
      <x:c r="K910"/>
      <x:c r="L910"/>
      <x:c r="M910"/>
      <x:c r="N910"/>
      <x:c r="O910"/>
    </x:row>
    <x:row r="911">
      <x:c r="H911" s="46"/>
      <x:c r="I911" s="46"/>
      <x:c r="J911" s="48"/>
      <x:c r="K911"/>
      <x:c r="L911"/>
      <x:c r="M911"/>
      <x:c r="N911"/>
      <x:c r="O911"/>
    </x:row>
    <x:row r="912">
      <x:c r="H912" s="46"/>
      <x:c r="I912" s="46"/>
      <x:c r="J912" s="48"/>
      <x:c r="K912"/>
      <x:c r="L912"/>
      <x:c r="M912"/>
      <x:c r="N912"/>
      <x:c r="O912"/>
    </x:row>
    <x:row r="913">
      <x:c r="H913" s="46"/>
      <x:c r="I913" s="46"/>
      <x:c r="J913" s="48"/>
      <x:c r="K913"/>
      <x:c r="L913"/>
      <x:c r="M913"/>
      <x:c r="N913"/>
      <x:c r="O913"/>
    </x:row>
    <x:row r="914">
      <x:c r="H914" s="46"/>
      <x:c r="I914" s="46"/>
      <x:c r="J914" s="48"/>
      <x:c r="K914"/>
      <x:c r="L914"/>
      <x:c r="M914"/>
      <x:c r="N914"/>
      <x:c r="O914"/>
    </x:row>
    <x:row r="915">
      <x:c r="H915" s="46"/>
      <x:c r="I915" s="46"/>
      <x:c r="J915" s="48"/>
      <x:c r="K915"/>
      <x:c r="L915"/>
      <x:c r="M915"/>
      <x:c r="N915"/>
      <x:c r="O915"/>
    </x:row>
    <x:row r="916">
      <x:c r="H916" s="46"/>
      <x:c r="I916" s="46"/>
      <x:c r="J916" s="48"/>
      <x:c r="K916"/>
      <x:c r="L916"/>
      <x:c r="M916"/>
      <x:c r="N916"/>
      <x:c r="O916"/>
    </x:row>
    <x:row r="917">
      <x:c r="H917" s="46"/>
      <x:c r="I917" s="46"/>
      <x:c r="J917" s="48"/>
      <x:c r="K917"/>
      <x:c r="L917"/>
      <x:c r="M917"/>
      <x:c r="N917"/>
      <x:c r="O917"/>
    </x:row>
    <x:row r="918">
      <x:c r="H918" s="46"/>
      <x:c r="I918" s="46"/>
      <x:c r="J918" s="48"/>
      <x:c r="K918"/>
      <x:c r="L918"/>
      <x:c r="M918"/>
      <x:c r="N918"/>
      <x:c r="O918"/>
    </x:row>
    <x:row r="919">
      <x:c r="H919" s="46"/>
      <x:c r="I919" s="46"/>
      <x:c r="J919" s="48"/>
      <x:c r="K919"/>
      <x:c r="L919"/>
      <x:c r="M919"/>
      <x:c r="N919"/>
      <x:c r="O919"/>
    </x:row>
    <x:row r="920">
      <x:c r="H920" s="46"/>
      <x:c r="I920" s="46"/>
      <x:c r="J920" s="48"/>
      <x:c r="K920"/>
      <x:c r="L920"/>
      <x:c r="M920"/>
      <x:c r="N920"/>
      <x:c r="O920"/>
    </x:row>
    <x:row r="921">
      <x:c r="H921" s="46"/>
      <x:c r="I921" s="46"/>
      <x:c r="J921" s="48"/>
      <x:c r="K921"/>
      <x:c r="L921"/>
      <x:c r="M921"/>
      <x:c r="N921"/>
      <x:c r="O921"/>
    </x:row>
    <x:row r="922">
      <x:c r="H922" s="46"/>
      <x:c r="I922" s="46"/>
      <x:c r="J922" s="48"/>
      <x:c r="K922"/>
      <x:c r="L922"/>
      <x:c r="M922"/>
      <x:c r="N922"/>
      <x:c r="O922"/>
    </x:row>
    <x:row r="923">
      <x:c r="H923" s="46"/>
      <x:c r="I923" s="46"/>
      <x:c r="J923" s="48"/>
      <x:c r="K923"/>
      <x:c r="L923"/>
      <x:c r="M923"/>
      <x:c r="N923"/>
      <x:c r="O923"/>
    </x:row>
    <x:row r="924">
      <x:c r="H924" s="46"/>
      <x:c r="I924" s="46"/>
      <x:c r="J924" s="48"/>
      <x:c r="K924"/>
      <x:c r="L924"/>
      <x:c r="M924"/>
      <x:c r="N924"/>
      <x:c r="O924"/>
    </x:row>
    <x:row r="925">
      <x:c r="H925" s="46"/>
      <x:c r="I925" s="46"/>
      <x:c r="J925" s="48"/>
      <x:c r="K925"/>
      <x:c r="L925"/>
      <x:c r="M925"/>
      <x:c r="N925"/>
      <x:c r="O925"/>
    </x:row>
    <x:row r="926">
      <x:c r="H926" s="46"/>
      <x:c r="I926" s="46"/>
      <x:c r="J926" s="48"/>
      <x:c r="K926"/>
      <x:c r="L926"/>
      <x:c r="M926"/>
      <x:c r="N926"/>
      <x:c r="O926"/>
    </x:row>
    <x:row r="927">
      <x:c r="H927" s="46"/>
      <x:c r="I927" s="46"/>
      <x:c r="J927" s="48"/>
      <x:c r="K927"/>
      <x:c r="L927"/>
      <x:c r="M927"/>
      <x:c r="N927"/>
      <x:c r="O927"/>
    </x:row>
    <x:row r="928">
      <x:c r="H928" s="46"/>
      <x:c r="I928" s="46"/>
      <x:c r="J928" s="48"/>
      <x:c r="K928"/>
      <x:c r="L928"/>
      <x:c r="M928"/>
      <x:c r="N928"/>
      <x:c r="O928"/>
    </x:row>
    <x:row r="929">
      <x:c r="H929" s="46"/>
      <x:c r="I929" s="46"/>
      <x:c r="J929" s="48"/>
      <x:c r="K929"/>
      <x:c r="L929"/>
      <x:c r="M929"/>
      <x:c r="N929"/>
      <x:c r="O929"/>
    </x:row>
    <x:row r="930">
      <x:c r="H930" s="46"/>
      <x:c r="I930" s="46"/>
      <x:c r="J930" s="48"/>
      <x:c r="K930"/>
      <x:c r="L930"/>
      <x:c r="M930"/>
      <x:c r="N930"/>
      <x:c r="O930"/>
    </x:row>
    <x:row r="931">
      <x:c r="H931" s="46"/>
      <x:c r="I931" s="46"/>
      <x:c r="J931" s="48"/>
      <x:c r="K931"/>
      <x:c r="L931"/>
      <x:c r="M931"/>
      <x:c r="N931"/>
      <x:c r="O931"/>
    </x:row>
    <x:row r="932">
      <x:c r="H932" s="46"/>
      <x:c r="I932" s="46"/>
      <x:c r="J932" s="48"/>
      <x:c r="K932"/>
      <x:c r="L932"/>
      <x:c r="M932"/>
      <x:c r="N932"/>
      <x:c r="O932"/>
    </x:row>
    <x:row r="933">
      <x:c r="H933" s="46"/>
      <x:c r="I933" s="46"/>
      <x:c r="J933" s="48"/>
      <x:c r="K933"/>
      <x:c r="L933"/>
      <x:c r="M933"/>
      <x:c r="N933"/>
      <x:c r="O933"/>
    </x:row>
    <x:row r="934">
      <x:c r="H934" s="46"/>
      <x:c r="I934" s="46"/>
      <x:c r="J934" s="48"/>
      <x:c r="K934"/>
      <x:c r="L934"/>
      <x:c r="M934"/>
      <x:c r="N934"/>
      <x:c r="O934"/>
    </x:row>
    <x:row r="935">
      <x:c r="H935" s="46"/>
      <x:c r="I935" s="46"/>
      <x:c r="J935" s="48"/>
      <x:c r="K935"/>
      <x:c r="L935"/>
      <x:c r="M935"/>
      <x:c r="N935"/>
      <x:c r="O935"/>
    </x:row>
    <x:row r="936">
      <x:c r="H936" s="46"/>
      <x:c r="I936" s="46"/>
      <x:c r="J936" s="48"/>
      <x:c r="K936"/>
      <x:c r="L936"/>
      <x:c r="M936"/>
      <x:c r="N936"/>
      <x:c r="O936"/>
    </x:row>
    <x:row r="937">
      <x:c r="H937" s="46"/>
      <x:c r="I937" s="46"/>
      <x:c r="J937" s="48"/>
      <x:c r="K937"/>
      <x:c r="L937"/>
      <x:c r="M937"/>
      <x:c r="N937"/>
      <x:c r="O937"/>
    </x:row>
    <x:row r="938">
      <x:c r="H938" s="46"/>
      <x:c r="I938" s="46"/>
      <x:c r="J938" s="48"/>
      <x:c r="K938"/>
      <x:c r="L938"/>
      <x:c r="M938"/>
      <x:c r="N938"/>
      <x:c r="O938"/>
    </x:row>
    <x:row r="939">
      <x:c r="H939" s="46"/>
      <x:c r="I939" s="46"/>
      <x:c r="J939" s="48"/>
      <x:c r="K939"/>
      <x:c r="L939"/>
      <x:c r="M939"/>
      <x:c r="N939"/>
      <x:c r="O939"/>
    </x:row>
    <x:row r="940">
      <x:c r="H940" s="46"/>
      <x:c r="I940" s="46"/>
      <x:c r="J940" s="48"/>
      <x:c r="K940"/>
      <x:c r="L940"/>
      <x:c r="M940"/>
      <x:c r="N940"/>
      <x:c r="O940"/>
    </x:row>
    <x:row r="941">
      <x:c r="H941" s="46"/>
      <x:c r="I941" s="46"/>
      <x:c r="J941" s="48"/>
      <x:c r="K941"/>
      <x:c r="L941"/>
      <x:c r="M941"/>
      <x:c r="N941"/>
      <x:c r="O941"/>
    </x:row>
    <x:row r="942">
      <x:c r="H942" s="46"/>
      <x:c r="I942" s="46"/>
      <x:c r="J942" s="48"/>
      <x:c r="K942"/>
      <x:c r="L942"/>
      <x:c r="M942"/>
      <x:c r="N942"/>
      <x:c r="O942"/>
    </x:row>
    <x:row r="943">
      <x:c r="H943" s="46"/>
      <x:c r="I943" s="46"/>
      <x:c r="J943" s="48"/>
      <x:c r="K943"/>
      <x:c r="L943"/>
      <x:c r="M943"/>
      <x:c r="N943"/>
      <x:c r="O943"/>
    </x:row>
    <x:row r="944">
      <x:c r="H944" s="46"/>
      <x:c r="I944" s="46"/>
      <x:c r="J944" s="48"/>
      <x:c r="K944"/>
      <x:c r="L944"/>
      <x:c r="M944"/>
      <x:c r="N944"/>
      <x:c r="O944"/>
    </x:row>
    <x:row r="945">
      <x:c r="H945" s="46"/>
      <x:c r="I945" s="46"/>
      <x:c r="J945" s="48"/>
      <x:c r="K945"/>
      <x:c r="L945"/>
      <x:c r="M945"/>
      <x:c r="N945"/>
      <x:c r="O945"/>
    </x:row>
    <x:row r="946">
      <x:c r="H946" s="46"/>
      <x:c r="I946" s="46"/>
      <x:c r="J946" s="48"/>
      <x:c r="K946"/>
      <x:c r="L946"/>
      <x:c r="M946"/>
      <x:c r="N946"/>
      <x:c r="O946"/>
    </x:row>
    <x:row r="947">
      <x:c r="H947" s="46"/>
      <x:c r="I947" s="46"/>
      <x:c r="J947" s="48"/>
      <x:c r="K947"/>
      <x:c r="L947"/>
      <x:c r="M947"/>
      <x:c r="N947"/>
      <x:c r="O947"/>
    </x:row>
    <x:row r="948">
      <x:c r="H948" s="46"/>
      <x:c r="I948" s="46"/>
      <x:c r="J948" s="48"/>
      <x:c r="K948"/>
      <x:c r="L948"/>
      <x:c r="M948"/>
      <x:c r="N948"/>
      <x:c r="O948"/>
    </x:row>
    <x:row r="949">
      <x:c r="H949" s="46"/>
      <x:c r="I949" s="46"/>
      <x:c r="J949" s="48"/>
      <x:c r="K949"/>
      <x:c r="L949"/>
      <x:c r="M949"/>
      <x:c r="N949"/>
      <x:c r="O949"/>
    </x:row>
    <x:row r="950">
      <x:c r="H950" s="46"/>
      <x:c r="I950" s="46"/>
      <x:c r="J950" s="48"/>
      <x:c r="K950"/>
      <x:c r="L950"/>
      <x:c r="M950"/>
      <x:c r="N950"/>
      <x:c r="O950"/>
    </x:row>
    <x:row r="951">
      <x:c r="H951" s="46"/>
      <x:c r="I951" s="46"/>
      <x:c r="J951" s="48"/>
      <x:c r="K951"/>
      <x:c r="L951"/>
      <x:c r="M951"/>
      <x:c r="N951"/>
      <x:c r="O951"/>
    </x:row>
    <x:row r="952">
      <x:c r="H952" s="46"/>
      <x:c r="I952" s="46"/>
      <x:c r="J952" s="48"/>
      <x:c r="K952"/>
      <x:c r="L952"/>
      <x:c r="M952"/>
      <x:c r="N952"/>
      <x:c r="O952"/>
    </x:row>
    <x:row r="953">
      <x:c r="H953" s="46"/>
      <x:c r="I953" s="46"/>
      <x:c r="J953" s="48"/>
      <x:c r="K953"/>
      <x:c r="L953"/>
      <x:c r="M953"/>
      <x:c r="N953"/>
      <x:c r="O953"/>
    </x:row>
    <x:row r="954">
      <x:c r="H954" s="46"/>
      <x:c r="I954" s="46"/>
      <x:c r="J954" s="48"/>
      <x:c r="K954"/>
      <x:c r="L954"/>
      <x:c r="M954"/>
      <x:c r="N954"/>
      <x:c r="O954"/>
    </x:row>
    <x:row r="955">
      <x:c r="H955" s="46"/>
      <x:c r="I955" s="46"/>
      <x:c r="J955" s="48"/>
      <x:c r="K955"/>
      <x:c r="L955"/>
      <x:c r="M955"/>
      <x:c r="N955"/>
      <x:c r="O955"/>
    </x:row>
    <x:row r="956">
      <x:c r="H956" s="46"/>
      <x:c r="I956" s="46"/>
      <x:c r="J956" s="48"/>
      <x:c r="K956"/>
      <x:c r="L956"/>
      <x:c r="M956"/>
      <x:c r="N956"/>
      <x:c r="O956"/>
    </x:row>
    <x:row r="957">
      <x:c r="H957" s="46"/>
      <x:c r="I957" s="46"/>
      <x:c r="J957" s="48"/>
      <x:c r="K957"/>
      <x:c r="L957"/>
      <x:c r="M957"/>
      <x:c r="N957"/>
      <x:c r="O957"/>
    </x:row>
    <x:row r="958">
      <x:c r="H958" s="46"/>
      <x:c r="I958" s="46"/>
      <x:c r="J958" s="48"/>
      <x:c r="K958"/>
      <x:c r="L958"/>
      <x:c r="M958"/>
      <x:c r="N958"/>
      <x:c r="O958"/>
    </x:row>
    <x:row r="959">
      <x:c r="H959" s="46"/>
      <x:c r="I959" s="46"/>
      <x:c r="J959" s="48"/>
      <x:c r="K959"/>
      <x:c r="L959"/>
      <x:c r="M959"/>
      <x:c r="N959"/>
      <x:c r="O959"/>
    </x:row>
    <x:row r="960">
      <x:c r="H960" s="46"/>
      <x:c r="I960" s="46"/>
      <x:c r="J960" s="48"/>
      <x:c r="K960"/>
      <x:c r="L960"/>
      <x:c r="M960"/>
      <x:c r="N960"/>
      <x:c r="O960"/>
    </x:row>
    <x:row r="961">
      <x:c r="H961" s="46"/>
      <x:c r="I961" s="46"/>
      <x:c r="J961" s="48"/>
      <x:c r="K961"/>
      <x:c r="L961"/>
      <x:c r="M961"/>
      <x:c r="N961"/>
      <x:c r="O961"/>
    </x:row>
    <x:row r="962">
      <x:c r="H962" s="46"/>
      <x:c r="I962" s="46"/>
      <x:c r="J962" s="48"/>
      <x:c r="K962"/>
      <x:c r="L962"/>
      <x:c r="M962"/>
      <x:c r="N962"/>
      <x:c r="O962"/>
    </x:row>
    <x:row r="963">
      <x:c r="H963" s="46"/>
      <x:c r="I963" s="46"/>
      <x:c r="J963" s="48"/>
      <x:c r="K963"/>
      <x:c r="L963"/>
      <x:c r="M963"/>
      <x:c r="N963"/>
      <x:c r="O963"/>
    </x:row>
    <x:row r="964">
      <x:c r="H964" s="46"/>
      <x:c r="I964" s="46"/>
      <x:c r="J964" s="48"/>
      <x:c r="K964"/>
      <x:c r="L964"/>
      <x:c r="M964"/>
      <x:c r="N964"/>
      <x:c r="O964"/>
    </x:row>
    <x:row r="965">
      <x:c r="H965" s="46"/>
      <x:c r="I965" s="46"/>
      <x:c r="J965" s="48"/>
      <x:c r="K965"/>
      <x:c r="L965"/>
      <x:c r="M965"/>
      <x:c r="N965"/>
      <x:c r="O965"/>
    </x:row>
    <x:row r="966">
      <x:c r="H966" s="46"/>
      <x:c r="I966" s="46"/>
      <x:c r="J966" s="48"/>
      <x:c r="K966"/>
      <x:c r="L966"/>
      <x:c r="M966"/>
      <x:c r="N966"/>
      <x:c r="O966"/>
    </x:row>
    <x:row r="967">
      <x:c r="H967" s="46"/>
      <x:c r="I967" s="46"/>
      <x:c r="J967" s="48"/>
      <x:c r="K967"/>
      <x:c r="L967"/>
      <x:c r="M967"/>
      <x:c r="N967"/>
      <x:c r="O967"/>
    </x:row>
    <x:row r="968">
      <x:c r="H968" s="46"/>
      <x:c r="I968" s="46"/>
      <x:c r="J968" s="48"/>
      <x:c r="K968"/>
      <x:c r="L968"/>
      <x:c r="M968"/>
      <x:c r="N968"/>
      <x:c r="O968"/>
    </x:row>
    <x:row r="969">
      <x:c r="H969" s="46"/>
      <x:c r="I969" s="46"/>
      <x:c r="J969" s="48"/>
      <x:c r="K969"/>
      <x:c r="L969"/>
      <x:c r="M969"/>
      <x:c r="N969"/>
      <x:c r="O969"/>
    </x:row>
    <x:row r="970">
      <x:c r="H970" s="46"/>
      <x:c r="I970" s="46"/>
      <x:c r="J970" s="48"/>
      <x:c r="K970"/>
      <x:c r="L970"/>
      <x:c r="M970"/>
      <x:c r="N970"/>
      <x:c r="O970"/>
    </x:row>
    <x:row r="971">
      <x:c r="H971" s="46"/>
      <x:c r="I971" s="46"/>
      <x:c r="J971" s="48"/>
      <x:c r="K971"/>
      <x:c r="L971"/>
      <x:c r="M971"/>
      <x:c r="N971"/>
      <x:c r="O971"/>
    </x:row>
    <x:row r="972">
      <x:c r="H972" s="46"/>
      <x:c r="I972" s="46"/>
      <x:c r="J972" s="48"/>
      <x:c r="K972"/>
      <x:c r="L972"/>
      <x:c r="M972"/>
      <x:c r="N972"/>
      <x:c r="O972"/>
    </x:row>
    <x:row r="973">
      <x:c r="H973" s="46"/>
      <x:c r="I973" s="46"/>
      <x:c r="J973" s="48"/>
      <x:c r="K973"/>
      <x:c r="L973"/>
      <x:c r="M973"/>
      <x:c r="N973"/>
      <x:c r="O973"/>
    </x:row>
    <x:row r="974">
      <x:c r="H974" s="46"/>
      <x:c r="I974" s="46"/>
      <x:c r="J974" s="48"/>
      <x:c r="K974"/>
      <x:c r="L974"/>
      <x:c r="M974"/>
      <x:c r="N974"/>
      <x:c r="O974"/>
    </x:row>
    <x:row r="975">
      <x:c r="H975" s="46"/>
      <x:c r="I975" s="46"/>
      <x:c r="J975" s="48"/>
      <x:c r="K975"/>
      <x:c r="L975"/>
      <x:c r="M975"/>
      <x:c r="N975"/>
      <x:c r="O975"/>
    </x:row>
    <x:row r="976">
      <x:c r="H976" s="46"/>
      <x:c r="I976" s="46"/>
      <x:c r="J976" s="48"/>
      <x:c r="K976"/>
      <x:c r="L976"/>
      <x:c r="M976"/>
      <x:c r="N976"/>
      <x:c r="O976"/>
    </x:row>
    <x:row r="977">
      <x:c r="H977" s="46"/>
      <x:c r="I977" s="46"/>
      <x:c r="J977" s="48"/>
      <x:c r="K977"/>
      <x:c r="L977"/>
      <x:c r="M977"/>
      <x:c r="N977"/>
      <x:c r="O977"/>
    </x:row>
    <x:row r="978">
      <x:c r="H978" s="46"/>
      <x:c r="I978" s="46"/>
      <x:c r="J978" s="48"/>
      <x:c r="K978"/>
      <x:c r="L978"/>
      <x:c r="M978"/>
      <x:c r="N978"/>
      <x:c r="O978"/>
    </x:row>
    <x:row r="979">
      <x:c r="H979" s="46"/>
      <x:c r="I979" s="46"/>
      <x:c r="J979" s="48"/>
      <x:c r="K979"/>
      <x:c r="L979"/>
      <x:c r="M979"/>
      <x:c r="N979"/>
      <x:c r="O979"/>
    </x:row>
    <x:row r="980">
      <x:c r="H980" s="46"/>
      <x:c r="I980" s="46"/>
      <x:c r="J980" s="48"/>
      <x:c r="K980"/>
      <x:c r="L980"/>
      <x:c r="M980"/>
      <x:c r="N980"/>
      <x:c r="O980"/>
    </x:row>
    <x:row r="981">
      <x:c r="H981" s="46"/>
      <x:c r="I981" s="46"/>
      <x:c r="J981" s="48"/>
      <x:c r="K981"/>
      <x:c r="L981"/>
      <x:c r="M981"/>
      <x:c r="N981"/>
      <x:c r="O981"/>
    </x:row>
    <x:row r="982">
      <x:c r="H982" s="46"/>
      <x:c r="I982" s="46"/>
      <x:c r="J982" s="48"/>
      <x:c r="K982"/>
      <x:c r="L982"/>
      <x:c r="M982"/>
      <x:c r="N982"/>
      <x:c r="O982"/>
    </x:row>
    <x:row r="983">
      <x:c r="H983" s="46"/>
      <x:c r="I983" s="46"/>
      <x:c r="J983" s="48"/>
      <x:c r="K983"/>
      <x:c r="L983"/>
      <x:c r="M983"/>
      <x:c r="N983"/>
      <x:c r="O983"/>
    </x:row>
    <x:row r="984">
      <x:c r="H984" s="46"/>
      <x:c r="I984" s="46"/>
      <x:c r="J984" s="48"/>
      <x:c r="K984"/>
      <x:c r="L984"/>
      <x:c r="M984"/>
      <x:c r="N984"/>
      <x:c r="O984"/>
    </x:row>
    <x:row r="985">
      <x:c r="H985" s="46"/>
      <x:c r="I985" s="46"/>
      <x:c r="J985" s="48"/>
      <x:c r="K985"/>
      <x:c r="L985"/>
      <x:c r="M985"/>
      <x:c r="N985"/>
      <x:c r="O985"/>
    </x:row>
    <x:row r="986">
      <x:c r="H986" s="46"/>
      <x:c r="I986" s="46"/>
      <x:c r="J986" s="48"/>
      <x:c r="K986"/>
      <x:c r="L986"/>
      <x:c r="M986"/>
      <x:c r="N986"/>
      <x:c r="O986"/>
    </x:row>
    <x:row r="987">
      <x:c r="H987" s="46"/>
      <x:c r="I987" s="46"/>
      <x:c r="J987" s="48"/>
      <x:c r="K987"/>
      <x:c r="L987"/>
      <x:c r="M987"/>
      <x:c r="N987"/>
      <x:c r="O987"/>
    </x:row>
    <x:row r="988">
      <x:c r="H988" s="46"/>
      <x:c r="I988" s="46"/>
      <x:c r="J988" s="48"/>
      <x:c r="K988"/>
      <x:c r="L988"/>
      <x:c r="M988"/>
      <x:c r="N988"/>
      <x:c r="O988"/>
    </x:row>
    <x:row r="989">
      <x:c r="H989" s="46"/>
      <x:c r="I989" s="46"/>
      <x:c r="J989" s="48"/>
      <x:c r="K989"/>
      <x:c r="L989"/>
      <x:c r="M989"/>
      <x:c r="N989"/>
      <x:c r="O989"/>
    </x:row>
    <x:row r="990">
      <x:c r="H990" s="46"/>
      <x:c r="I990" s="46"/>
      <x:c r="J990" s="48"/>
      <x:c r="K990"/>
      <x:c r="L990"/>
      <x:c r="M990"/>
      <x:c r="N990"/>
      <x:c r="O990"/>
    </x:row>
    <x:row r="991">
      <x:c r="H991" s="46"/>
      <x:c r="I991" s="46"/>
      <x:c r="J991" s="48"/>
      <x:c r="K991"/>
      <x:c r="L991"/>
      <x:c r="M991"/>
      <x:c r="N991"/>
      <x:c r="O991"/>
    </x:row>
    <x:row r="992">
      <x:c r="H992" s="46"/>
      <x:c r="I992" s="46"/>
      <x:c r="J992" s="48"/>
      <x:c r="K992"/>
      <x:c r="L992"/>
      <x:c r="M992"/>
      <x:c r="N992"/>
      <x:c r="O992"/>
    </x:row>
    <x:row r="993">
      <x:c r="H993" s="46"/>
      <x:c r="I993" s="46"/>
      <x:c r="J993" s="48"/>
      <x:c r="K993"/>
      <x:c r="L993"/>
      <x:c r="M993"/>
      <x:c r="N993"/>
      <x:c r="O993"/>
    </x:row>
    <x:row r="994">
      <x:c r="H994" s="46"/>
      <x:c r="I994" s="46"/>
      <x:c r="J994" s="48"/>
      <x:c r="K994"/>
      <x:c r="L994"/>
      <x:c r="M994"/>
      <x:c r="N994"/>
      <x:c r="O994"/>
    </x:row>
    <x:row r="995">
      <x:c r="H995" s="46"/>
      <x:c r="I995" s="46"/>
      <x:c r="J995" s="48"/>
      <x:c r="K995"/>
      <x:c r="L995"/>
      <x:c r="M995"/>
      <x:c r="N995"/>
      <x:c r="O995"/>
    </x:row>
    <x:row r="996">
      <x:c r="H996" s="46"/>
      <x:c r="I996" s="46"/>
      <x:c r="J996" s="48"/>
      <x:c r="K996"/>
      <x:c r="L996"/>
      <x:c r="M996"/>
      <x:c r="N996"/>
      <x:c r="O996"/>
    </x:row>
    <x:row r="997">
      <x:c r="H997" s="46"/>
      <x:c r="I997" s="46"/>
      <x:c r="J997" s="48"/>
      <x:c r="K997"/>
      <x:c r="L997"/>
      <x:c r="M997"/>
      <x:c r="N997"/>
      <x:c r="O997"/>
    </x:row>
    <x:row r="998">
      <x:c r="H998" s="46"/>
      <x:c r="I998" s="46"/>
      <x:c r="J998" s="48"/>
      <x:c r="K998"/>
      <x:c r="L998"/>
      <x:c r="M998"/>
      <x:c r="N998"/>
      <x:c r="O998"/>
    </x:row>
    <x:row r="999">
      <x:c r="H999" s="46"/>
      <x:c r="I999" s="46"/>
      <x:c r="J999" s="48"/>
      <x:c r="K999"/>
      <x:c r="L999"/>
      <x:c r="M999"/>
      <x:c r="N999"/>
      <x:c r="O999"/>
    </x:row>
    <x:row r="1000">
      <x:c r="H1000" s="46"/>
      <x:c r="I1000" s="46"/>
      <x:c r="J1000" s="48"/>
      <x:c r="K1000"/>
      <x:c r="L1000"/>
      <x:c r="M1000"/>
      <x:c r="N1000"/>
      <x:c r="O1000"/>
    </x:row>
    <x:row r="1001">
      <x:c r="H1001" s="46"/>
      <x:c r="I1001" s="46"/>
      <x:c r="J1001" s="48"/>
      <x:c r="K1001"/>
      <x:c r="L1001"/>
      <x:c r="M1001"/>
      <x:c r="N1001"/>
      <x:c r="O1001"/>
    </x:row>
    <x:row r="1002">
      <x:c r="H1002" s="46"/>
      <x:c r="I1002" s="46"/>
      <x:c r="J1002" s="48"/>
      <x:c r="K1002"/>
      <x:c r="L1002"/>
      <x:c r="M1002"/>
      <x:c r="N1002"/>
      <x:c r="O1002"/>
    </x:row>
    <x:row r="1003">
      <x:c r="H1003" s="46"/>
      <x:c r="I1003" s="46"/>
      <x:c r="J1003" s="48"/>
      <x:c r="K1003"/>
      <x:c r="L1003"/>
      <x:c r="M1003"/>
      <x:c r="N1003"/>
      <x:c r="O1003"/>
    </x:row>
    <x:row r="1004">
      <x:c r="H1004" s="46"/>
      <x:c r="I1004" s="46"/>
      <x:c r="J1004" s="48"/>
      <x:c r="K1004"/>
      <x:c r="L1004"/>
      <x:c r="M1004"/>
      <x:c r="N1004"/>
      <x:c r="O1004"/>
    </x:row>
  </x:sheetData>
  <x:mergeCells>
    <x:mergeCell ref="A1:L1"/>
    <x:mergeCell ref="A2:L2"/>
  </x:mergeCells>
  <x:conditionalFormatting sqref="L5:L119">
    <x:cfRule type="containsText" dxfId="3" priority="1">
      <x:formula>NOT(ISERROR(SEARCH("undefined",L5)))</x:formula>
    </x:cfRule>
  </x:conditionalFormatting>
  <x:dataValidations count="4">
    <x:dataValidation type="list" sqref="F10:F1004">
      <x:formula1>"no_video,with_video"</x:formula1>
    </x:dataValidation>
    <x:dataValidation type="list" sqref="F5:F1004">
      <x:formula1>"no_video,with_video"</x:formula1>
    </x:dataValidation>
    <x:dataValidation type="list" sqref="G10:G1004">
      <x:formula1>"是,否"</x:formula1>
    </x:dataValidation>
    <x:dataValidation type="list" sqref="G5:G1004">
      <x:formula1>"是,否"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22" customWidth="1"/>
    <x:col min="2" max="2" width="30" customWidth="1"/>
    <x:col min="3" max="3" width="44" customWidth="1"/>
    <x:col min="4" max="4" width="13" customWidth="1"/>
    <x:col min="5" max="6" width="15" customWidth="1"/>
    <x:col min="7" max="7" width="24" customWidth="1"/>
    <x:col min="8" max="8" width="15" customWidth="1"/>
    <x:col min="9" max="10" width="11" customWidth="1"/>
    <x:col min="12" max="12" width="18" customWidth="1"/>
    <x:col min="13" max="13" width="16" customWidth="1"/>
    <x:col min="14" max="18" width="17" customWidth="1"/>
    <x:col min="19" max="19" width="13" customWidth="1"/>
    <x:col min="20" max="20" width="20" customWidth="1"/>
    <x:col min="21" max="21" width="44" customWidth="1"/>
  </x:cols>
  <x:sheetData>
    <x:row r="1" ht="34.04999923706055" customHeight="1">
      <x:c r="A1" s="1" t="s">
        <x:v>54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</x:row>
    <x:row r="2" ht="32" customHeight="1">
      <x:c r="A2" s="2" t="s">
        <x:v>1149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</x:row>
    <x:row r="4" ht="34.04999923706055" customHeight="1">
      <x:c r="A4" s="4" t="s">
        <x:v>56</x:v>
      </x:c>
      <x:c r="B4" s="4" t="s">
        <x:v>1150</x:v>
      </x:c>
      <x:c r="C4" s="4" t="s">
        <x:v>42</x:v>
      </x:c>
      <x:c r="D4" s="4" t="s">
        <x:v>1151</x:v>
      </x:c>
      <x:c r="E4" s="4" t="s">
        <x:v>1152</x:v>
      </x:c>
      <x:c r="F4" s="4" t="s">
        <x:v>1153</x:v>
      </x:c>
      <x:c r="G4" s="4" t="s">
        <x:v>28</x:v>
      </x:c>
      <x:c r="H4" s="4" t="s">
        <x:v>247</x:v>
      </x:c>
      <x:c r="I4" s="4" t="s">
        <x:v>207</x:v>
      </x:c>
      <x:c r="J4" s="4" t="s">
        <x:v>208</x:v>
      </x:c>
      <x:c r="K4" s="4" t="s">
        <x:v>209</x:v>
      </x:c>
      <x:c r="L4" s="4" t="s">
        <x:v>1154</x:v>
      </x:c>
      <x:c r="M4" s="4" t="s">
        <x:v>305</x:v>
      </x:c>
      <x:c r="N4" s="4" t="s">
        <x:v>75</x:v>
      </x:c>
      <x:c r="O4" s="4" t="s">
        <x:v>1155</x:v>
      </x:c>
      <x:c r="P4" s="4" t="s">
        <x:v>1156</x:v>
      </x:c>
      <x:c r="Q4" s="4" t="s">
        <x:v>1157</x:v>
      </x:c>
      <x:c r="R4" s="4" t="s">
        <x:v>1158</x:v>
      </x:c>
      <x:c r="S4" s="4" t="s">
        <x:v>1159</x:v>
      </x:c>
      <x:c r="T4" s="4" t="s">
        <x:v>1160</x:v>
      </x:c>
      <x:c r="U4" s="4" t="s">
        <x:v>93</x:v>
      </x:c>
    </x:row>
    <x:row r="5" ht="15" customHeight="1">
      <x:c r="A5" s="29" t="s">
        <x:v>1161</x:v>
      </x:c>
      <x:c r="B5" s="29" t="s">
        <x:v>293</x:v>
      </x:c>
      <x:c r="C5" s="29" t="s">
        <x:v>316</x:v>
      </x:c>
      <x:c r="D5" s="40" t="s">
        <x:v>151</x:v>
      </x:c>
      <x:c r="E5" s="40">
        <x:v>4</x:v>
      </x:c>
      <x:c r="F5" s="40">
        <x:v>4</x:v>
      </x:c>
      <x:c r="G5" s="33" t="s">
        <x:v>240</x:v>
      </x:c>
      <x:c r="H5" s="33" t="s">
        <x:v>258</x:v>
      </x:c>
      <x:c r="I5" s="33" t="n">
        <x:f>IFERROR(XLOOKUP(G5,'模型SKU'!$A$5:$A$504,'模型SKU'!$E$5:$E$504),"")</x:f>
        <x:v>864</x:v>
      </x:c>
      <x:c r="J5" s="33" t="n">
        <x:f>IFERROR(XLOOKUP(G5,'模型SKU'!$A$5:$A$504,'模型SKU'!$F$5:$F$504),"")</x:f>
        <x:v>496</x:v>
      </x:c>
      <x:c r="K5" s="33" t="n">
        <x:f>IFERROR(XLOOKUP(G5,'模型SKU'!$A$5:$A$504,'模型SKU'!$G$5:$G$504),"")</x:f>
        <x:v>24</x:v>
      </x:c>
      <x:c r="L5" s="35" t="n">
        <x:f>IFERROR((E5+F5)*I5*J5*K5/'参数'!$B$7,0)</x:f>
        <x:v>80352</x:v>
      </x:c>
      <x:c r="M5" s="33" t="s">
        <x:v>318</x:v>
      </x:c>
      <x:c r="N5" s="36" t="n">
        <x:f>IFERROR(XLOOKUP(C5,'渠道成本'!$A$5:$A$1004,'渠道成本'!$U$5:$U$1004),"")</x:f>
        <x:v>0.02054794520547945</x:v>
      </x:c>
      <x:c r="O5" s="36" t="n">
        <x:f>IFERROR(XLOOKUP(B5,'官方售价'!$A$5:$A$504,'官方售价'!$M$5:$M$504),"")</x:f>
        <x:v>3.150684931506849</x:v>
      </x:c>
      <x:c r="P5" s="36" t="n">
        <x:f>IF(M5="per_token",N5*L5/'参数'!$B$8,N5)</x:f>
        <x:v>0.02054794520547945</x:v>
      </x:c>
      <x:c r="Q5" s="36" t="n">
        <x:f>IFERROR(O5*D5,"")</x:f>
        <x:v>3.150684931506849</x:v>
      </x:c>
      <x:c r="R5" s="36" t="n">
        <x:f>IFERROR(Q5-P5,"")</x:f>
        <x:v>3.1301369863013697</x:v>
      </x:c>
      <x:c r="S5" s="41" t="n">
        <x:f>IFERROR(R5/Q5,"")</x:f>
        <x:v>0.9934782608695653</x:v>
      </x:c>
      <x:c r="T5" s="33" t="s">
        <x:v>224</x:v>
      </x:c>
      <x:c r="U5" s="17" t="s">
        <x:v>1162</x:v>
      </x:c>
    </x:row>
    <x:row r="6" ht="15" customHeight="1">
      <x:c r="A6" s="29" t="s">
        <x:v>1163</x:v>
      </x:c>
      <x:c r="B6" s="29" t="s">
        <x:v>296</x:v>
      </x:c>
      <x:c r="C6" s="29" t="s">
        <x:v>325</x:v>
      </x:c>
      <x:c r="D6" s="40" t="s">
        <x:v>151</x:v>
      </x:c>
      <x:c r="E6" s="40">
        <x:v>4</x:v>
      </x:c>
      <x:c r="F6" s="40">
        <x:v>4</x:v>
      </x:c>
      <x:c r="G6" s="33" t="s">
        <x:v>240</x:v>
      </x:c>
      <x:c r="H6" s="33" t="s">
        <x:v>264</x:v>
      </x:c>
      <x:c r="I6" s="33" t="n">
        <x:f>IFERROR(XLOOKUP(G6,'模型SKU'!$A$5:$A$504,'模型SKU'!$E$5:$E$504),"")</x:f>
        <x:v>864</x:v>
      </x:c>
      <x:c r="J6" s="33" t="n">
        <x:f>IFERROR(XLOOKUP(G6,'模型SKU'!$A$5:$A$504,'模型SKU'!$F$5:$F$504),"")</x:f>
        <x:v>496</x:v>
      </x:c>
      <x:c r="K6" s="33" t="n">
        <x:f>IFERROR(XLOOKUP(G6,'模型SKU'!$A$5:$A$504,'模型SKU'!$G$5:$G$504),"")</x:f>
        <x:v>24</x:v>
      </x:c>
      <x:c r="L6" s="35" t="n">
        <x:f>IFERROR((E6+F6)*I6*J6*K6/'参数'!$B$7,0)</x:f>
        <x:v>80352</x:v>
      </x:c>
      <x:c r="M6" s="33" t="s">
        <x:v>318</x:v>
      </x:c>
      <x:c r="N6" s="36" t="n">
        <x:f>IFERROR(XLOOKUP(C6,'渠道成本'!$A$5:$A$1004,'渠道成本'!$U$5:$U$1004),"")</x:f>
        <x:v>0.02054794520547945</x:v>
      </x:c>
      <x:c r="O6" s="36" t="n">
        <x:f>IFERROR(XLOOKUP(B6,'官方售价'!$A$5:$A$504,'官方售价'!$M$5:$M$504),"")</x:f>
        <x:v>1.917808219178082</x:v>
      </x:c>
      <x:c r="P6" s="36" t="n">
        <x:f>IF(M6="per_token",N6*L6/'参数'!$B$8,N6)</x:f>
        <x:v>0.02054794520547945</x:v>
      </x:c>
      <x:c r="Q6" s="36" t="n">
        <x:f>IFERROR(O6*D6,"")</x:f>
        <x:v>1.917808219178082</x:v>
      </x:c>
      <x:c r="R6" s="36" t="n">
        <x:f>IFERROR(Q6-P6,"")</x:f>
        <x:v>1.8972602739726026</x:v>
      </x:c>
      <x:c r="S6" s="41" t="n">
        <x:f>IFERROR(R6/Q6,"")</x:f>
        <x:v>0.9892857142857142</x:v>
      </x:c>
      <x:c r="T6" s="33" t="s">
        <x:v>224</x:v>
      </x:c>
      <x:c r="U6" s="17" t="s">
        <x:v>1162</x:v>
      </x:c>
    </x:row>
    <x:row r="7" ht="15" customHeight="1">
      <x:c r="A7" s="29" t="s">
        <x:v>1164</x:v>
      </x:c>
      <x:c r="B7" s="29" t="s">
        <x:v>299</x:v>
      </x:c>
      <x:c r="C7" s="29" t="s">
        <x:v>326</x:v>
      </x:c>
      <x:c r="D7" s="40" t="s">
        <x:v>151</x:v>
      </x:c>
      <x:c r="E7" s="40">
        <x:v>4</x:v>
      </x:c>
      <x:c r="F7" s="40">
        <x:v>4</x:v>
      </x:c>
      <x:c r="G7" s="33" t="s">
        <x:v>244</x:v>
      </x:c>
      <x:c r="H7" s="33" t="s">
        <x:v>258</x:v>
      </x:c>
      <x:c r="I7" s="33" t="n">
        <x:f>IFERROR(XLOOKUP(G7,'模型SKU'!$A$5:$A$504,'模型SKU'!$E$5:$E$504),"")</x:f>
        <x:v>1280</x:v>
      </x:c>
      <x:c r="J7" s="33" t="n">
        <x:f>IFERROR(XLOOKUP(G7,'模型SKU'!$A$5:$A$504,'模型SKU'!$F$5:$F$504),"")</x:f>
        <x:v>720</x:v>
      </x:c>
      <x:c r="K7" s="33" t="n">
        <x:f>IFERROR(XLOOKUP(G7,'模型SKU'!$A$5:$A$504,'模型SKU'!$G$5:$G$504),"")</x:f>
        <x:v>24</x:v>
      </x:c>
      <x:c r="L7" s="35" t="n">
        <x:f>IFERROR((E7+F7)*I7*J7*K7/'参数'!$B$7,0)</x:f>
        <x:v>172800</x:v>
      </x:c>
      <x:c r="M7" s="33" t="s">
        <x:v>318</x:v>
      </x:c>
      <x:c r="N7" s="36" t="n">
        <x:f>IFERROR(XLOOKUP(C7,'渠道成本'!$A$5:$A$1004,'渠道成本'!$U$5:$U$1004),"")</x:f>
        <x:v>0.031506849315068496</x:v>
      </x:c>
      <x:c r="O7" s="36" t="n">
        <x:f>IFERROR(XLOOKUP(B7,'官方售价'!$A$5:$A$504,'官方售价'!$M$5:$M$504),"")</x:f>
        <x:v>3.150684931506849</x:v>
      </x:c>
      <x:c r="P7" s="36" t="n">
        <x:f>IF(M7="per_token",N7*L7/'参数'!$B$8,N7)</x:f>
        <x:v>0.031506849315068496</x:v>
      </x:c>
      <x:c r="Q7" s="36" t="n">
        <x:f>IFERROR(O7*D7,"")</x:f>
        <x:v>3.150684931506849</x:v>
      </x:c>
      <x:c r="R7" s="36" t="n">
        <x:f>IFERROR(Q7-P7,"")</x:f>
        <x:v>3.1191780821917807</x:v>
      </x:c>
      <x:c r="S7" s="41" t="n">
        <x:f>IFERROR(R7/Q7,"")</x:f>
        <x:v>0.9900000000000001</x:v>
      </x:c>
      <x:c r="T7" s="33" t="s">
        <x:v>224</x:v>
      </x:c>
      <x:c r="U7" s="17" t="s">
        <x:v>1162</x:v>
      </x:c>
    </x:row>
    <x:row r="8" ht="15" customHeight="1">
      <x:c r="A8" s="29" t="s">
        <x:v>1165</x:v>
      </x:c>
      <x:c r="B8" s="29" t="s">
        <x:v>301</x:v>
      </x:c>
      <x:c r="C8" s="29" t="s">
        <x:v>328</x:v>
      </x:c>
      <x:c r="D8" s="40" t="s">
        <x:v>151</x:v>
      </x:c>
      <x:c r="E8" s="40">
        <x:v>4</x:v>
      </x:c>
      <x:c r="F8" s="40">
        <x:v>4</x:v>
      </x:c>
      <x:c r="G8" s="33" t="s">
        <x:v>244</x:v>
      </x:c>
      <x:c r="H8" s="33" t="s">
        <x:v>264</x:v>
      </x:c>
      <x:c r="I8" s="33" t="n">
        <x:f>IFERROR(XLOOKUP(G8,'模型SKU'!$A$5:$A$504,'模型SKU'!$E$5:$E$504),"")</x:f>
        <x:v>1280</x:v>
      </x:c>
      <x:c r="J8" s="33" t="n">
        <x:f>IFERROR(XLOOKUP(G8,'模型SKU'!$A$5:$A$504,'模型SKU'!$F$5:$F$504),"")</x:f>
        <x:v>720</x:v>
      </x:c>
      <x:c r="K8" s="33" t="n">
        <x:f>IFERROR(XLOOKUP(G8,'模型SKU'!$A$5:$A$504,'模型SKU'!$G$5:$G$504),"")</x:f>
        <x:v>24</x:v>
      </x:c>
      <x:c r="L8" s="35" t="n">
        <x:f>IFERROR((E8+F8)*I8*J8*K8/'参数'!$B$7,0)</x:f>
        <x:v>172800</x:v>
      </x:c>
      <x:c r="M8" s="33" t="s">
        <x:v>318</x:v>
      </x:c>
      <x:c r="N8" s="36" t="n">
        <x:f>IFERROR(XLOOKUP(C8,'渠道成本'!$A$5:$A$1004,'渠道成本'!$U$5:$U$1004),"")</x:f>
        <x:v>0.031506849315068496</x:v>
      </x:c>
      <x:c r="O8" s="36" t="n">
        <x:f>IFERROR(XLOOKUP(B8,'官方售价'!$A$5:$A$504,'官方售价'!$M$5:$M$504),"")</x:f>
        <x:v>1.917808219178082</x:v>
      </x:c>
      <x:c r="P8" s="36" t="n">
        <x:f>IF(M8="per_token",N8*L8/'参数'!$B$8,N8)</x:f>
        <x:v>0.031506849315068496</x:v>
      </x:c>
      <x:c r="Q8" s="36" t="n">
        <x:f>IFERROR(O8*D8,"")</x:f>
        <x:v>1.917808219178082</x:v>
      </x:c>
      <x:c r="R8" s="36" t="n">
        <x:f>IFERROR(Q8-P8,"")</x:f>
        <x:v>1.8863013698630136</x:v>
      </x:c>
      <x:c r="S8" s="41" t="n">
        <x:f>IFERROR(R8/Q8,"")</x:f>
        <x:v>0.9835714285714285</x:v>
      </x:c>
      <x:c r="T8" s="33" t="s">
        <x:v>224</x:v>
      </x:c>
      <x:c r="U8" s="17" t="s">
        <x:v>1162</x:v>
      </x:c>
    </x:row>
    <x:row r="9" ht="15" customHeight="1">
      <x:c r="A9" s="29" t="s">
        <x:v>1166</x:v>
      </x:c>
      <x:c r="B9" s="29" t="s">
        <x:v>293</x:v>
      </x:c>
      <x:c r="C9" s="29" t="s">
        <x:v>329</x:v>
      </x:c>
      <x:c r="D9" s="40" t="s">
        <x:v>151</x:v>
      </x:c>
      <x:c r="E9" s="40">
        <x:v>4</x:v>
      </x:c>
      <x:c r="F9" s="40">
        <x:v>4</x:v>
      </x:c>
      <x:c r="G9" s="33" t="s">
        <x:v>240</x:v>
      </x:c>
      <x:c r="H9" s="33" t="s">
        <x:v>258</x:v>
      </x:c>
      <x:c r="I9" s="33" t="n">
        <x:f>IFERROR(XLOOKUP(G9,'模型SKU'!$A$5:$A$504,'模型SKU'!$E$5:$E$504),"")</x:f>
        <x:v>864</x:v>
      </x:c>
      <x:c r="J9" s="33" t="n">
        <x:f>IFERROR(XLOOKUP(G9,'模型SKU'!$A$5:$A$504,'模型SKU'!$F$5:$F$504),"")</x:f>
        <x:v>496</x:v>
      </x:c>
      <x:c r="K9" s="33" t="n">
        <x:f>IFERROR(XLOOKUP(G9,'模型SKU'!$A$5:$A$504,'模型SKU'!$G$5:$G$504),"")</x:f>
        <x:v>24</x:v>
      </x:c>
      <x:c r="L9" s="35" t="n">
        <x:f>IFERROR((E9+F9)*I9*J9*K9/'参数'!$B$7,0)</x:f>
        <x:v>80352</x:v>
      </x:c>
      <x:c r="M9" s="33" t="s">
        <x:v>331</x:v>
      </x:c>
      <x:c r="N9" s="36" t="n">
        <x:f>IFERROR(XLOOKUP(C9,'渠道成本'!$A$5:$A$1004,'渠道成本'!$U$5:$U$1004),"")</x:f>
        <x:v>0.4794520547945205</x:v>
      </x:c>
      <x:c r="O9" s="36" t="n">
        <x:f>IFERROR(XLOOKUP(B9,'官方售价'!$A$5:$A$504,'官方售价'!$M$5:$M$504),"")</x:f>
        <x:v>3.150684931506849</x:v>
      </x:c>
      <x:c r="P9" s="36" t="n">
        <x:f>IF(M9="per_token",N9*L9/'参数'!$B$8,N9)</x:f>
        <x:v>0.4794520547945205</x:v>
      </x:c>
      <x:c r="Q9" s="36" t="n">
        <x:f>IFERROR(O9*D9,"")</x:f>
        <x:v>3.150684931506849</x:v>
      </x:c>
      <x:c r="R9" s="36" t="n">
        <x:f>IFERROR(Q9-P9,"")</x:f>
        <x:v>2.6712328767123283</x:v>
      </x:c>
      <x:c r="S9" s="41" t="n">
        <x:f>IFERROR(R9/Q9,"")</x:f>
        <x:v>0.8478260869565217</x:v>
      </x:c>
      <x:c r="T9" s="33" t="s">
        <x:v>224</x:v>
      </x:c>
      <x:c r="U9" s="17" t="s">
        <x:v>1162</x:v>
      </x:c>
    </x:row>
    <x:row r="10" ht="15" customHeight="1">
      <x:c r="A10" s="29" t="s">
        <x:v>1167</x:v>
      </x:c>
      <x:c r="B10" s="29" t="s">
        <x:v>296</x:v>
      </x:c>
      <x:c r="C10" s="29" t="s">
        <x:v>335</x:v>
      </x:c>
      <x:c r="D10" s="40" t="s">
        <x:v>151</x:v>
      </x:c>
      <x:c r="E10" s="40">
        <x:v>4</x:v>
      </x:c>
      <x:c r="F10" s="40">
        <x:v>4</x:v>
      </x:c>
      <x:c r="G10" s="33" t="s">
        <x:v>240</x:v>
      </x:c>
      <x:c r="H10" s="33" t="s">
        <x:v>264</x:v>
      </x:c>
      <x:c r="I10" s="33" t="n">
        <x:f>IFERROR(XLOOKUP(G10,'模型SKU'!$A$5:$A$504,'模型SKU'!$E$5:$E$504),"")</x:f>
        <x:v>864</x:v>
      </x:c>
      <x:c r="J10" s="33" t="n">
        <x:f>IFERROR(XLOOKUP(G10,'模型SKU'!$A$5:$A$504,'模型SKU'!$F$5:$F$504),"")</x:f>
        <x:v>496</x:v>
      </x:c>
      <x:c r="K10" s="33" t="n">
        <x:f>IFERROR(XLOOKUP(G10,'模型SKU'!$A$5:$A$504,'模型SKU'!$G$5:$G$504),"")</x:f>
        <x:v>24</x:v>
      </x:c>
      <x:c r="L10" s="35" t="n">
        <x:f>IFERROR((E10+F10)*I10*J10*K10/'参数'!$B$7,0)</x:f>
        <x:v>80352</x:v>
      </x:c>
      <x:c r="M10" s="33" t="s">
        <x:v>331</x:v>
      </x:c>
      <x:c r="N10" s="36" t="n">
        <x:f>IFERROR(XLOOKUP(C10,'渠道成本'!$A$5:$A$1004,'渠道成本'!$U$5:$U$1004),"")</x:f>
        <x:v>0.4794520547945205</x:v>
      </x:c>
      <x:c r="O10" s="36" t="n">
        <x:f>IFERROR(XLOOKUP(B10,'官方售价'!$A$5:$A$504,'官方售价'!$M$5:$M$504),"")</x:f>
        <x:v>1.917808219178082</x:v>
      </x:c>
      <x:c r="P10" s="36" t="n">
        <x:f>IF(M10="per_token",N10*L10/'参数'!$B$8,N10)</x:f>
        <x:v>0.4794520547945205</x:v>
      </x:c>
      <x:c r="Q10" s="36" t="n">
        <x:f>IFERROR(O10*D10,"")</x:f>
        <x:v>1.917808219178082</x:v>
      </x:c>
      <x:c r="R10" s="36" t="n">
        <x:f>IFERROR(Q10-P10,"")</x:f>
        <x:v>1.4383561643835616</x:v>
      </x:c>
      <x:c r="S10" s="41" t="n">
        <x:f>IFERROR(R10/Q10,"")</x:f>
        <x:v>0.75</x:v>
      </x:c>
      <x:c r="T10" s="33" t="s">
        <x:v>224</x:v>
      </x:c>
      <x:c r="U10" s="17" t="s">
        <x:v>1162</x:v>
      </x:c>
    </x:row>
    <x:row r="11" ht="15" customHeight="1">
      <x:c r="A11" s="29" t="s">
        <x:v>1168</x:v>
      </x:c>
      <x:c r="B11" s="29" t="s">
        <x:v>299</x:v>
      </x:c>
      <x:c r="C11" s="29" t="s">
        <x:v>336</x:v>
      </x:c>
      <x:c r="D11" s="40" t="s">
        <x:v>151</x:v>
      </x:c>
      <x:c r="E11" s="40">
        <x:v>4</x:v>
      </x:c>
      <x:c r="F11" s="40">
        <x:v>4</x:v>
      </x:c>
      <x:c r="G11" s="33" t="s">
        <x:v>244</x:v>
      </x:c>
      <x:c r="H11" s="33" t="s">
        <x:v>258</x:v>
      </x:c>
      <x:c r="I11" s="33" t="n">
        <x:f>IFERROR(XLOOKUP(G11,'模型SKU'!$A$5:$A$504,'模型SKU'!$E$5:$E$504),"")</x:f>
        <x:v>1280</x:v>
      </x:c>
      <x:c r="J11" s="33" t="n">
        <x:f>IFERROR(XLOOKUP(G11,'模型SKU'!$A$5:$A$504,'模型SKU'!$F$5:$F$504),"")</x:f>
        <x:v>720</x:v>
      </x:c>
      <x:c r="K11" s="33" t="n">
        <x:f>IFERROR(XLOOKUP(G11,'模型SKU'!$A$5:$A$504,'模型SKU'!$G$5:$G$504),"")</x:f>
        <x:v>24</x:v>
      </x:c>
      <x:c r="L11" s="35" t="n">
        <x:f>IFERROR((E11+F11)*I11*J11*K11/'参数'!$B$7,0)</x:f>
        <x:v>172800</x:v>
      </x:c>
      <x:c r="M11" s="33" t="s">
        <x:v>331</x:v>
      </x:c>
      <x:c r="N11" s="36" t="n">
        <x:f>IFERROR(XLOOKUP(C11,'渠道成本'!$A$5:$A$1004,'渠道成本'!$U$5:$U$1004),"")</x:f>
        <x:v>0.8630136986301369</x:v>
      </x:c>
      <x:c r="O11" s="36" t="n">
        <x:f>IFERROR(XLOOKUP(B11,'官方售价'!$A$5:$A$504,'官方售价'!$M$5:$M$504),"")</x:f>
        <x:v>3.150684931506849</x:v>
      </x:c>
      <x:c r="P11" s="36" t="n">
        <x:f>IF(M11="per_token",N11*L11/'参数'!$B$8,N11)</x:f>
        <x:v>0.8630136986301369</x:v>
      </x:c>
      <x:c r="Q11" s="36" t="n">
        <x:f>IFERROR(O11*D11,"")</x:f>
        <x:v>3.150684931506849</x:v>
      </x:c>
      <x:c r="R11" s="36" t="n">
        <x:f>IFERROR(Q11-P11,"")</x:f>
        <x:v>2.287671232876712</x:v>
      </x:c>
      <x:c r="S11" s="41" t="n">
        <x:f>IFERROR(R11/Q11,"")</x:f>
        <x:v>0.7260869565217392</x:v>
      </x:c>
      <x:c r="T11" s="33" t="s">
        <x:v>224</x:v>
      </x:c>
      <x:c r="U11" s="17" t="s">
        <x:v>1162</x:v>
      </x:c>
    </x:row>
    <x:row r="12" ht="15" customHeight="1">
      <x:c r="A12" s="29" t="s">
        <x:v>1169</x:v>
      </x:c>
      <x:c r="B12" s="29" t="s">
        <x:v>301</x:v>
      </x:c>
      <x:c r="C12" s="29" t="s">
        <x:v>338</x:v>
      </x:c>
      <x:c r="D12" s="40" t="s">
        <x:v>151</x:v>
      </x:c>
      <x:c r="E12" s="40">
        <x:v>4</x:v>
      </x:c>
      <x:c r="F12" s="40">
        <x:v>4</x:v>
      </x:c>
      <x:c r="G12" s="33" t="s">
        <x:v>244</x:v>
      </x:c>
      <x:c r="H12" s="33" t="s">
        <x:v>264</x:v>
      </x:c>
      <x:c r="I12" s="33" t="n">
        <x:f>IFERROR(XLOOKUP(G12,'模型SKU'!$A$5:$A$504,'模型SKU'!$E$5:$E$504),"")</x:f>
        <x:v>1280</x:v>
      </x:c>
      <x:c r="J12" s="33" t="n">
        <x:f>IFERROR(XLOOKUP(G12,'模型SKU'!$A$5:$A$504,'模型SKU'!$F$5:$F$504),"")</x:f>
        <x:v>720</x:v>
      </x:c>
      <x:c r="K12" s="33" t="n">
        <x:f>IFERROR(XLOOKUP(G12,'模型SKU'!$A$5:$A$504,'模型SKU'!$G$5:$G$504),"")</x:f>
        <x:v>24</x:v>
      </x:c>
      <x:c r="L12" s="35" t="n">
        <x:f>IFERROR((E12+F12)*I12*J12*K12/'参数'!$B$7,0)</x:f>
        <x:v>172800</x:v>
      </x:c>
      <x:c r="M12" s="33" t="s">
        <x:v>331</x:v>
      </x:c>
      <x:c r="N12" s="36" t="n">
        <x:f>IFERROR(XLOOKUP(C12,'渠道成本'!$A$5:$A$1004,'渠道成本'!$U$5:$U$1004),"")</x:f>
        <x:v>0.8630136986301369</x:v>
      </x:c>
      <x:c r="O12" s="36" t="n">
        <x:f>IFERROR(XLOOKUP(B12,'官方售价'!$A$5:$A$504,'官方售价'!$M$5:$M$504),"")</x:f>
        <x:v>1.917808219178082</x:v>
      </x:c>
      <x:c r="P12" s="36" t="n">
        <x:f>IF(M12="per_token",N12*L12/'参数'!$B$8,N12)</x:f>
        <x:v>0.8630136986301369</x:v>
      </x:c>
      <x:c r="Q12" s="36" t="n">
        <x:f>IFERROR(O12*D12,"")</x:f>
        <x:v>1.917808219178082</x:v>
      </x:c>
      <x:c r="R12" s="36" t="n">
        <x:f>IFERROR(Q12-P12,"")</x:f>
        <x:v>1.0547945205479452</x:v>
      </x:c>
      <x:c r="S12" s="41" t="n">
        <x:f>IFERROR(R12/Q12,"")</x:f>
        <x:v>0.55</x:v>
      </x:c>
      <x:c r="T12" s="33" t="s">
        <x:v>224</x:v>
      </x:c>
      <x:c r="U12" s="17" t="s">
        <x:v>1162</x:v>
      </x:c>
    </x:row>
    <x:row r="13" ht="15" customHeight="1">
      <x:c r="A13" s="29" t="s">
        <x:v>1170</x:v>
      </x:c>
      <x:c r="B13" s="29" t="s">
        <x:v>283</x:v>
      </x:c>
      <x:c r="C13" s="29" t="s">
        <x:v>339</x:v>
      </x:c>
      <x:c r="D13" s="40" t="s">
        <x:v>151</x:v>
      </x:c>
      <x:c r="E13" s="40">
        <x:v>4</x:v>
      </x:c>
      <x:c r="F13" s="40">
        <x:v>4</x:v>
      </x:c>
      <x:c r="G13" s="33" t="s">
        <x:v>234</x:v>
      </x:c>
      <x:c r="H13" s="33" t="s">
        <x:v>258</x:v>
      </x:c>
      <x:c r="I13" s="33" t="n">
        <x:f>IFERROR(XLOOKUP(G13,'模型SKU'!$A$5:$A$504,'模型SKU'!$E$5:$E$504),"")</x:f>
        <x:v>864</x:v>
      </x:c>
      <x:c r="J13" s="33" t="n">
        <x:f>IFERROR(XLOOKUP(G13,'模型SKU'!$A$5:$A$504,'模型SKU'!$F$5:$F$504),"")</x:f>
        <x:v>496</x:v>
      </x:c>
      <x:c r="K13" s="33" t="n">
        <x:f>IFERROR(XLOOKUP(G13,'模型SKU'!$A$5:$A$504,'模型SKU'!$G$5:$G$504),"")</x:f>
        <x:v>24</x:v>
      </x:c>
      <x:c r="L13" s="35" t="n">
        <x:f>IFERROR((E13+F13)*I13*J13*K13/'参数'!$B$7,0)</x:f>
        <x:v>80352</x:v>
      </x:c>
      <x:c r="M13" s="33" t="s">
        <x:v>331</x:v>
      </x:c>
      <x:c r="N13" s="36" t="n">
        <x:f>IFERROR(XLOOKUP(C13,'渠道成本'!$A$5:$A$1004,'渠道成本'!$U$5:$U$1004),"")</x:f>
        <x:v>0.3698630136986301</x:v>
      </x:c>
      <x:c r="O13" s="36" t="n">
        <x:f>IFERROR(XLOOKUP(B13,'官方售价'!$A$5:$A$504,'官方售价'!$M$5:$M$504),"")</x:f>
        <x:v>5.068493150684931</x:v>
      </x:c>
      <x:c r="P13" s="36" t="n">
        <x:f>IF(M13="per_token",N13*L13/'参数'!$B$8,N13)</x:f>
        <x:v>0.3698630136986301</x:v>
      </x:c>
      <x:c r="Q13" s="36" t="n">
        <x:f>IFERROR(O13*D13,"")</x:f>
        <x:v>5.068493150684931</x:v>
      </x:c>
      <x:c r="R13" s="36" t="n">
        <x:f>IFERROR(Q13-P13,"")</x:f>
        <x:v>4.698630136986301</x:v>
      </x:c>
      <x:c r="S13" s="41" t="n">
        <x:f>IFERROR(R13/Q13,"")</x:f>
        <x:v>0.927027027027027</x:v>
      </x:c>
      <x:c r="T13" s="33" t="s">
        <x:v>224</x:v>
      </x:c>
      <x:c r="U13" s="17" t="s">
        <x:v>1162</x:v>
      </x:c>
    </x:row>
    <x:row r="14" ht="15" customHeight="1">
      <x:c r="A14" s="29" t="s">
        <x:v>1171</x:v>
      </x:c>
      <x:c r="B14" s="29" t="s">
        <x:v>286</x:v>
      </x:c>
      <x:c r="C14" s="29" t="s">
        <x:v>343</x:v>
      </x:c>
      <x:c r="D14" s="40" t="s">
        <x:v>151</x:v>
      </x:c>
      <x:c r="E14" s="40">
        <x:v>4</x:v>
      </x:c>
      <x:c r="F14" s="40">
        <x:v>4</x:v>
      </x:c>
      <x:c r="G14" s="33" t="s">
        <x:v>234</x:v>
      </x:c>
      <x:c r="H14" s="33" t="s">
        <x:v>264</x:v>
      </x:c>
      <x:c r="I14" s="33" t="n">
        <x:f>IFERROR(XLOOKUP(G14,'模型SKU'!$A$5:$A$504,'模型SKU'!$E$5:$E$504),"")</x:f>
        <x:v>864</x:v>
      </x:c>
      <x:c r="J14" s="33" t="n">
        <x:f>IFERROR(XLOOKUP(G14,'模型SKU'!$A$5:$A$504,'模型SKU'!$F$5:$F$504),"")</x:f>
        <x:v>496</x:v>
      </x:c>
      <x:c r="K14" s="33" t="n">
        <x:f>IFERROR(XLOOKUP(G14,'模型SKU'!$A$5:$A$504,'模型SKU'!$G$5:$G$504),"")</x:f>
        <x:v>24</x:v>
      </x:c>
      <x:c r="L14" s="35" t="n">
        <x:f>IFERROR((E14+F14)*I14*J14*K14/'参数'!$B$7,0)</x:f>
        <x:v>80352</x:v>
      </x:c>
      <x:c r="M14" s="33" t="s">
        <x:v>331</x:v>
      </x:c>
      <x:c r="N14" s="36" t="n">
        <x:f>IFERROR(XLOOKUP(C14,'渠道成本'!$A$5:$A$1004,'渠道成本'!$U$5:$U$1004),"")</x:f>
        <x:v>0.3698630136986301</x:v>
      </x:c>
      <x:c r="O14" s="36" t="n">
        <x:f>IFERROR(XLOOKUP(B14,'官方售价'!$A$5:$A$504,'官方售价'!$M$5:$M$504),"")</x:f>
        <x:v>3.013698630136986</x:v>
      </x:c>
      <x:c r="P14" s="36" t="n">
        <x:f>IF(M14="per_token",N14*L14/'参数'!$B$8,N14)</x:f>
        <x:v>0.3698630136986301</x:v>
      </x:c>
      <x:c r="Q14" s="36" t="n">
        <x:f>IFERROR(O14*D14,"")</x:f>
        <x:v>3.013698630136986</x:v>
      </x:c>
      <x:c r="R14" s="36" t="n">
        <x:f>IFERROR(Q14-P14,"")</x:f>
        <x:v>2.6438356164383556</x:v>
      </x:c>
      <x:c r="S14" s="41" t="n">
        <x:f>IFERROR(R14/Q14,"")</x:f>
        <x:v>0.8772727272727272</x:v>
      </x:c>
      <x:c r="T14" s="33" t="s">
        <x:v>224</x:v>
      </x:c>
      <x:c r="U14" s="17" t="s">
        <x:v>1162</x:v>
      </x:c>
    </x:row>
    <x:row r="15" ht="15" customHeight="1">
      <x:c r="A15" s="29" t="s">
        <x:v>1172</x:v>
      </x:c>
      <x:c r="B15" s="29" t="s">
        <x:v>289</x:v>
      </x:c>
      <x:c r="C15" s="29" t="s">
        <x:v>344</x:v>
      </x:c>
      <x:c r="D15" s="40" t="s">
        <x:v>151</x:v>
      </x:c>
      <x:c r="E15" s="40">
        <x:v>4</x:v>
      </x:c>
      <x:c r="F15" s="40">
        <x:v>4</x:v>
      </x:c>
      <x:c r="G15" s="33" t="s">
        <x:v>238</x:v>
      </x:c>
      <x:c r="H15" s="33" t="s">
        <x:v>258</x:v>
      </x:c>
      <x:c r="I15" s="33" t="n">
        <x:f>IFERROR(XLOOKUP(G15,'模型SKU'!$A$5:$A$504,'模型SKU'!$E$5:$E$504),"")</x:f>
        <x:v>1280</x:v>
      </x:c>
      <x:c r="J15" s="33" t="n">
        <x:f>IFERROR(XLOOKUP(G15,'模型SKU'!$A$5:$A$504,'模型SKU'!$F$5:$F$504),"")</x:f>
        <x:v>720</x:v>
      </x:c>
      <x:c r="K15" s="33" t="n">
        <x:f>IFERROR(XLOOKUP(G15,'模型SKU'!$A$5:$A$504,'模型SKU'!$G$5:$G$504),"")</x:f>
        <x:v>24</x:v>
      </x:c>
      <x:c r="L15" s="35" t="n">
        <x:f>IFERROR((E15+F15)*I15*J15*K15/'参数'!$B$7,0)</x:f>
        <x:v>172800</x:v>
      </x:c>
      <x:c r="M15" s="33" t="s">
        <x:v>331</x:v>
      </x:c>
      <x:c r="N15" s="36" t="n">
        <x:f>IFERROR(XLOOKUP(C15,'渠道成本'!$A$5:$A$1004,'渠道成本'!$U$5:$U$1004),"")</x:f>
        <x:v>0.6164383561643836</x:v>
      </x:c>
      <x:c r="O15" s="36" t="n">
        <x:f>IFERROR(XLOOKUP(B15,'官方售价'!$A$5:$A$504,'官方售价'!$M$5:$M$504),"")</x:f>
        <x:v>5.068493150684931</x:v>
      </x:c>
      <x:c r="P15" s="36" t="n">
        <x:f>IF(M15="per_token",N15*L15/'参数'!$B$8,N15)</x:f>
        <x:v>0.6164383561643836</x:v>
      </x:c>
      <x:c r="Q15" s="36" t="n">
        <x:f>IFERROR(O15*D15,"")</x:f>
        <x:v>5.068493150684931</x:v>
      </x:c>
      <x:c r="R15" s="36" t="n">
        <x:f>IFERROR(Q15-P15,"")</x:f>
        <x:v>4.4520547945205475</x:v>
      </x:c>
      <x:c r="S15" s="41" t="n">
        <x:f>IFERROR(R15/Q15,"")</x:f>
        <x:v>0.8783783783783783</x:v>
      </x:c>
      <x:c r="T15" s="33" t="s">
        <x:v>224</x:v>
      </x:c>
      <x:c r="U15" s="17" t="s">
        <x:v>1162</x:v>
      </x:c>
    </x:row>
    <x:row r="16" ht="15" customHeight="1">
      <x:c r="A16" s="29" t="s">
        <x:v>1173</x:v>
      </x:c>
      <x:c r="B16" s="29" t="s">
        <x:v>291</x:v>
      </x:c>
      <x:c r="C16" s="29" t="s">
        <x:v>346</x:v>
      </x:c>
      <x:c r="D16" s="40" t="s">
        <x:v>151</x:v>
      </x:c>
      <x:c r="E16" s="40">
        <x:v>4</x:v>
      </x:c>
      <x:c r="F16" s="40">
        <x:v>4</x:v>
      </x:c>
      <x:c r="G16" s="33" t="s">
        <x:v>238</x:v>
      </x:c>
      <x:c r="H16" s="33" t="s">
        <x:v>264</x:v>
      </x:c>
      <x:c r="I16" s="33" t="n">
        <x:f>IFERROR(XLOOKUP(G16,'模型SKU'!$A$5:$A$504,'模型SKU'!$E$5:$E$504),"")</x:f>
        <x:v>1280</x:v>
      </x:c>
      <x:c r="J16" s="33" t="n">
        <x:f>IFERROR(XLOOKUP(G16,'模型SKU'!$A$5:$A$504,'模型SKU'!$F$5:$F$504),"")</x:f>
        <x:v>720</x:v>
      </x:c>
      <x:c r="K16" s="33" t="n">
        <x:f>IFERROR(XLOOKUP(G16,'模型SKU'!$A$5:$A$504,'模型SKU'!$G$5:$G$504),"")</x:f>
        <x:v>24</x:v>
      </x:c>
      <x:c r="L16" s="35" t="n">
        <x:f>IFERROR((E16+F16)*I16*J16*K16/'参数'!$B$7,0)</x:f>
        <x:v>172800</x:v>
      </x:c>
      <x:c r="M16" s="33" t="s">
        <x:v>331</x:v>
      </x:c>
      <x:c r="N16" s="36" t="n">
        <x:f>IFERROR(XLOOKUP(C16,'渠道成本'!$A$5:$A$1004,'渠道成本'!$U$5:$U$1004),"")</x:f>
        <x:v>0.6164383561643836</x:v>
      </x:c>
      <x:c r="O16" s="36" t="n">
        <x:f>IFERROR(XLOOKUP(B16,'官方售价'!$A$5:$A$504,'官方售价'!$M$5:$M$504),"")</x:f>
        <x:v>3.013698630136986</x:v>
      </x:c>
      <x:c r="P16" s="36" t="n">
        <x:f>IF(M16="per_token",N16*L16/'参数'!$B$8,N16)</x:f>
        <x:v>0.6164383561643836</x:v>
      </x:c>
      <x:c r="Q16" s="36" t="n">
        <x:f>IFERROR(O16*D16,"")</x:f>
        <x:v>3.013698630136986</x:v>
      </x:c>
      <x:c r="R16" s="36" t="n">
        <x:f>IFERROR(Q16-P16,"")</x:f>
        <x:v>2.397260273972602</x:v>
      </x:c>
      <x:c r="S16" s="41" t="n">
        <x:f>IFERROR(R16/Q16,"")</x:f>
        <x:v>0.7954545454545453</x:v>
      </x:c>
      <x:c r="T16" s="33" t="s">
        <x:v>224</x:v>
      </x:c>
      <x:c r="U16" s="17" t="s">
        <x:v>1162</x:v>
      </x:c>
    </x:row>
    <x:row r="17" ht="15" customHeight="1">
      <x:c r="A17" s="29" t="s">
        <x:v>1174</x:v>
      </x:c>
      <x:c r="B17" s="29" t="s">
        <x:v>283</x:v>
      </x:c>
      <x:c r="C17" s="29" t="s">
        <x:v>347</x:v>
      </x:c>
      <x:c r="D17" s="40" t="s">
        <x:v>151</x:v>
      </x:c>
      <x:c r="E17" s="40">
        <x:v>4</x:v>
      </x:c>
      <x:c r="F17" s="40">
        <x:v>4</x:v>
      </x:c>
      <x:c r="G17" s="33" t="s">
        <x:v>234</x:v>
      </x:c>
      <x:c r="H17" s="33" t="s">
        <x:v>258</x:v>
      </x:c>
      <x:c r="I17" s="33" t="n">
        <x:f>IFERROR(XLOOKUP(G17,'模型SKU'!$A$5:$A$504,'模型SKU'!$E$5:$E$504),"")</x:f>
        <x:v>864</x:v>
      </x:c>
      <x:c r="J17" s="33" t="n">
        <x:f>IFERROR(XLOOKUP(G17,'模型SKU'!$A$5:$A$504,'模型SKU'!$F$5:$F$504),"")</x:f>
        <x:v>496</x:v>
      </x:c>
      <x:c r="K17" s="33" t="n">
        <x:f>IFERROR(XLOOKUP(G17,'模型SKU'!$A$5:$A$504,'模型SKU'!$G$5:$G$504),"")</x:f>
        <x:v>24</x:v>
      </x:c>
      <x:c r="L17" s="35" t="n">
        <x:f>IFERROR((E17+F17)*I17*J17*K17/'参数'!$B$7,0)</x:f>
        <x:v>80352</x:v>
      </x:c>
      <x:c r="M17" s="33" t="s">
        <x:v>318</x:v>
      </x:c>
      <x:c r="N17" s="36" t="n">
        <x:f>IFERROR(XLOOKUP(C17,'渠道成本'!$A$5:$A$1004,'渠道成本'!$U$5:$U$1004),"")</x:f>
        <x:v>0.03287671232876712</x:v>
      </x:c>
      <x:c r="O17" s="36" t="n">
        <x:f>IFERROR(XLOOKUP(B17,'官方售价'!$A$5:$A$504,'官方售价'!$M$5:$M$504),"")</x:f>
        <x:v>5.068493150684931</x:v>
      </x:c>
      <x:c r="P17" s="36" t="n">
        <x:f>IF(M17="per_token",N17*L17/'参数'!$B$8,N17)</x:f>
        <x:v>0.03287671232876712</x:v>
      </x:c>
      <x:c r="Q17" s="36" t="n">
        <x:f>IFERROR(O17*D17,"")</x:f>
        <x:v>5.068493150684931</x:v>
      </x:c>
      <x:c r="R17" s="36" t="n">
        <x:f>IFERROR(Q17-P17,"")</x:f>
        <x:v>5.035616438356164</x:v>
      </x:c>
      <x:c r="S17" s="41" t="n">
        <x:f>IFERROR(R17/Q17,"")</x:f>
        <x:v>0.9935135135135135</x:v>
      </x:c>
      <x:c r="T17" s="33" t="s">
        <x:v>224</x:v>
      </x:c>
      <x:c r="U17" s="17" t="s">
        <x:v>1162</x:v>
      </x:c>
    </x:row>
    <x:row r="18" ht="15" customHeight="1">
      <x:c r="A18" s="29" t="s">
        <x:v>1175</x:v>
      </x:c>
      <x:c r="B18" s="29" t="s">
        <x:v>286</x:v>
      </x:c>
      <x:c r="C18" s="29" t="s">
        <x:v>349</x:v>
      </x:c>
      <x:c r="D18" s="40" t="s">
        <x:v>151</x:v>
      </x:c>
      <x:c r="E18" s="40">
        <x:v>4</x:v>
      </x:c>
      <x:c r="F18" s="40">
        <x:v>4</x:v>
      </x:c>
      <x:c r="G18" s="33" t="s">
        <x:v>234</x:v>
      </x:c>
      <x:c r="H18" s="33" t="s">
        <x:v>264</x:v>
      </x:c>
      <x:c r="I18" s="33" t="n">
        <x:f>IFERROR(XLOOKUP(G18,'模型SKU'!$A$5:$A$504,'模型SKU'!$E$5:$E$504),"")</x:f>
        <x:v>864</x:v>
      </x:c>
      <x:c r="J18" s="33" t="n">
        <x:f>IFERROR(XLOOKUP(G18,'模型SKU'!$A$5:$A$504,'模型SKU'!$F$5:$F$504),"")</x:f>
        <x:v>496</x:v>
      </x:c>
      <x:c r="K18" s="33" t="n">
        <x:f>IFERROR(XLOOKUP(G18,'模型SKU'!$A$5:$A$504,'模型SKU'!$G$5:$G$504),"")</x:f>
        <x:v>24</x:v>
      </x:c>
      <x:c r="L18" s="35" t="n">
        <x:f>IFERROR((E18+F18)*I18*J18*K18/'参数'!$B$7,0)</x:f>
        <x:v>80352</x:v>
      </x:c>
      <x:c r="M18" s="33" t="s">
        <x:v>318</x:v>
      </x:c>
      <x:c r="N18" s="36" t="n">
        <x:f>IFERROR(XLOOKUP(C18,'渠道成本'!$A$5:$A$1004,'渠道成本'!$U$5:$U$1004),"")</x:f>
        <x:v>0.03287671232876712</x:v>
      </x:c>
      <x:c r="O18" s="36" t="n">
        <x:f>IFERROR(XLOOKUP(B18,'官方售价'!$A$5:$A$504,'官方售价'!$M$5:$M$504),"")</x:f>
        <x:v>3.013698630136986</x:v>
      </x:c>
      <x:c r="P18" s="36" t="n">
        <x:f>IF(M18="per_token",N18*L18/'参数'!$B$8,N18)</x:f>
        <x:v>0.03287671232876712</x:v>
      </x:c>
      <x:c r="Q18" s="36" t="n">
        <x:f>IFERROR(O18*D18,"")</x:f>
        <x:v>3.013698630136986</x:v>
      </x:c>
      <x:c r="R18" s="36" t="n">
        <x:f>IFERROR(Q18-P18,"")</x:f>
        <x:v>2.980821917808219</x:v>
      </x:c>
      <x:c r="S18" s="41" t="n">
        <x:f>IFERROR(R18/Q18,"")</x:f>
        <x:v>0.9890909090909091</x:v>
      </x:c>
      <x:c r="T18" s="33" t="s">
        <x:v>224</x:v>
      </x:c>
      <x:c r="U18" s="17" t="s">
        <x:v>1162</x:v>
      </x:c>
    </x:row>
    <x:row r="19" ht="26.350000381469727" customHeight="1">
      <x:c r="A19" s="29" t="s">
        <x:v>1176</x:v>
      </x:c>
      <x:c r="B19" s="29" t="s">
        <x:v>289</x:v>
      </x:c>
      <x:c r="C19" s="29" t="s">
        <x:v>350</x:v>
      </x:c>
      <x:c r="D19" s="40" t="s">
        <x:v>151</x:v>
      </x:c>
      <x:c r="E19" s="40">
        <x:v>4</x:v>
      </x:c>
      <x:c r="F19" s="40">
        <x:v>4</x:v>
      </x:c>
      <x:c r="G19" s="33" t="s">
        <x:v>238</x:v>
      </x:c>
      <x:c r="H19" s="33" t="s">
        <x:v>258</x:v>
      </x:c>
      <x:c r="I19" s="33" t="n">
        <x:f>IFERROR(XLOOKUP(G19,'模型SKU'!$A$5:$A$504,'模型SKU'!$E$5:$E$504),"")</x:f>
        <x:v>1280</x:v>
      </x:c>
      <x:c r="J19" s="33" t="n">
        <x:f>IFERROR(XLOOKUP(G19,'模型SKU'!$A$5:$A$504,'模型SKU'!$F$5:$F$504),"")</x:f>
        <x:v>720</x:v>
      </x:c>
      <x:c r="K19" s="33" t="n">
        <x:f>IFERROR(XLOOKUP(G19,'模型SKU'!$A$5:$A$504,'模型SKU'!$G$5:$G$504),"")</x:f>
        <x:v>24</x:v>
      </x:c>
      <x:c r="L19" s="35" t="n">
        <x:f>IFERROR((E19+F19)*I19*J19*K19/'参数'!$B$7,0)</x:f>
        <x:v>172800</x:v>
      </x:c>
      <x:c r="M19" s="33" t="s">
        <x:v>318</x:v>
      </x:c>
      <x:c r="N19" s="36" t="n">
        <x:f>IFERROR(XLOOKUP(C19,'渠道成本'!$A$5:$A$1004,'渠道成本'!$U$5:$U$1004),"")</x:f>
        <x:v>0.05753424657534246</x:v>
      </x:c>
      <x:c r="O19" s="36" t="n">
        <x:f>IFERROR(XLOOKUP(B19,'官方售价'!$A$5:$A$504,'官方售价'!$M$5:$M$504),"")</x:f>
        <x:v>5.068493150684931</x:v>
      </x:c>
      <x:c r="P19" s="36" t="n">
        <x:f>IF(M19="per_token",N19*L19/'参数'!$B$8,N19)</x:f>
        <x:v>0.05753424657534246</x:v>
      </x:c>
      <x:c r="Q19" s="36" t="n">
        <x:f>IFERROR(O19*D19,"")</x:f>
        <x:v>5.068493150684931</x:v>
      </x:c>
      <x:c r="R19" s="36" t="n">
        <x:f>IFERROR(Q19-P19,"")</x:f>
        <x:v>5.0109589041095886</x:v>
      </x:c>
      <x:c r="S19" s="41" t="n">
        <x:f>IFERROR(R19/Q19,"")</x:f>
        <x:v>0.9886486486486485</x:v>
      </x:c>
      <x:c r="T19" s="33" t="s">
        <x:v>224</x:v>
      </x:c>
      <x:c r="U19" s="17" t="s">
        <x:v>1162</x:v>
      </x:c>
    </x:row>
    <x:row r="20" ht="26.350000381469727" customHeight="1">
      <x:c r="A20" s="29" t="s">
        <x:v>1177</x:v>
      </x:c>
      <x:c r="B20" s="29" t="s">
        <x:v>291</x:v>
      </x:c>
      <x:c r="C20" s="29" t="s">
        <x:v>352</x:v>
      </x:c>
      <x:c r="D20" s="40" t="s">
        <x:v>151</x:v>
      </x:c>
      <x:c r="E20" s="40">
        <x:v>4</x:v>
      </x:c>
      <x:c r="F20" s="40">
        <x:v>4</x:v>
      </x:c>
      <x:c r="G20" s="33" t="s">
        <x:v>238</x:v>
      </x:c>
      <x:c r="H20" s="33" t="s">
        <x:v>264</x:v>
      </x:c>
      <x:c r="I20" s="33" t="n">
        <x:f>IFERROR(XLOOKUP(G20,'模型SKU'!$A$5:$A$504,'模型SKU'!$E$5:$E$504),"")</x:f>
        <x:v>1280</x:v>
      </x:c>
      <x:c r="J20" s="33" t="n">
        <x:f>IFERROR(XLOOKUP(G20,'模型SKU'!$A$5:$A$504,'模型SKU'!$F$5:$F$504),"")</x:f>
        <x:v>720</x:v>
      </x:c>
      <x:c r="K20" s="33" t="n">
        <x:f>IFERROR(XLOOKUP(G20,'模型SKU'!$A$5:$A$504,'模型SKU'!$G$5:$G$504),"")</x:f>
        <x:v>24</x:v>
      </x:c>
      <x:c r="L20" s="35" t="n">
        <x:f>IFERROR((E20+F20)*I20*J20*K20/'参数'!$B$7,0)</x:f>
        <x:v>172800</x:v>
      </x:c>
      <x:c r="M20" s="33" t="s">
        <x:v>318</x:v>
      </x:c>
      <x:c r="N20" s="36" t="n">
        <x:f>IFERROR(XLOOKUP(C20,'渠道成本'!$A$5:$A$1004,'渠道成本'!$U$5:$U$1004),"")</x:f>
        <x:v>0.05753424657534246</x:v>
      </x:c>
      <x:c r="O20" s="36" t="n">
        <x:f>IFERROR(XLOOKUP(B20,'官方售价'!$A$5:$A$504,'官方售价'!$M$5:$M$504),"")</x:f>
        <x:v>3.013698630136986</x:v>
      </x:c>
      <x:c r="P20" s="36" t="n">
        <x:f>IF(M20="per_token",N20*L20/'参数'!$B$8,N20)</x:f>
        <x:v>0.05753424657534246</x:v>
      </x:c>
      <x:c r="Q20" s="36" t="n">
        <x:f>IFERROR(O20*D20,"")</x:f>
        <x:v>3.013698630136986</x:v>
      </x:c>
      <x:c r="R20" s="36" t="n">
        <x:f>IFERROR(Q20-P20,"")</x:f>
        <x:v>2.9561643835616436</x:v>
      </x:c>
      <x:c r="S20" s="41" t="n">
        <x:f>IFERROR(R20/Q20,"")</x:f>
        <x:v>0.980909090909091</x:v>
      </x:c>
      <x:c r="T20" s="33" t="s">
        <x:v>224</x:v>
      </x:c>
      <x:c r="U20" s="17" t="s">
        <x:v>1162</x:v>
      </x:c>
    </x:row>
    <x:row r="21" ht="26.350000381469727" customHeight="1">
      <x:c r="A21" s="29" t="s">
        <x:v>1178</x:v>
      </x:c>
      <x:c r="B21" s="29" t="s">
        <x:v>283</x:v>
      </x:c>
      <x:c r="C21" s="29" t="s">
        <x:v>353</x:v>
      </x:c>
      <x:c r="D21" s="40" t="s">
        <x:v>151</x:v>
      </x:c>
      <x:c r="E21" s="40">
        <x:v>4</x:v>
      </x:c>
      <x:c r="F21" s="40">
        <x:v>4</x:v>
      </x:c>
      <x:c r="G21" s="33" t="s">
        <x:v>234</x:v>
      </x:c>
      <x:c r="H21" s="33" t="s">
        <x:v>258</x:v>
      </x:c>
      <x:c r="I21" s="33" t="n">
        <x:f>IFERROR(XLOOKUP(G21,'模型SKU'!$A$5:$A$504,'模型SKU'!$E$5:$E$504),"")</x:f>
        <x:v>864</x:v>
      </x:c>
      <x:c r="J21" s="33" t="n">
        <x:f>IFERROR(XLOOKUP(G21,'模型SKU'!$A$5:$A$504,'模型SKU'!$F$5:$F$504),"")</x:f>
        <x:v>496</x:v>
      </x:c>
      <x:c r="K21" s="33" t="n">
        <x:f>IFERROR(XLOOKUP(G21,'模型SKU'!$A$5:$A$504,'模型SKU'!$G$5:$G$504),"")</x:f>
        <x:v>24</x:v>
      </x:c>
      <x:c r="L21" s="35" t="n">
        <x:f>IFERROR((E21+F21)*I21*J21*K21/'参数'!$B$7,0)</x:f>
        <x:v>80352</x:v>
      </x:c>
      <x:c r="M21" s="33" t="s">
        <x:v>331</x:v>
      </x:c>
      <x:c r="N21" s="36" t="n">
        <x:f>IFERROR(XLOOKUP(C21,'渠道成本'!$A$5:$A$1004,'渠道成本'!$U$5:$U$1004),"")</x:f>
        <x:v>0.9863013698630136</x:v>
      </x:c>
      <x:c r="O21" s="36" t="n">
        <x:f>IFERROR(XLOOKUP(B21,'官方售价'!$A$5:$A$504,'官方售价'!$M$5:$M$504),"")</x:f>
        <x:v>5.068493150684931</x:v>
      </x:c>
      <x:c r="P21" s="36" t="n">
        <x:f>IF(M21="per_token",N21*L21/'参数'!$B$8,N21)</x:f>
        <x:v>0.9863013698630136</x:v>
      </x:c>
      <x:c r="Q21" s="36" t="n">
        <x:f>IFERROR(O21*D21,"")</x:f>
        <x:v>5.068493150684931</x:v>
      </x:c>
      <x:c r="R21" s="36" t="n">
        <x:f>IFERROR(Q21-P21,"")</x:f>
        <x:v>4.082191780821917</x:v>
      </x:c>
      <x:c r="S21" s="41" t="n">
        <x:f>IFERROR(R21/Q21,"")</x:f>
        <x:v>0.8054054054054053</x:v>
      </x:c>
      <x:c r="T21" s="33" t="s">
        <x:v>224</x:v>
      </x:c>
      <x:c r="U21" s="17" t="s">
        <x:v>1162</x:v>
      </x:c>
    </x:row>
    <x:row r="22" ht="26.350000381469727" customHeight="1">
      <x:c r="A22" s="29" t="s">
        <x:v>1179</x:v>
      </x:c>
      <x:c r="B22" s="29" t="s">
        <x:v>286</x:v>
      </x:c>
      <x:c r="C22" s="29" t="s">
        <x:v>357</x:v>
      </x:c>
      <x:c r="D22" s="40" t="s">
        <x:v>151</x:v>
      </x:c>
      <x:c r="E22" s="40">
        <x:v>4</x:v>
      </x:c>
      <x:c r="F22" s="40">
        <x:v>4</x:v>
      </x:c>
      <x:c r="G22" s="33" t="s">
        <x:v>234</x:v>
      </x:c>
      <x:c r="H22" s="33" t="s">
        <x:v>264</x:v>
      </x:c>
      <x:c r="I22" s="33" t="n">
        <x:f>IFERROR(XLOOKUP(G22,'模型SKU'!$A$5:$A$504,'模型SKU'!$E$5:$E$504),"")</x:f>
        <x:v>864</x:v>
      </x:c>
      <x:c r="J22" s="33" t="n">
        <x:f>IFERROR(XLOOKUP(G22,'模型SKU'!$A$5:$A$504,'模型SKU'!$F$5:$F$504),"")</x:f>
        <x:v>496</x:v>
      </x:c>
      <x:c r="K22" s="33" t="n">
        <x:f>IFERROR(XLOOKUP(G22,'模型SKU'!$A$5:$A$504,'模型SKU'!$G$5:$G$504),"")</x:f>
        <x:v>24</x:v>
      </x:c>
      <x:c r="L22" s="35" t="n">
        <x:f>IFERROR((E22+F22)*I22*J22*K22/'参数'!$B$7,0)</x:f>
        <x:v>80352</x:v>
      </x:c>
      <x:c r="M22" s="33" t="s">
        <x:v>331</x:v>
      </x:c>
      <x:c r="N22" s="36" t="n">
        <x:f>IFERROR(XLOOKUP(C22,'渠道成本'!$A$5:$A$1004,'渠道成本'!$U$5:$U$1004),"")</x:f>
        <x:v>0.9863013698630136</x:v>
      </x:c>
      <x:c r="O22" s="36" t="n">
        <x:f>IFERROR(XLOOKUP(B22,'官方售价'!$A$5:$A$504,'官方售价'!$M$5:$M$504),"")</x:f>
        <x:v>3.013698630136986</x:v>
      </x:c>
      <x:c r="P22" s="36" t="n">
        <x:f>IF(M22="per_token",N22*L22/'参数'!$B$8,N22)</x:f>
        <x:v>0.9863013698630136</x:v>
      </x:c>
      <x:c r="Q22" s="36" t="n">
        <x:f>IFERROR(O22*D22,"")</x:f>
        <x:v>3.013698630136986</x:v>
      </x:c>
      <x:c r="R22" s="36" t="n">
        <x:f>IFERROR(Q22-P22,"")</x:f>
        <x:v>2.0273972602739723</x:v>
      </x:c>
      <x:c r="S22" s="41" t="n">
        <x:f>IFERROR(R22/Q22,"")</x:f>
        <x:v>0.6727272727272727</x:v>
      </x:c>
      <x:c r="T22" s="33" t="s">
        <x:v>224</x:v>
      </x:c>
      <x:c r="U22" s="17" t="s">
        <x:v>1162</x:v>
      </x:c>
    </x:row>
    <x:row r="23" ht="26.350000381469727" customHeight="1">
      <x:c r="A23" s="29" t="s">
        <x:v>1180</x:v>
      </x:c>
      <x:c r="B23" s="29" t="s">
        <x:v>289</x:v>
      </x:c>
      <x:c r="C23" s="29" t="s">
        <x:v>358</x:v>
      </x:c>
      <x:c r="D23" s="40" t="s">
        <x:v>151</x:v>
      </x:c>
      <x:c r="E23" s="40">
        <x:v>4</x:v>
      </x:c>
      <x:c r="F23" s="40">
        <x:v>4</x:v>
      </x:c>
      <x:c r="G23" s="33" t="s">
        <x:v>238</x:v>
      </x:c>
      <x:c r="H23" s="33" t="s">
        <x:v>258</x:v>
      </x:c>
      <x:c r="I23" s="33" t="n">
        <x:f>IFERROR(XLOOKUP(G23,'模型SKU'!$A$5:$A$504,'模型SKU'!$E$5:$E$504),"")</x:f>
        <x:v>1280</x:v>
      </x:c>
      <x:c r="J23" s="33" t="n">
        <x:f>IFERROR(XLOOKUP(G23,'模型SKU'!$A$5:$A$504,'模型SKU'!$F$5:$F$504),"")</x:f>
        <x:v>720</x:v>
      </x:c>
      <x:c r="K23" s="33" t="n">
        <x:f>IFERROR(XLOOKUP(G23,'模型SKU'!$A$5:$A$504,'模型SKU'!$G$5:$G$504),"")</x:f>
        <x:v>24</x:v>
      </x:c>
      <x:c r="L23" s="35" t="n">
        <x:f>IFERROR((E23+F23)*I23*J23*K23/'参数'!$B$7,0)</x:f>
        <x:v>172800</x:v>
      </x:c>
      <x:c r="M23" s="33" t="s">
        <x:v>331</x:v>
      </x:c>
      <x:c r="N23" s="36" t="n">
        <x:f>IFERROR(XLOOKUP(C23,'渠道成本'!$A$5:$A$1004,'渠道成本'!$U$5:$U$1004),"")</x:f>
        <x:v>1.2191780821917808</x:v>
      </x:c>
      <x:c r="O23" s="36" t="n">
        <x:f>IFERROR(XLOOKUP(B23,'官方售价'!$A$5:$A$504,'官方售价'!$M$5:$M$504),"")</x:f>
        <x:v>5.068493150684931</x:v>
      </x:c>
      <x:c r="P23" s="36" t="n">
        <x:f>IF(M23="per_token",N23*L23/'参数'!$B$8,N23)</x:f>
        <x:v>1.2191780821917808</x:v>
      </x:c>
      <x:c r="Q23" s="36" t="n">
        <x:f>IFERROR(O23*D23,"")</x:f>
        <x:v>5.068493150684931</x:v>
      </x:c>
      <x:c r="R23" s="36" t="n">
        <x:f>IFERROR(Q23-P23,"")</x:f>
        <x:v>3.8493150684931505</x:v>
      </x:c>
      <x:c r="S23" s="41" t="n">
        <x:f>IFERROR(R23/Q23,"")</x:f>
        <x:v>0.7594594594594595</x:v>
      </x:c>
      <x:c r="T23" s="33" t="s">
        <x:v>224</x:v>
      </x:c>
      <x:c r="U23" s="17" t="s">
        <x:v>1162</x:v>
      </x:c>
    </x:row>
    <x:row r="24" ht="26.350000381469727" customHeight="1">
      <x:c r="A24" s="29" t="s">
        <x:v>1181</x:v>
      </x:c>
      <x:c r="B24" s="29" t="s">
        <x:v>291</x:v>
      </x:c>
      <x:c r="C24" s="29" t="s">
        <x:v>360</x:v>
      </x:c>
      <x:c r="D24" s="40" t="s">
        <x:v>151</x:v>
      </x:c>
      <x:c r="E24" s="40">
        <x:v>4</x:v>
      </x:c>
      <x:c r="F24" s="40">
        <x:v>4</x:v>
      </x:c>
      <x:c r="G24" s="33" t="s">
        <x:v>238</x:v>
      </x:c>
      <x:c r="H24" s="33" t="s">
        <x:v>264</x:v>
      </x:c>
      <x:c r="I24" s="33" t="n">
        <x:f>IFERROR(XLOOKUP(G24,'模型SKU'!$A$5:$A$504,'模型SKU'!$E$5:$E$504),"")</x:f>
        <x:v>1280</x:v>
      </x:c>
      <x:c r="J24" s="33" t="n">
        <x:f>IFERROR(XLOOKUP(G24,'模型SKU'!$A$5:$A$504,'模型SKU'!$F$5:$F$504),"")</x:f>
        <x:v>720</x:v>
      </x:c>
      <x:c r="K24" s="33" t="n">
        <x:f>IFERROR(XLOOKUP(G24,'模型SKU'!$A$5:$A$504,'模型SKU'!$G$5:$G$504),"")</x:f>
        <x:v>24</x:v>
      </x:c>
      <x:c r="L24" s="35" t="n">
        <x:f>IFERROR((E24+F24)*I24*J24*K24/'参数'!$B$7,0)</x:f>
        <x:v>172800</x:v>
      </x:c>
      <x:c r="M24" s="33" t="s">
        <x:v>331</x:v>
      </x:c>
      <x:c r="N24" s="36" t="n">
        <x:f>IFERROR(XLOOKUP(C24,'渠道成本'!$A$5:$A$1004,'渠道成本'!$U$5:$U$1004),"")</x:f>
        <x:v>1.2191780821917808</x:v>
      </x:c>
      <x:c r="O24" s="36" t="n">
        <x:f>IFERROR(XLOOKUP(B24,'官方售价'!$A$5:$A$504,'官方售价'!$M$5:$M$504),"")</x:f>
        <x:v>3.013698630136986</x:v>
      </x:c>
      <x:c r="P24" s="36" t="n">
        <x:f>IF(M24="per_token",N24*L24/'参数'!$B$8,N24)</x:f>
        <x:v>1.2191780821917808</x:v>
      </x:c>
      <x:c r="Q24" s="36" t="n">
        <x:f>IFERROR(O24*D24,"")</x:f>
        <x:v>3.013698630136986</x:v>
      </x:c>
      <x:c r="R24" s="36" t="n">
        <x:f>IFERROR(Q24-P24,"")</x:f>
        <x:v>1.794520547945205</x:v>
      </x:c>
      <x:c r="S24" s="41" t="n">
        <x:f>IFERROR(R24/Q24,"")</x:f>
        <x:v>0.5954545454545455</x:v>
      </x:c>
      <x:c r="T24" s="33" t="s">
        <x:v>224</x:v>
      </x:c>
      <x:c r="U24" s="17" t="s">
        <x:v>1162</x:v>
      </x:c>
    </x:row>
    <x:row r="25" ht="26.350000381469727" customHeight="1">
      <x:c r="A25" s="29" t="s">
        <x:v>1182</x:v>
      </x:c>
      <x:c r="B25" s="29" t="s">
        <x:v>283</x:v>
      </x:c>
      <x:c r="C25" s="29" t="s">
        <x:v>361</x:v>
      </x:c>
      <x:c r="D25" s="40" t="s">
        <x:v>151</x:v>
      </x:c>
      <x:c r="E25" s="40">
        <x:v>4</x:v>
      </x:c>
      <x:c r="F25" s="40">
        <x:v>4</x:v>
      </x:c>
      <x:c r="G25" s="33" t="s">
        <x:v>234</x:v>
      </x:c>
      <x:c r="H25" s="33" t="s">
        <x:v>258</x:v>
      </x:c>
      <x:c r="I25" s="33" t="n">
        <x:f>IFERROR(XLOOKUP(G25,'模型SKU'!$A$5:$A$504,'模型SKU'!$E$5:$E$504),"")</x:f>
        <x:v>864</x:v>
      </x:c>
      <x:c r="J25" s="33" t="n">
        <x:f>IFERROR(XLOOKUP(G25,'模型SKU'!$A$5:$A$504,'模型SKU'!$F$5:$F$504),"")</x:f>
        <x:v>496</x:v>
      </x:c>
      <x:c r="K25" s="33" t="n">
        <x:f>IFERROR(XLOOKUP(G25,'模型SKU'!$A$5:$A$504,'模型SKU'!$G$5:$G$504),"")</x:f>
        <x:v>24</x:v>
      </x:c>
      <x:c r="L25" s="35" t="n">
        <x:f>IFERROR((E25+F25)*I25*J25*K25/'参数'!$B$7,0)</x:f>
        <x:v>80352</x:v>
      </x:c>
      <x:c r="M25" s="33" t="s">
        <x:v>331</x:v>
      </x:c>
      <x:c r="N25" s="36" t="n">
        <x:f>IFERROR(XLOOKUP(C25,'渠道成本'!$A$5:$A$1004,'渠道成本'!$U$5:$U$1004),"")</x:f>
        <x:v>0.3972602739726027</x:v>
      </x:c>
      <x:c r="O25" s="36" t="n">
        <x:f>IFERROR(XLOOKUP(B25,'官方售价'!$A$5:$A$504,'官方售价'!$M$5:$M$504),"")</x:f>
        <x:v>5.068493150684931</x:v>
      </x:c>
      <x:c r="P25" s="36" t="n">
        <x:f>IF(M25="per_token",N25*L25/'参数'!$B$8,N25)</x:f>
        <x:v>0.3972602739726027</x:v>
      </x:c>
      <x:c r="Q25" s="36" t="n">
        <x:f>IFERROR(O25*D25,"")</x:f>
        <x:v>5.068493150684931</x:v>
      </x:c>
      <x:c r="R25" s="36" t="n">
        <x:f>IFERROR(Q25-P25,"")</x:f>
        <x:v>4.671232876712328</x:v>
      </x:c>
      <x:c r="S25" s="41" t="n">
        <x:f>IFERROR(R25/Q25,"")</x:f>
        <x:v>0.9216216216216215</x:v>
      </x:c>
      <x:c r="T25" s="33" t="s">
        <x:v>224</x:v>
      </x:c>
      <x:c r="U25" s="17" t="s">
        <x:v>1162</x:v>
      </x:c>
    </x:row>
    <x:row r="26" ht="26.350000381469727" customHeight="1">
      <x:c r="A26" s="29" t="s">
        <x:v>1183</x:v>
      </x:c>
      <x:c r="B26" s="29" t="s">
        <x:v>286</x:v>
      </x:c>
      <x:c r="C26" s="29" t="s">
        <x:v>365</x:v>
      </x:c>
      <x:c r="D26" s="40" t="s">
        <x:v>151</x:v>
      </x:c>
      <x:c r="E26" s="40">
        <x:v>4</x:v>
      </x:c>
      <x:c r="F26" s="40">
        <x:v>4</x:v>
      </x:c>
      <x:c r="G26" s="33" t="s">
        <x:v>234</x:v>
      </x:c>
      <x:c r="H26" s="33" t="s">
        <x:v>264</x:v>
      </x:c>
      <x:c r="I26" s="33" t="n">
        <x:f>IFERROR(XLOOKUP(G26,'模型SKU'!$A$5:$A$504,'模型SKU'!$E$5:$E$504),"")</x:f>
        <x:v>864</x:v>
      </x:c>
      <x:c r="J26" s="33" t="n">
        <x:f>IFERROR(XLOOKUP(G26,'模型SKU'!$A$5:$A$504,'模型SKU'!$F$5:$F$504),"")</x:f>
        <x:v>496</x:v>
      </x:c>
      <x:c r="K26" s="33" t="n">
        <x:f>IFERROR(XLOOKUP(G26,'模型SKU'!$A$5:$A$504,'模型SKU'!$G$5:$G$504),"")</x:f>
        <x:v>24</x:v>
      </x:c>
      <x:c r="L26" s="35" t="n">
        <x:f>IFERROR((E26+F26)*I26*J26*K26/'参数'!$B$7,0)</x:f>
        <x:v>80352</x:v>
      </x:c>
      <x:c r="M26" s="33" t="s">
        <x:v>331</x:v>
      </x:c>
      <x:c r="N26" s="36" t="n">
        <x:f>IFERROR(XLOOKUP(C26,'渠道成本'!$A$5:$A$1004,'渠道成本'!$U$5:$U$1004),"")</x:f>
        <x:v>0.3972602739726027</x:v>
      </x:c>
      <x:c r="O26" s="36" t="n">
        <x:f>IFERROR(XLOOKUP(B26,'官方售价'!$A$5:$A$504,'官方售价'!$M$5:$M$504),"")</x:f>
        <x:v>3.013698630136986</x:v>
      </x:c>
      <x:c r="P26" s="36" t="n">
        <x:f>IF(M26="per_token",N26*L26/'参数'!$B$8,N26)</x:f>
        <x:v>0.3972602739726027</x:v>
      </x:c>
      <x:c r="Q26" s="36" t="n">
        <x:f>IFERROR(O26*D26,"")</x:f>
        <x:v>3.013698630136986</x:v>
      </x:c>
      <x:c r="R26" s="36" t="n">
        <x:f>IFERROR(Q26-P26,"")</x:f>
        <x:v>2.6164383561643834</x:v>
      </x:c>
      <x:c r="S26" s="41" t="n">
        <x:f>IFERROR(R26/Q26,"")</x:f>
        <x:v>0.8681818181818183</x:v>
      </x:c>
      <x:c r="T26" s="33" t="s">
        <x:v>224</x:v>
      </x:c>
      <x:c r="U26" s="17" t="s">
        <x:v>1162</x:v>
      </x:c>
    </x:row>
    <x:row r="27" ht="26.350000381469727" customHeight="1">
      <x:c r="A27" s="29" t="s">
        <x:v>1184</x:v>
      </x:c>
      <x:c r="B27" s="29" t="s">
        <x:v>289</x:v>
      </x:c>
      <x:c r="C27" s="29" t="s">
        <x:v>366</x:v>
      </x:c>
      <x:c r="D27" s="40" t="s">
        <x:v>151</x:v>
      </x:c>
      <x:c r="E27" s="40">
        <x:v>4</x:v>
      </x:c>
      <x:c r="F27" s="40">
        <x:v>4</x:v>
      </x:c>
      <x:c r="G27" s="33" t="s">
        <x:v>238</x:v>
      </x:c>
      <x:c r="H27" s="33" t="s">
        <x:v>258</x:v>
      </x:c>
      <x:c r="I27" s="33" t="n">
        <x:f>IFERROR(XLOOKUP(G27,'模型SKU'!$A$5:$A$504,'模型SKU'!$E$5:$E$504),"")</x:f>
        <x:v>1280</x:v>
      </x:c>
      <x:c r="J27" s="33" t="n">
        <x:f>IFERROR(XLOOKUP(G27,'模型SKU'!$A$5:$A$504,'模型SKU'!$F$5:$F$504),"")</x:f>
        <x:v>720</x:v>
      </x:c>
      <x:c r="K27" s="33" t="n">
        <x:f>IFERROR(XLOOKUP(G27,'模型SKU'!$A$5:$A$504,'模型SKU'!$G$5:$G$504),"")</x:f>
        <x:v>24</x:v>
      </x:c>
      <x:c r="L27" s="35" t="n">
        <x:f>IFERROR((E27+F27)*I27*J27*K27/'参数'!$B$7,0)</x:f>
        <x:v>172800</x:v>
      </x:c>
      <x:c r="M27" s="33" t="s">
        <x:v>331</x:v>
      </x:c>
      <x:c r="N27" s="36" t="n">
        <x:f>IFERROR(XLOOKUP(C27,'渠道成本'!$A$5:$A$1004,'渠道成本'!$U$5:$U$1004),"")</x:f>
        <x:v>0.684931506849315</x:v>
      </x:c>
      <x:c r="O27" s="36" t="n">
        <x:f>IFERROR(XLOOKUP(B27,'官方售价'!$A$5:$A$504,'官方售价'!$M$5:$M$504),"")</x:f>
        <x:v>5.068493150684931</x:v>
      </x:c>
      <x:c r="P27" s="36" t="n">
        <x:f>IF(M27="per_token",N27*L27/'参数'!$B$8,N27)</x:f>
        <x:v>0.684931506849315</x:v>
      </x:c>
      <x:c r="Q27" s="36" t="n">
        <x:f>IFERROR(O27*D27,"")</x:f>
        <x:v>5.068493150684931</x:v>
      </x:c>
      <x:c r="R27" s="36" t="n">
        <x:f>IFERROR(Q27-P27,"")</x:f>
        <x:v>4.383561643835616</x:v>
      </x:c>
      <x:c r="S27" s="41" t="n">
        <x:f>IFERROR(R27/Q27,"")</x:f>
        <x:v>0.8648648648648648</x:v>
      </x:c>
      <x:c r="T27" s="33" t="s">
        <x:v>224</x:v>
      </x:c>
      <x:c r="U27" s="17" t="s">
        <x:v>1162</x:v>
      </x:c>
    </x:row>
    <x:row r="28" ht="26.350000381469727" customHeight="1">
      <x:c r="A28" s="29" t="s">
        <x:v>1185</x:v>
      </x:c>
      <x:c r="B28" s="29" t="s">
        <x:v>291</x:v>
      </x:c>
      <x:c r="C28" s="29" t="s">
        <x:v>368</x:v>
      </x:c>
      <x:c r="D28" s="40" t="s">
        <x:v>151</x:v>
      </x:c>
      <x:c r="E28" s="40">
        <x:v>4</x:v>
      </x:c>
      <x:c r="F28" s="40">
        <x:v>4</x:v>
      </x:c>
      <x:c r="G28" s="33" t="s">
        <x:v>238</x:v>
      </x:c>
      <x:c r="H28" s="33" t="s">
        <x:v>264</x:v>
      </x:c>
      <x:c r="I28" s="33" t="n">
        <x:f>IFERROR(XLOOKUP(G28,'模型SKU'!$A$5:$A$504,'模型SKU'!$E$5:$E$504),"")</x:f>
        <x:v>1280</x:v>
      </x:c>
      <x:c r="J28" s="33" t="n">
        <x:f>IFERROR(XLOOKUP(G28,'模型SKU'!$A$5:$A$504,'模型SKU'!$F$5:$F$504),"")</x:f>
        <x:v>720</x:v>
      </x:c>
      <x:c r="K28" s="33" t="n">
        <x:f>IFERROR(XLOOKUP(G28,'模型SKU'!$A$5:$A$504,'模型SKU'!$G$5:$G$504),"")</x:f>
        <x:v>24</x:v>
      </x:c>
      <x:c r="L28" s="35" t="n">
        <x:f>IFERROR((E28+F28)*I28*J28*K28/'参数'!$B$7,0)</x:f>
        <x:v>172800</x:v>
      </x:c>
      <x:c r="M28" s="33" t="s">
        <x:v>331</x:v>
      </x:c>
      <x:c r="N28" s="36" t="n">
        <x:f>IFERROR(XLOOKUP(C28,'渠道成本'!$A$5:$A$1004,'渠道成本'!$U$5:$U$1004),"")</x:f>
        <x:v>0.684931506849315</x:v>
      </x:c>
      <x:c r="O28" s="36" t="n">
        <x:f>IFERROR(XLOOKUP(B28,'官方售价'!$A$5:$A$504,'官方售价'!$M$5:$M$504),"")</x:f>
        <x:v>3.013698630136986</x:v>
      </x:c>
      <x:c r="P28" s="36" t="n">
        <x:f>IF(M28="per_token",N28*L28/'参数'!$B$8,N28)</x:f>
        <x:v>0.684931506849315</x:v>
      </x:c>
      <x:c r="Q28" s="36" t="n">
        <x:f>IFERROR(O28*D28,"")</x:f>
        <x:v>3.013698630136986</x:v>
      </x:c>
      <x:c r="R28" s="36" t="n">
        <x:f>IFERROR(Q28-P28,"")</x:f>
        <x:v>2.3287671232876708</x:v>
      </x:c>
      <x:c r="S28" s="41" t="n">
        <x:f>IFERROR(R28/Q28,"")</x:f>
        <x:v>0.7727272727272727</x:v>
      </x:c>
      <x:c r="T28" s="33" t="s">
        <x:v>224</x:v>
      </x:c>
      <x:c r="U28" s="17" t="s">
        <x:v>1162</x:v>
      </x:c>
    </x:row>
    <x:row r="29" ht="26.350000381469727" customHeight="1">
      <x:c r="A29" s="29" t="s">
        <x:v>1186</x:v>
      </x:c>
      <x:c r="B29" s="29" t="s">
        <x:v>289</x:v>
      </x:c>
      <x:c r="C29" s="29" t="s">
        <x:v>369</x:v>
      </x:c>
      <x:c r="D29" s="40" t="s">
        <x:v>151</x:v>
      </x:c>
      <x:c r="E29" s="40">
        <x:v>4</x:v>
      </x:c>
      <x:c r="F29" s="40">
        <x:v>4</x:v>
      </x:c>
      <x:c r="G29" s="33" t="s">
        <x:v>238</x:v>
      </x:c>
      <x:c r="H29" s="33" t="s">
        <x:v>258</x:v>
      </x:c>
      <x:c r="I29" s="33" t="n">
        <x:f>IFERROR(XLOOKUP(G29,'模型SKU'!$A$5:$A$504,'模型SKU'!$E$5:$E$504),"")</x:f>
        <x:v>1280</x:v>
      </x:c>
      <x:c r="J29" s="33" t="n">
        <x:f>IFERROR(XLOOKUP(G29,'模型SKU'!$A$5:$A$504,'模型SKU'!$F$5:$F$504),"")</x:f>
        <x:v>720</x:v>
      </x:c>
      <x:c r="K29" s="33" t="n">
        <x:f>IFERROR(XLOOKUP(G29,'模型SKU'!$A$5:$A$504,'模型SKU'!$G$5:$G$504),"")</x:f>
        <x:v>24</x:v>
      </x:c>
      <x:c r="L29" s="35" t="n">
        <x:f>IFERROR((E29+F29)*I29*J29*K29/'参数'!$B$7,0)</x:f>
        <x:v>172800</x:v>
      </x:c>
      <x:c r="M29" s="33" t="s">
        <x:v>318</x:v>
      </x:c>
      <x:c r="N29" s="36" t="n">
        <x:f>IFERROR(XLOOKUP(C29,'渠道成本'!$A$5:$A$1004,'渠道成本'!$U$5:$U$1004),"")</x:f>
        <x:v>0.06575342465753424</x:v>
      </x:c>
      <x:c r="O29" s="36" t="n">
        <x:f>IFERROR(XLOOKUP(B29,'官方售价'!$A$5:$A$504,'官方售价'!$M$5:$M$504),"")</x:f>
        <x:v>5.068493150684931</x:v>
      </x:c>
      <x:c r="P29" s="36" t="n">
        <x:f>IF(M29="per_token",N29*L29/'参数'!$B$8,N29)</x:f>
        <x:v>0.06575342465753424</x:v>
      </x:c>
      <x:c r="Q29" s="36" t="n">
        <x:f>IFERROR(O29*D29,"")</x:f>
        <x:v>5.068493150684931</x:v>
      </x:c>
      <x:c r="R29" s="36" t="n">
        <x:f>IFERROR(Q29-P29,"")</x:f>
        <x:v>5.002739726027397</x:v>
      </x:c>
      <x:c r="S29" s="41" t="n">
        <x:f>IFERROR(R29/Q29,"")</x:f>
        <x:v>0.987027027027027</x:v>
      </x:c>
      <x:c r="T29" s="33" t="s">
        <x:v>224</x:v>
      </x:c>
      <x:c r="U29" s="17" t="s">
        <x:v>1162</x:v>
      </x:c>
    </x:row>
    <x:row r="30" ht="26.350000381469727" customHeight="1">
      <x:c r="A30" s="29" t="s">
        <x:v>1187</x:v>
      </x:c>
      <x:c r="B30" s="29" t="s">
        <x:v>291</x:v>
      </x:c>
      <x:c r="C30" s="29" t="s">
        <x:v>371</x:v>
      </x:c>
      <x:c r="D30" s="40" t="s">
        <x:v>151</x:v>
      </x:c>
      <x:c r="E30" s="40">
        <x:v>4</x:v>
      </x:c>
      <x:c r="F30" s="40">
        <x:v>4</x:v>
      </x:c>
      <x:c r="G30" s="33" t="s">
        <x:v>238</x:v>
      </x:c>
      <x:c r="H30" s="33" t="s">
        <x:v>264</x:v>
      </x:c>
      <x:c r="I30" s="33" t="n">
        <x:f>IFERROR(XLOOKUP(G30,'模型SKU'!$A$5:$A$504,'模型SKU'!$E$5:$E$504),"")</x:f>
        <x:v>1280</x:v>
      </x:c>
      <x:c r="J30" s="33" t="n">
        <x:f>IFERROR(XLOOKUP(G30,'模型SKU'!$A$5:$A$504,'模型SKU'!$F$5:$F$504),"")</x:f>
        <x:v>720</x:v>
      </x:c>
      <x:c r="K30" s="33" t="n">
        <x:f>IFERROR(XLOOKUP(G30,'模型SKU'!$A$5:$A$504,'模型SKU'!$G$5:$G$504),"")</x:f>
        <x:v>24</x:v>
      </x:c>
      <x:c r="L30" s="35" t="n">
        <x:f>IFERROR((E30+F30)*I30*J30*K30/'参数'!$B$7,0)</x:f>
        <x:v>172800</x:v>
      </x:c>
      <x:c r="M30" s="33" t="s">
        <x:v>318</x:v>
      </x:c>
      <x:c r="N30" s="36" t="n">
        <x:f>IFERROR(XLOOKUP(C30,'渠道成本'!$A$5:$A$1004,'渠道成本'!$U$5:$U$1004),"")</x:f>
        <x:v>0.06575342465753424</x:v>
      </x:c>
      <x:c r="O30" s="36" t="n">
        <x:f>IFERROR(XLOOKUP(B30,'官方售价'!$A$5:$A$504,'官方售价'!$M$5:$M$504),"")</x:f>
        <x:v>3.013698630136986</x:v>
      </x:c>
      <x:c r="P30" s="36" t="n">
        <x:f>IF(M30="per_token",N30*L30/'参数'!$B$8,N30)</x:f>
        <x:v>0.06575342465753424</x:v>
      </x:c>
      <x:c r="Q30" s="36" t="n">
        <x:f>IFERROR(O30*D30,"")</x:f>
        <x:v>3.013698630136986</x:v>
      </x:c>
      <x:c r="R30" s="36" t="n">
        <x:f>IFERROR(Q30-P30,"")</x:f>
        <x:v>2.9479452054794515</x:v>
      </x:c>
      <x:c r="S30" s="41" t="n">
        <x:f>IFERROR(R30/Q30,"")</x:f>
        <x:v>0.9781818181818182</x:v>
      </x:c>
      <x:c r="T30" s="33" t="s">
        <x:v>224</x:v>
      </x:c>
      <x:c r="U30" s="17" t="s">
        <x:v>1162</x:v>
      </x:c>
    </x:row>
    <x:row r="31" ht="26.350000381469727" customHeight="1">
      <x:c r="A31" s="29" t="s">
        <x:v>1188</x:v>
      </x:c>
      <x:c r="B31" s="29" t="s">
        <x:v>267</x:v>
      </x:c>
      <x:c r="C31" s="29" t="s">
        <x:v>372</x:v>
      </x:c>
      <x:c r="D31" s="40" t="s">
        <x:v>151</x:v>
      </x:c>
      <x:c r="E31" s="40">
        <x:v>4</x:v>
      </x:c>
      <x:c r="F31" s="40">
        <x:v>4</x:v>
      </x:c>
      <x:c r="G31" s="33" t="s">
        <x:v>227</x:v>
      </x:c>
      <x:c r="H31" s="33" t="s">
        <x:v>258</x:v>
      </x:c>
      <x:c r="I31" s="33" t="n">
        <x:f>IFERROR(XLOOKUP(G31,'模型SKU'!$A$5:$A$504,'模型SKU'!$E$5:$E$504),"")</x:f>
        <x:v>864</x:v>
      </x:c>
      <x:c r="J31" s="33" t="n">
        <x:f>IFERROR(XLOOKUP(G31,'模型SKU'!$A$5:$A$504,'模型SKU'!$F$5:$F$504),"")</x:f>
        <x:v>496</x:v>
      </x:c>
      <x:c r="K31" s="33" t="n">
        <x:f>IFERROR(XLOOKUP(G31,'模型SKU'!$A$5:$A$504,'模型SKU'!$G$5:$G$504),"")</x:f>
        <x:v>24</x:v>
      </x:c>
      <x:c r="L31" s="35" t="n">
        <x:f>IFERROR((E31+F31)*I31*J31*K31/'参数'!$B$7,0)</x:f>
        <x:v>80352</x:v>
      </x:c>
      <x:c r="M31" s="33" t="s">
        <x:v>331</x:v>
      </x:c>
      <x:c r="N31" s="36" t="n">
        <x:f>IFERROR(XLOOKUP(C31,'渠道成本'!$A$5:$A$1004,'渠道成本'!$U$5:$U$1004),"")</x:f>
        <x:v>0.4931506849315068</x:v>
      </x:c>
      <x:c r="O31" s="36" t="n">
        <x:f>IFERROR(XLOOKUP(B31,'官方售价'!$A$5:$A$504,'官方售价'!$M$5:$M$504),"")</x:f>
        <x:v>6.301369863013698</x:v>
      </x:c>
      <x:c r="P31" s="36" t="n">
        <x:f>IF(M31="per_token",N31*L31/'参数'!$B$8,N31)</x:f>
        <x:v>0.4931506849315068</x:v>
      </x:c>
      <x:c r="Q31" s="36" t="n">
        <x:f>IFERROR(O31*D31,"")</x:f>
        <x:v>6.301369863013698</x:v>
      </x:c>
      <x:c r="R31" s="36" t="n">
        <x:f>IFERROR(Q31-P31,"")</x:f>
        <x:v>5.808219178082191</x:v>
      </x:c>
      <x:c r="S31" s="41" t="n">
        <x:f>IFERROR(R31/Q31,"")</x:f>
        <x:v>0.9217391304347826</x:v>
      </x:c>
      <x:c r="T31" s="33" t="s">
        <x:v>224</x:v>
      </x:c>
      <x:c r="U31" s="17" t="s">
        <x:v>1162</x:v>
      </x:c>
    </x:row>
    <x:row r="32" ht="26.350000381469727" customHeight="1">
      <x:c r="A32" s="29" t="s">
        <x:v>1189</x:v>
      </x:c>
      <x:c r="B32" s="29" t="s">
        <x:v>270</x:v>
      </x:c>
      <x:c r="C32" s="29" t="s">
        <x:v>376</x:v>
      </x:c>
      <x:c r="D32" s="40" t="s">
        <x:v>151</x:v>
      </x:c>
      <x:c r="E32" s="40">
        <x:v>4</x:v>
      </x:c>
      <x:c r="F32" s="40">
        <x:v>4</x:v>
      </x:c>
      <x:c r="G32" s="33" t="s">
        <x:v>227</x:v>
      </x:c>
      <x:c r="H32" s="33" t="s">
        <x:v>264</x:v>
      </x:c>
      <x:c r="I32" s="33" t="n">
        <x:f>IFERROR(XLOOKUP(G32,'模型SKU'!$A$5:$A$504,'模型SKU'!$E$5:$E$504),"")</x:f>
        <x:v>864</x:v>
      </x:c>
      <x:c r="J32" s="33" t="n">
        <x:f>IFERROR(XLOOKUP(G32,'模型SKU'!$A$5:$A$504,'模型SKU'!$F$5:$F$504),"")</x:f>
        <x:v>496</x:v>
      </x:c>
      <x:c r="K32" s="33" t="n">
        <x:f>IFERROR(XLOOKUP(G32,'模型SKU'!$A$5:$A$504,'模型SKU'!$G$5:$G$504),"")</x:f>
        <x:v>24</x:v>
      </x:c>
      <x:c r="L32" s="35" t="n">
        <x:f>IFERROR((E32+F32)*I32*J32*K32/'参数'!$B$7,0)</x:f>
        <x:v>80352</x:v>
      </x:c>
      <x:c r="M32" s="33" t="s">
        <x:v>331</x:v>
      </x:c>
      <x:c r="N32" s="36" t="n">
        <x:f>IFERROR(XLOOKUP(C32,'渠道成本'!$A$5:$A$1004,'渠道成本'!$U$5:$U$1004),"")</x:f>
        <x:v>0.4931506849315068</x:v>
      </x:c>
      <x:c r="O32" s="36" t="n">
        <x:f>IFERROR(XLOOKUP(B32,'官方售价'!$A$5:$A$504,'官方售价'!$M$5:$M$504),"")</x:f>
        <x:v>3.835616438356164</x:v>
      </x:c>
      <x:c r="P32" s="36" t="n">
        <x:f>IF(M32="per_token",N32*L32/'参数'!$B$8,N32)</x:f>
        <x:v>0.4931506849315068</x:v>
      </x:c>
      <x:c r="Q32" s="36" t="n">
        <x:f>IFERROR(O32*D32,"")</x:f>
        <x:v>3.835616438356164</x:v>
      </x:c>
      <x:c r="R32" s="36" t="n">
        <x:f>IFERROR(Q32-P32,"")</x:f>
        <x:v>3.3424657534246576</x:v>
      </x:c>
      <x:c r="S32" s="41" t="n">
        <x:f>IFERROR(R32/Q32,"")</x:f>
        <x:v>0.8714285714285714</x:v>
      </x:c>
      <x:c r="T32" s="33" t="s">
        <x:v>224</x:v>
      </x:c>
      <x:c r="U32" s="17" t="s">
        <x:v>1162</x:v>
      </x:c>
    </x:row>
    <x:row r="33" ht="26.350000381469727" customHeight="1">
      <x:c r="A33" s="29" t="s">
        <x:v>1190</x:v>
      </x:c>
      <x:c r="B33" s="29" t="s">
        <x:v>279</x:v>
      </x:c>
      <x:c r="C33" s="29" t="s">
        <x:v>377</x:v>
      </x:c>
      <x:c r="D33" s="40" t="s">
        <x:v>151</x:v>
      </x:c>
      <x:c r="E33" s="40">
        <x:v>4</x:v>
      </x:c>
      <x:c r="F33" s="40">
        <x:v>4</x:v>
      </x:c>
      <x:c r="G33" s="33" t="s">
        <x:v>232</x:v>
      </x:c>
      <x:c r="H33" s="33" t="s">
        <x:v>258</x:v>
      </x:c>
      <x:c r="I33" s="33" t="n">
        <x:f>IFERROR(XLOOKUP(G33,'模型SKU'!$A$5:$A$504,'模型SKU'!$E$5:$E$504),"")</x:f>
        <x:v>1280</x:v>
      </x:c>
      <x:c r="J33" s="33" t="n">
        <x:f>IFERROR(XLOOKUP(G33,'模型SKU'!$A$5:$A$504,'模型SKU'!$F$5:$F$504),"")</x:f>
        <x:v>720</x:v>
      </x:c>
      <x:c r="K33" s="33" t="n">
        <x:f>IFERROR(XLOOKUP(G33,'模型SKU'!$A$5:$A$504,'模型SKU'!$G$5:$G$504),"")</x:f>
        <x:v>24</x:v>
      </x:c>
      <x:c r="L33" s="35" t="n">
        <x:f>IFERROR((E33+F33)*I33*J33*K33/'参数'!$B$7,0)</x:f>
        <x:v>172800</x:v>
      </x:c>
      <x:c r="M33" s="33" t="s">
        <x:v>331</x:v>
      </x:c>
      <x:c r="N33" s="36" t="n">
        <x:f>IFERROR(XLOOKUP(C33,'渠道成本'!$A$5:$A$1004,'渠道成本'!$U$5:$U$1004),"")</x:f>
        <x:v>0.7397260273972602</x:v>
      </x:c>
      <x:c r="O33" s="36" t="n">
        <x:f>IFERROR(XLOOKUP(B33,'官方售价'!$A$5:$A$504,'官方售价'!$M$5:$M$504),"")</x:f>
        <x:v>6.301369863013698</x:v>
      </x:c>
      <x:c r="P33" s="36" t="n">
        <x:f>IF(M33="per_token",N33*L33/'参数'!$B$8,N33)</x:f>
        <x:v>0.7397260273972602</x:v>
      </x:c>
      <x:c r="Q33" s="36" t="n">
        <x:f>IFERROR(O33*D33,"")</x:f>
        <x:v>6.301369863013698</x:v>
      </x:c>
      <x:c r="R33" s="36" t="n">
        <x:f>IFERROR(Q33-P33,"")</x:f>
        <x:v>5.5616438356164375</x:v>
      </x:c>
      <x:c r="S33" s="41" t="n">
        <x:f>IFERROR(R33/Q33,"")</x:f>
        <x:v>0.8826086956521738</x:v>
      </x:c>
      <x:c r="T33" s="33" t="s">
        <x:v>224</x:v>
      </x:c>
      <x:c r="U33" s="17" t="s">
        <x:v>1162</x:v>
      </x:c>
    </x:row>
    <x:row r="34" ht="26.350000381469727" customHeight="1">
      <x:c r="A34" s="29" t="s">
        <x:v>1191</x:v>
      </x:c>
      <x:c r="B34" s="29" t="s">
        <x:v>281</x:v>
      </x:c>
      <x:c r="C34" s="29" t="s">
        <x:v>379</x:v>
      </x:c>
      <x:c r="D34" s="40" t="s">
        <x:v>151</x:v>
      </x:c>
      <x:c r="E34" s="40">
        <x:v>4</x:v>
      </x:c>
      <x:c r="F34" s="40">
        <x:v>4</x:v>
      </x:c>
      <x:c r="G34" s="33" t="s">
        <x:v>232</x:v>
      </x:c>
      <x:c r="H34" s="33" t="s">
        <x:v>264</x:v>
      </x:c>
      <x:c r="I34" s="33" t="n">
        <x:f>IFERROR(XLOOKUP(G34,'模型SKU'!$A$5:$A$504,'模型SKU'!$E$5:$E$504),"")</x:f>
        <x:v>1280</x:v>
      </x:c>
      <x:c r="J34" s="33" t="n">
        <x:f>IFERROR(XLOOKUP(G34,'模型SKU'!$A$5:$A$504,'模型SKU'!$F$5:$F$504),"")</x:f>
        <x:v>720</x:v>
      </x:c>
      <x:c r="K34" s="33" t="n">
        <x:f>IFERROR(XLOOKUP(G34,'模型SKU'!$A$5:$A$504,'模型SKU'!$G$5:$G$504),"")</x:f>
        <x:v>24</x:v>
      </x:c>
      <x:c r="L34" s="35" t="n">
        <x:f>IFERROR((E34+F34)*I34*J34*K34/'参数'!$B$7,0)</x:f>
        <x:v>172800</x:v>
      </x:c>
      <x:c r="M34" s="33" t="s">
        <x:v>331</x:v>
      </x:c>
      <x:c r="N34" s="36" t="n">
        <x:f>IFERROR(XLOOKUP(C34,'渠道成本'!$A$5:$A$1004,'渠道成本'!$U$5:$U$1004),"")</x:f>
        <x:v>0.7397260273972602</x:v>
      </x:c>
      <x:c r="O34" s="36" t="n">
        <x:f>IFERROR(XLOOKUP(B34,'官方售价'!$A$5:$A$504,'官方售价'!$M$5:$M$504),"")</x:f>
        <x:v>3.835616438356164</x:v>
      </x:c>
      <x:c r="P34" s="36" t="n">
        <x:f>IF(M34="per_token",N34*L34/'参数'!$B$8,N34)</x:f>
        <x:v>0.7397260273972602</x:v>
      </x:c>
      <x:c r="Q34" s="36" t="n">
        <x:f>IFERROR(O34*D34,"")</x:f>
        <x:v>3.835616438356164</x:v>
      </x:c>
      <x:c r="R34" s="36" t="n">
        <x:f>IFERROR(Q34-P34,"")</x:f>
        <x:v>3.095890410958904</x:v>
      </x:c>
      <x:c r="S34" s="41" t="n">
        <x:f>IFERROR(R34/Q34,"")</x:f>
        <x:v>0.8071428571428572</x:v>
      </x:c>
      <x:c r="T34" s="33" t="s">
        <x:v>224</x:v>
      </x:c>
      <x:c r="U34" s="17" t="s">
        <x:v>1162</x:v>
      </x:c>
    </x:row>
    <x:row r="35" ht="26.350000381469727" customHeight="1">
      <x:c r="A35" s="29" t="s">
        <x:v>1192</x:v>
      </x:c>
      <x:c r="B35" s="29" t="s">
        <x:v>267</x:v>
      </x:c>
      <x:c r="C35" s="29" t="s">
        <x:v>380</x:v>
      </x:c>
      <x:c r="D35" s="40" t="s">
        <x:v>151</x:v>
      </x:c>
      <x:c r="E35" s="40">
        <x:v>4</x:v>
      </x:c>
      <x:c r="F35" s="40">
        <x:v>4</x:v>
      </x:c>
      <x:c r="G35" s="33" t="s">
        <x:v>227</x:v>
      </x:c>
      <x:c r="H35" s="33" t="s">
        <x:v>258</x:v>
      </x:c>
      <x:c r="I35" s="33" t="n">
        <x:f>IFERROR(XLOOKUP(G35,'模型SKU'!$A$5:$A$504,'模型SKU'!$E$5:$E$504),"")</x:f>
        <x:v>864</x:v>
      </x:c>
      <x:c r="J35" s="33" t="n">
        <x:f>IFERROR(XLOOKUP(G35,'模型SKU'!$A$5:$A$504,'模型SKU'!$F$5:$F$504),"")</x:f>
        <x:v>496</x:v>
      </x:c>
      <x:c r="K35" s="33" t="n">
        <x:f>IFERROR(XLOOKUP(G35,'模型SKU'!$A$5:$A$504,'模型SKU'!$G$5:$G$504),"")</x:f>
        <x:v>24</x:v>
      </x:c>
      <x:c r="L35" s="35" t="n">
        <x:f>IFERROR((E35+F35)*I35*J35*K35/'参数'!$B$7,0)</x:f>
        <x:v>80352</x:v>
      </x:c>
      <x:c r="M35" s="33" t="s">
        <x:v>318</x:v>
      </x:c>
      <x:c r="N35" s="36" t="n">
        <x:f>IFERROR(XLOOKUP(C35,'渠道成本'!$A$5:$A$1004,'渠道成本'!$U$5:$U$1004),"")</x:f>
        <x:v>0.05753424657534246</x:v>
      </x:c>
      <x:c r="O35" s="36" t="n">
        <x:f>IFERROR(XLOOKUP(B35,'官方售价'!$A$5:$A$504,'官方售价'!$M$5:$M$504),"")</x:f>
        <x:v>6.301369863013698</x:v>
      </x:c>
      <x:c r="P35" s="36" t="n">
        <x:f>IF(M35="per_token",N35*L35/'参数'!$B$8,N35)</x:f>
        <x:v>0.05753424657534246</x:v>
      </x:c>
      <x:c r="Q35" s="36" t="n">
        <x:f>IFERROR(O35*D35,"")</x:f>
        <x:v>6.301369863013698</x:v>
      </x:c>
      <x:c r="R35" s="36" t="n">
        <x:f>IFERROR(Q35-P35,"")</x:f>
        <x:v>6.243835616438355</x:v>
      </x:c>
      <x:c r="S35" s="41" t="n">
        <x:f>IFERROR(R35/Q35,"")</x:f>
        <x:v>0.9908695652173912</x:v>
      </x:c>
      <x:c r="T35" s="33" t="s">
        <x:v>224</x:v>
      </x:c>
      <x:c r="U35" s="17" t="s">
        <x:v>1162</x:v>
      </x:c>
    </x:row>
    <x:row r="36" ht="26.350000381469727" customHeight="1">
      <x:c r="A36" s="29" t="s">
        <x:v>1193</x:v>
      </x:c>
      <x:c r="B36" s="29" t="s">
        <x:v>270</x:v>
      </x:c>
      <x:c r="C36" s="29" t="s">
        <x:v>381</x:v>
      </x:c>
      <x:c r="D36" s="40" t="s">
        <x:v>151</x:v>
      </x:c>
      <x:c r="E36" s="40">
        <x:v>4</x:v>
      </x:c>
      <x:c r="F36" s="40">
        <x:v>4</x:v>
      </x:c>
      <x:c r="G36" s="33" t="s">
        <x:v>227</x:v>
      </x:c>
      <x:c r="H36" s="33" t="s">
        <x:v>264</x:v>
      </x:c>
      <x:c r="I36" s="33" t="n">
        <x:f>IFERROR(XLOOKUP(G36,'模型SKU'!$A$5:$A$504,'模型SKU'!$E$5:$E$504),"")</x:f>
        <x:v>864</x:v>
      </x:c>
      <x:c r="J36" s="33" t="n">
        <x:f>IFERROR(XLOOKUP(G36,'模型SKU'!$A$5:$A$504,'模型SKU'!$F$5:$F$504),"")</x:f>
        <x:v>496</x:v>
      </x:c>
      <x:c r="K36" s="33" t="n">
        <x:f>IFERROR(XLOOKUP(G36,'模型SKU'!$A$5:$A$504,'模型SKU'!$G$5:$G$504),"")</x:f>
        <x:v>24</x:v>
      </x:c>
      <x:c r="L36" s="35" t="n">
        <x:f>IFERROR((E36+F36)*I36*J36*K36/'参数'!$B$7,0)</x:f>
        <x:v>80352</x:v>
      </x:c>
      <x:c r="M36" s="33" t="s">
        <x:v>318</x:v>
      </x:c>
      <x:c r="N36" s="36" t="n">
        <x:f>IFERROR(XLOOKUP(C36,'渠道成本'!$A$5:$A$1004,'渠道成本'!$U$5:$U$1004),"")</x:f>
        <x:v>0.05753424657534246</x:v>
      </x:c>
      <x:c r="O36" s="36" t="n">
        <x:f>IFERROR(XLOOKUP(B36,'官方售价'!$A$5:$A$504,'官方售价'!$M$5:$M$504),"")</x:f>
        <x:v>3.835616438356164</x:v>
      </x:c>
      <x:c r="P36" s="36" t="n">
        <x:f>IF(M36="per_token",N36*L36/'参数'!$B$8,N36)</x:f>
        <x:v>0.05753424657534246</x:v>
      </x:c>
      <x:c r="Q36" s="36" t="n">
        <x:f>IFERROR(O36*D36,"")</x:f>
        <x:v>3.835616438356164</x:v>
      </x:c>
      <x:c r="R36" s="36" t="n">
        <x:f>IFERROR(Q36-P36,"")</x:f>
        <x:v>3.778082191780822</x:v>
      </x:c>
      <x:c r="S36" s="41" t="n">
        <x:f>IFERROR(R36/Q36,"")</x:f>
        <x:v>0.985</x:v>
      </x:c>
      <x:c r="T36" s="33" t="s">
        <x:v>224</x:v>
      </x:c>
      <x:c r="U36" s="17" t="s">
        <x:v>1162</x:v>
      </x:c>
    </x:row>
    <x:row r="37" ht="26.350000381469727" customHeight="1">
      <x:c r="A37" s="29" t="s">
        <x:v>1194</x:v>
      </x:c>
      <x:c r="B37" s="29" t="s">
        <x:v>279</x:v>
      </x:c>
      <x:c r="C37" s="29" t="s">
        <x:v>382</x:v>
      </x:c>
      <x:c r="D37" s="40" t="s">
        <x:v>151</x:v>
      </x:c>
      <x:c r="E37" s="40">
        <x:v>4</x:v>
      </x:c>
      <x:c r="F37" s="40">
        <x:v>4</x:v>
      </x:c>
      <x:c r="G37" s="33" t="s">
        <x:v>232</x:v>
      </x:c>
      <x:c r="H37" s="33" t="s">
        <x:v>258</x:v>
      </x:c>
      <x:c r="I37" s="33" t="n">
        <x:f>IFERROR(XLOOKUP(G37,'模型SKU'!$A$5:$A$504,'模型SKU'!$E$5:$E$504),"")</x:f>
        <x:v>1280</x:v>
      </x:c>
      <x:c r="J37" s="33" t="n">
        <x:f>IFERROR(XLOOKUP(G37,'模型SKU'!$A$5:$A$504,'模型SKU'!$F$5:$F$504),"")</x:f>
        <x:v>720</x:v>
      </x:c>
      <x:c r="K37" s="33" t="n">
        <x:f>IFERROR(XLOOKUP(G37,'模型SKU'!$A$5:$A$504,'模型SKU'!$G$5:$G$504),"")</x:f>
        <x:v>24</x:v>
      </x:c>
      <x:c r="L37" s="35" t="n">
        <x:f>IFERROR((E37+F37)*I37*J37*K37/'参数'!$B$7,0)</x:f>
        <x:v>172800</x:v>
      </x:c>
      <x:c r="M37" s="33" t="s">
        <x:v>318</x:v>
      </x:c>
      <x:c r="N37" s="36" t="n">
        <x:f>IFERROR(XLOOKUP(C37,'渠道成本'!$A$5:$A$1004,'渠道成本'!$U$5:$U$1004),"")</x:f>
        <x:v>0.0821917808219178</x:v>
      </x:c>
      <x:c r="O37" s="36" t="n">
        <x:f>IFERROR(XLOOKUP(B37,'官方售价'!$A$5:$A$504,'官方售价'!$M$5:$M$504),"")</x:f>
        <x:v>6.301369863013698</x:v>
      </x:c>
      <x:c r="P37" s="36" t="n">
        <x:f>IF(M37="per_token",N37*L37/'参数'!$B$8,N37)</x:f>
        <x:v>0.0821917808219178</x:v>
      </x:c>
      <x:c r="Q37" s="36" t="n">
        <x:f>IFERROR(O37*D37,"")</x:f>
        <x:v>6.301369863013698</x:v>
      </x:c>
      <x:c r="R37" s="36" t="n">
        <x:f>IFERROR(Q37-P37,"")</x:f>
        <x:v>6.21917808219178</x:v>
      </x:c>
      <x:c r="S37" s="41" t="n">
        <x:f>IFERROR(R37/Q37,"")</x:f>
        <x:v>0.9869565217391304</x:v>
      </x:c>
      <x:c r="T37" s="33" t="s">
        <x:v>224</x:v>
      </x:c>
      <x:c r="U37" s="17" t="s">
        <x:v>1162</x:v>
      </x:c>
    </x:row>
    <x:row r="38" ht="26.350000381469727" customHeight="1">
      <x:c r="A38" s="29" t="s">
        <x:v>1195</x:v>
      </x:c>
      <x:c r="B38" s="29" t="s">
        <x:v>281</x:v>
      </x:c>
      <x:c r="C38" s="29" t="s">
        <x:v>384</x:v>
      </x:c>
      <x:c r="D38" s="40" t="s">
        <x:v>151</x:v>
      </x:c>
      <x:c r="E38" s="40">
        <x:v>4</x:v>
      </x:c>
      <x:c r="F38" s="40">
        <x:v>4</x:v>
      </x:c>
      <x:c r="G38" s="33" t="s">
        <x:v>232</x:v>
      </x:c>
      <x:c r="H38" s="33" t="s">
        <x:v>264</x:v>
      </x:c>
      <x:c r="I38" s="33" t="n">
        <x:f>IFERROR(XLOOKUP(G38,'模型SKU'!$A$5:$A$504,'模型SKU'!$E$5:$E$504),"")</x:f>
        <x:v>1280</x:v>
      </x:c>
      <x:c r="J38" s="33" t="n">
        <x:f>IFERROR(XLOOKUP(G38,'模型SKU'!$A$5:$A$504,'模型SKU'!$F$5:$F$504),"")</x:f>
        <x:v>720</x:v>
      </x:c>
      <x:c r="K38" s="33" t="n">
        <x:f>IFERROR(XLOOKUP(G38,'模型SKU'!$A$5:$A$504,'模型SKU'!$G$5:$G$504),"")</x:f>
        <x:v>24</x:v>
      </x:c>
      <x:c r="L38" s="35" t="n">
        <x:f>IFERROR((E38+F38)*I38*J38*K38/'参数'!$B$7,0)</x:f>
        <x:v>172800</x:v>
      </x:c>
      <x:c r="M38" s="33" t="s">
        <x:v>318</x:v>
      </x:c>
      <x:c r="N38" s="36" t="n">
        <x:f>IFERROR(XLOOKUP(C38,'渠道成本'!$A$5:$A$1004,'渠道成本'!$U$5:$U$1004),"")</x:f>
        <x:v>0.0821917808219178</x:v>
      </x:c>
      <x:c r="O38" s="36" t="n">
        <x:f>IFERROR(XLOOKUP(B38,'官方售价'!$A$5:$A$504,'官方售价'!$M$5:$M$504),"")</x:f>
        <x:v>3.835616438356164</x:v>
      </x:c>
      <x:c r="P38" s="36" t="n">
        <x:f>IF(M38="per_token",N38*L38/'参数'!$B$8,N38)</x:f>
        <x:v>0.0821917808219178</x:v>
      </x:c>
      <x:c r="Q38" s="36" t="n">
        <x:f>IFERROR(O38*D38,"")</x:f>
        <x:v>3.835616438356164</x:v>
      </x:c>
      <x:c r="R38" s="36" t="n">
        <x:f>IFERROR(Q38-P38,"")</x:f>
        <x:v>3.7534246575342465</x:v>
      </x:c>
      <x:c r="S38" s="41" t="n">
        <x:f>IFERROR(R38/Q38,"")</x:f>
        <x:v>0.9785714285714286</x:v>
      </x:c>
      <x:c r="T38" s="33" t="s">
        <x:v>224</x:v>
      </x:c>
      <x:c r="U38" s="17" t="s">
        <x:v>1162</x:v>
      </x:c>
    </x:row>
    <x:row r="39" ht="26.350000381469727" customHeight="1">
      <x:c r="A39" s="29" t="s">
        <x:v>1196</x:v>
      </x:c>
      <x:c r="B39" s="29" t="s">
        <x:v>279</x:v>
      </x:c>
      <x:c r="C39" s="29" t="s">
        <x:v>385</x:v>
      </x:c>
      <x:c r="D39" s="40" t="s">
        <x:v>151</x:v>
      </x:c>
      <x:c r="E39" s="40">
        <x:v>4</x:v>
      </x:c>
      <x:c r="F39" s="40">
        <x:v>4</x:v>
      </x:c>
      <x:c r="G39" s="33" t="s">
        <x:v>232</x:v>
      </x:c>
      <x:c r="H39" s="33" t="s">
        <x:v>258</x:v>
      </x:c>
      <x:c r="I39" s="33" t="n">
        <x:f>IFERROR(XLOOKUP(G39,'模型SKU'!$A$5:$A$504,'模型SKU'!$E$5:$E$504),"")</x:f>
        <x:v>1280</x:v>
      </x:c>
      <x:c r="J39" s="33" t="n">
        <x:f>IFERROR(XLOOKUP(G39,'模型SKU'!$A$5:$A$504,'模型SKU'!$F$5:$F$504),"")</x:f>
        <x:v>720</x:v>
      </x:c>
      <x:c r="K39" s="33" t="n">
        <x:f>IFERROR(XLOOKUP(G39,'模型SKU'!$A$5:$A$504,'模型SKU'!$G$5:$G$504),"")</x:f>
        <x:v>24</x:v>
      </x:c>
      <x:c r="L39" s="35" t="n">
        <x:f>IFERROR((E39+F39)*I39*J39*K39/'参数'!$B$7,0)</x:f>
        <x:v>172800</x:v>
      </x:c>
      <x:c r="M39" s="33" t="s">
        <x:v>318</x:v>
      </x:c>
      <x:c r="N39" s="36" t="n">
        <x:f>IFERROR(XLOOKUP(C39,'渠道成本'!$A$5:$A$1004,'渠道成本'!$U$5:$U$1004),"")</x:f>
        <x:v>0.049315068493150684</x:v>
      </x:c>
      <x:c r="O39" s="36" t="n">
        <x:f>IFERROR(XLOOKUP(B39,'官方售价'!$A$5:$A$504,'官方售价'!$M$5:$M$504),"")</x:f>
        <x:v>6.301369863013698</x:v>
      </x:c>
      <x:c r="P39" s="36" t="n">
        <x:f>IF(M39="per_token",N39*L39/'参数'!$B$8,N39)</x:f>
        <x:v>0.049315068493150684</x:v>
      </x:c>
      <x:c r="Q39" s="36" t="n">
        <x:f>IFERROR(O39*D39,"")</x:f>
        <x:v>6.301369863013698</x:v>
      </x:c>
      <x:c r="R39" s="36" t="n">
        <x:f>IFERROR(Q39-P39,"")</x:f>
        <x:v>6.252054794520547</x:v>
      </x:c>
      <x:c r="S39" s="41" t="n">
        <x:f>IFERROR(R39/Q39,"")</x:f>
        <x:v>0.9921739130434782</x:v>
      </x:c>
      <x:c r="T39" s="33" t="s">
        <x:v>224</x:v>
      </x:c>
      <x:c r="U39" s="17" t="s">
        <x:v>1162</x:v>
      </x:c>
    </x:row>
    <x:row r="40" ht="26.350000381469727" customHeight="1">
      <x:c r="A40" s="29" t="s">
        <x:v>1197</x:v>
      </x:c>
      <x:c r="B40" s="29" t="s">
        <x:v>281</x:v>
      </x:c>
      <x:c r="C40" s="29" t="s">
        <x:v>389</x:v>
      </x:c>
      <x:c r="D40" s="40" t="s">
        <x:v>151</x:v>
      </x:c>
      <x:c r="E40" s="40">
        <x:v>4</x:v>
      </x:c>
      <x:c r="F40" s="40">
        <x:v>4</x:v>
      </x:c>
      <x:c r="G40" s="33" t="s">
        <x:v>232</x:v>
      </x:c>
      <x:c r="H40" s="33" t="s">
        <x:v>264</x:v>
      </x:c>
      <x:c r="I40" s="33" t="n">
        <x:f>IFERROR(XLOOKUP(G40,'模型SKU'!$A$5:$A$504,'模型SKU'!$E$5:$E$504),"")</x:f>
        <x:v>1280</x:v>
      </x:c>
      <x:c r="J40" s="33" t="n">
        <x:f>IFERROR(XLOOKUP(G40,'模型SKU'!$A$5:$A$504,'模型SKU'!$F$5:$F$504),"")</x:f>
        <x:v>720</x:v>
      </x:c>
      <x:c r="K40" s="33" t="n">
        <x:f>IFERROR(XLOOKUP(G40,'模型SKU'!$A$5:$A$504,'模型SKU'!$G$5:$G$504),"")</x:f>
        <x:v>24</x:v>
      </x:c>
      <x:c r="L40" s="35" t="n">
        <x:f>IFERROR((E40+F40)*I40*J40*K40/'参数'!$B$7,0)</x:f>
        <x:v>172800</x:v>
      </x:c>
      <x:c r="M40" s="33" t="s">
        <x:v>318</x:v>
      </x:c>
      <x:c r="N40" s="36" t="n">
        <x:f>IFERROR(XLOOKUP(C40,'渠道成本'!$A$5:$A$1004,'渠道成本'!$U$5:$U$1004),"")</x:f>
        <x:v>0.049315068493150684</x:v>
      </x:c>
      <x:c r="O40" s="36" t="n">
        <x:f>IFERROR(XLOOKUP(B40,'官方售价'!$A$5:$A$504,'官方售价'!$M$5:$M$504),"")</x:f>
        <x:v>3.835616438356164</x:v>
      </x:c>
      <x:c r="P40" s="36" t="n">
        <x:f>IF(M40="per_token",N40*L40/'参数'!$B$8,N40)</x:f>
        <x:v>0.049315068493150684</x:v>
      </x:c>
      <x:c r="Q40" s="36" t="n">
        <x:f>IFERROR(O40*D40,"")</x:f>
        <x:v>3.835616438356164</x:v>
      </x:c>
      <x:c r="R40" s="36" t="n">
        <x:f>IFERROR(Q40-P40,"")</x:f>
        <x:v>3.7863013698630135</x:v>
      </x:c>
      <x:c r="S40" s="41" t="n">
        <x:f>IFERROR(R40/Q40,"")</x:f>
        <x:v>0.9871428571428571</x:v>
      </x:c>
      <x:c r="T40" s="33" t="s">
        <x:v>224</x:v>
      </x:c>
      <x:c r="U40" s="17" t="s">
        <x:v>1162</x:v>
      </x:c>
    </x:row>
    <x:row r="41" ht="26.350000381469727" customHeight="1">
      <x:c r="A41" s="29" t="s">
        <x:v>1198</x:v>
      </x:c>
      <x:c r="B41" s="29" t="s">
        <x:v>267</x:v>
      </x:c>
      <x:c r="C41" s="29" t="s">
        <x:v>390</x:v>
      </x:c>
      <x:c r="D41" s="40" t="s">
        <x:v>151</x:v>
      </x:c>
      <x:c r="E41" s="40">
        <x:v>4</x:v>
      </x:c>
      <x:c r="F41" s="40">
        <x:v>4</x:v>
      </x:c>
      <x:c r="G41" s="33" t="s">
        <x:v>227</x:v>
      </x:c>
      <x:c r="H41" s="33" t="s">
        <x:v>258</x:v>
      </x:c>
      <x:c r="I41" s="33" t="n">
        <x:f>IFERROR(XLOOKUP(G41,'模型SKU'!$A$5:$A$504,'模型SKU'!$E$5:$E$504),"")</x:f>
        <x:v>864</x:v>
      </x:c>
      <x:c r="J41" s="33" t="n">
        <x:f>IFERROR(XLOOKUP(G41,'模型SKU'!$A$5:$A$504,'模型SKU'!$F$5:$F$504),"")</x:f>
        <x:v>496</x:v>
      </x:c>
      <x:c r="K41" s="33" t="n">
        <x:f>IFERROR(XLOOKUP(G41,'模型SKU'!$A$5:$A$504,'模型SKU'!$G$5:$G$504),"")</x:f>
        <x:v>24</x:v>
      </x:c>
      <x:c r="L41" s="35" t="n">
        <x:f>IFERROR((E41+F41)*I41*J41*K41/'参数'!$B$7,0)</x:f>
        <x:v>80352</x:v>
      </x:c>
      <x:c r="M41" s="33" t="s">
        <x:v>331</x:v>
      </x:c>
      <x:c r="N41" s="36" t="n">
        <x:f>IFERROR(XLOOKUP(C41,'渠道成本'!$A$5:$A$1004,'渠道成本'!$U$5:$U$1004),"")</x:f>
        <x:v>0.6986301369863013</x:v>
      </x:c>
      <x:c r="O41" s="36" t="n">
        <x:f>IFERROR(XLOOKUP(B41,'官方售价'!$A$5:$A$504,'官方售价'!$M$5:$M$504),"")</x:f>
        <x:v>6.301369863013698</x:v>
      </x:c>
      <x:c r="P41" s="36" t="n">
        <x:f>IF(M41="per_token",N41*L41/'参数'!$B$8,N41)</x:f>
        <x:v>0.6986301369863013</x:v>
      </x:c>
      <x:c r="Q41" s="36" t="n">
        <x:f>IFERROR(O41*D41,"")</x:f>
        <x:v>6.301369863013698</x:v>
      </x:c>
      <x:c r="R41" s="36" t="n">
        <x:f>IFERROR(Q41-P41,"")</x:f>
        <x:v>5.602739726027397</x:v>
      </x:c>
      <x:c r="S41" s="41" t="n">
        <x:f>IFERROR(R41/Q41,"")</x:f>
        <x:v>0.8891304347826088</x:v>
      </x:c>
      <x:c r="T41" s="33" t="s">
        <x:v>224</x:v>
      </x:c>
      <x:c r="U41" s="17" t="s">
        <x:v>1162</x:v>
      </x:c>
    </x:row>
    <x:row r="42" ht="26.350000381469727" customHeight="1">
      <x:c r="A42" s="29" t="s">
        <x:v>1199</x:v>
      </x:c>
      <x:c r="B42" s="29" t="s">
        <x:v>270</x:v>
      </x:c>
      <x:c r="C42" s="29" t="s">
        <x:v>392</x:v>
      </x:c>
      <x:c r="D42" s="40" t="s">
        <x:v>151</x:v>
      </x:c>
      <x:c r="E42" s="40">
        <x:v>4</x:v>
      </x:c>
      <x:c r="F42" s="40">
        <x:v>4</x:v>
      </x:c>
      <x:c r="G42" s="33" t="s">
        <x:v>227</x:v>
      </x:c>
      <x:c r="H42" s="33" t="s">
        <x:v>264</x:v>
      </x:c>
      <x:c r="I42" s="33" t="n">
        <x:f>IFERROR(XLOOKUP(G42,'模型SKU'!$A$5:$A$504,'模型SKU'!$E$5:$E$504),"")</x:f>
        <x:v>864</x:v>
      </x:c>
      <x:c r="J42" s="33" t="n">
        <x:f>IFERROR(XLOOKUP(G42,'模型SKU'!$A$5:$A$504,'模型SKU'!$F$5:$F$504),"")</x:f>
        <x:v>496</x:v>
      </x:c>
      <x:c r="K42" s="33" t="n">
        <x:f>IFERROR(XLOOKUP(G42,'模型SKU'!$A$5:$A$504,'模型SKU'!$G$5:$G$504),"")</x:f>
        <x:v>24</x:v>
      </x:c>
      <x:c r="L42" s="35" t="n">
        <x:f>IFERROR((E42+F42)*I42*J42*K42/'参数'!$B$7,0)</x:f>
        <x:v>80352</x:v>
      </x:c>
      <x:c r="M42" s="33" t="s">
        <x:v>331</x:v>
      </x:c>
      <x:c r="N42" s="36" t="n">
        <x:f>IFERROR(XLOOKUP(C42,'渠道成本'!$A$5:$A$1004,'渠道成本'!$U$5:$U$1004),"")</x:f>
        <x:v>0.6986301369863013</x:v>
      </x:c>
      <x:c r="O42" s="36" t="n">
        <x:f>IFERROR(XLOOKUP(B42,'官方售价'!$A$5:$A$504,'官方售价'!$M$5:$M$504),"")</x:f>
        <x:v>3.835616438356164</x:v>
      </x:c>
      <x:c r="P42" s="36" t="n">
        <x:f>IF(M42="per_token",N42*L42/'参数'!$B$8,N42)</x:f>
        <x:v>0.6986301369863013</x:v>
      </x:c>
      <x:c r="Q42" s="36" t="n">
        <x:f>IFERROR(O42*D42,"")</x:f>
        <x:v>3.835616438356164</x:v>
      </x:c>
      <x:c r="R42" s="36" t="n">
        <x:f>IFERROR(Q42-P42,"")</x:f>
        <x:v>3.1369863013698627</x:v>
      </x:c>
      <x:c r="S42" s="41" t="n">
        <x:f>IFERROR(R42/Q42,"")</x:f>
        <x:v>0.8178571428571428</x:v>
      </x:c>
      <x:c r="T42" s="33" t="s">
        <x:v>224</x:v>
      </x:c>
      <x:c r="U42" s="17" t="s">
        <x:v>1162</x:v>
      </x:c>
    </x:row>
    <x:row r="43" ht="26.350000381469727" customHeight="1">
      <x:c r="A43" s="29" t="s">
        <x:v>1200</x:v>
      </x:c>
      <x:c r="B43" s="29" t="s">
        <x:v>279</x:v>
      </x:c>
      <x:c r="C43" s="29" t="s">
        <x:v>393</x:v>
      </x:c>
      <x:c r="D43" s="40" t="s">
        <x:v>151</x:v>
      </x:c>
      <x:c r="E43" s="40">
        <x:v>4</x:v>
      </x:c>
      <x:c r="F43" s="40">
        <x:v>4</x:v>
      </x:c>
      <x:c r="G43" s="33" t="s">
        <x:v>232</x:v>
      </x:c>
      <x:c r="H43" s="33" t="s">
        <x:v>258</x:v>
      </x:c>
      <x:c r="I43" s="33" t="n">
        <x:f>IFERROR(XLOOKUP(G43,'模型SKU'!$A$5:$A$504,'模型SKU'!$E$5:$E$504),"")</x:f>
        <x:v>1280</x:v>
      </x:c>
      <x:c r="J43" s="33" t="n">
        <x:f>IFERROR(XLOOKUP(G43,'模型SKU'!$A$5:$A$504,'模型SKU'!$F$5:$F$504),"")</x:f>
        <x:v>720</x:v>
      </x:c>
      <x:c r="K43" s="33" t="n">
        <x:f>IFERROR(XLOOKUP(G43,'模型SKU'!$A$5:$A$504,'模型SKU'!$G$5:$G$504),"")</x:f>
        <x:v>24</x:v>
      </x:c>
      <x:c r="L43" s="35" t="n">
        <x:f>IFERROR((E43+F43)*I43*J43*K43/'参数'!$B$7,0)</x:f>
        <x:v>172800</x:v>
      </x:c>
      <x:c r="M43" s="33" t="s">
        <x:v>331</x:v>
      </x:c>
      <x:c r="N43" s="36" t="n">
        <x:f>IFERROR(XLOOKUP(C43,'渠道成本'!$A$5:$A$1004,'渠道成本'!$U$5:$U$1004),"")</x:f>
        <x:v>0.9863013698630136</x:v>
      </x:c>
      <x:c r="O43" s="36" t="n">
        <x:f>IFERROR(XLOOKUP(B43,'官方售价'!$A$5:$A$504,'官方售价'!$M$5:$M$504),"")</x:f>
        <x:v>6.301369863013698</x:v>
      </x:c>
      <x:c r="P43" s="36" t="n">
        <x:f>IF(M43="per_token",N43*L43/'参数'!$B$8,N43)</x:f>
        <x:v>0.9863013698630136</x:v>
      </x:c>
      <x:c r="Q43" s="36" t="n">
        <x:f>IFERROR(O43*D43,"")</x:f>
        <x:v>6.301369863013698</x:v>
      </x:c>
      <x:c r="R43" s="36" t="n">
        <x:f>IFERROR(Q43-P43,"")</x:f>
        <x:v>5.315068493150685</x:v>
      </x:c>
      <x:c r="S43" s="41" t="n">
        <x:f>IFERROR(R43/Q43,"")</x:f>
        <x:v>0.8434782608695652</x:v>
      </x:c>
      <x:c r="T43" s="33" t="s">
        <x:v>224</x:v>
      </x:c>
      <x:c r="U43" s="17" t="s">
        <x:v>1162</x:v>
      </x:c>
    </x:row>
    <x:row r="44" ht="26.350000381469727" customHeight="1">
      <x:c r="A44" s="29" t="s">
        <x:v>1201</x:v>
      </x:c>
      <x:c r="B44" s="29" t="s">
        <x:v>281</x:v>
      </x:c>
      <x:c r="C44" s="29" t="s">
        <x:v>394</x:v>
      </x:c>
      <x:c r="D44" s="40" t="s">
        <x:v>151</x:v>
      </x:c>
      <x:c r="E44" s="40">
        <x:v>4</x:v>
      </x:c>
      <x:c r="F44" s="40">
        <x:v>4</x:v>
      </x:c>
      <x:c r="G44" s="33" t="s">
        <x:v>232</x:v>
      </x:c>
      <x:c r="H44" s="33" t="s">
        <x:v>264</x:v>
      </x:c>
      <x:c r="I44" s="33" t="n">
        <x:f>IFERROR(XLOOKUP(G44,'模型SKU'!$A$5:$A$504,'模型SKU'!$E$5:$E$504),"")</x:f>
        <x:v>1280</x:v>
      </x:c>
      <x:c r="J44" s="33" t="n">
        <x:f>IFERROR(XLOOKUP(G44,'模型SKU'!$A$5:$A$504,'模型SKU'!$F$5:$F$504),"")</x:f>
        <x:v>720</x:v>
      </x:c>
      <x:c r="K44" s="33" t="n">
        <x:f>IFERROR(XLOOKUP(G44,'模型SKU'!$A$5:$A$504,'模型SKU'!$G$5:$G$504),"")</x:f>
        <x:v>24</x:v>
      </x:c>
      <x:c r="L44" s="35" t="n">
        <x:f>IFERROR((E44+F44)*I44*J44*K44/'参数'!$B$7,0)</x:f>
        <x:v>172800</x:v>
      </x:c>
      <x:c r="M44" s="33" t="s">
        <x:v>331</x:v>
      </x:c>
      <x:c r="N44" s="36" t="n">
        <x:f>IFERROR(XLOOKUP(C44,'渠道成本'!$A$5:$A$1004,'渠道成本'!$U$5:$U$1004),"")</x:f>
        <x:v>0.9863013698630136</x:v>
      </x:c>
      <x:c r="O44" s="36" t="n">
        <x:f>IFERROR(XLOOKUP(B44,'官方售价'!$A$5:$A$504,'官方售价'!$M$5:$M$504),"")</x:f>
        <x:v>3.835616438356164</x:v>
      </x:c>
      <x:c r="P44" s="36" t="n">
        <x:f>IF(M44="per_token",N44*L44/'参数'!$B$8,N44)</x:f>
        <x:v>0.9863013698630136</x:v>
      </x:c>
      <x:c r="Q44" s="36" t="n">
        <x:f>IFERROR(O44*D44,"")</x:f>
        <x:v>3.835616438356164</x:v>
      </x:c>
      <x:c r="R44" s="36" t="n">
        <x:f>IFERROR(Q44-P44,"")</x:f>
        <x:v>2.8493150684931505</x:v>
      </x:c>
      <x:c r="S44" s="41" t="n">
        <x:f>IFERROR(R44/Q44,"")</x:f>
        <x:v>0.7428571428571429</x:v>
      </x:c>
      <x:c r="T44" s="33" t="s">
        <x:v>224</x:v>
      </x:c>
      <x:c r="U44" s="17" t="s">
        <x:v>1162</x:v>
      </x:c>
    </x:row>
    <x:row r="45" ht="26.350000381469727" customHeight="1">
      <x:c r="A45" s="29" t="s">
        <x:v>1202</x:v>
      </x:c>
      <x:c r="B45" s="29" t="s">
        <x:v>279</x:v>
      </x:c>
      <x:c r="C45" s="29" t="s">
        <x:v>395</x:v>
      </x:c>
      <x:c r="D45" s="40" t="s">
        <x:v>151</x:v>
      </x:c>
      <x:c r="E45" s="40">
        <x:v>4</x:v>
      </x:c>
      <x:c r="F45" s="40">
        <x:v>4</x:v>
      </x:c>
      <x:c r="G45" s="33" t="s">
        <x:v>232</x:v>
      </x:c>
      <x:c r="H45" s="33" t="s">
        <x:v>258</x:v>
      </x:c>
      <x:c r="I45" s="33" t="n">
        <x:f>IFERROR(XLOOKUP(G45,'模型SKU'!$A$5:$A$504,'模型SKU'!$E$5:$E$504),"")</x:f>
        <x:v>1280</x:v>
      </x:c>
      <x:c r="J45" s="33" t="n">
        <x:f>IFERROR(XLOOKUP(G45,'模型SKU'!$A$5:$A$504,'模型SKU'!$F$5:$F$504),"")</x:f>
        <x:v>720</x:v>
      </x:c>
      <x:c r="K45" s="33" t="n">
        <x:f>IFERROR(XLOOKUP(G45,'模型SKU'!$A$5:$A$504,'模型SKU'!$G$5:$G$504),"")</x:f>
        <x:v>24</x:v>
      </x:c>
      <x:c r="L45" s="35" t="n">
        <x:f>IFERROR((E45+F45)*I45*J45*K45/'参数'!$B$7,0)</x:f>
        <x:v>172800</x:v>
      </x:c>
      <x:c r="M45" s="33" t="s">
        <x:v>331</x:v>
      </x:c>
      <x:c r="N45" s="36" t="n">
        <x:f>IFERROR(XLOOKUP(C45,'渠道成本'!$A$5:$A$1004,'渠道成本'!$U$5:$U$1004),"")</x:f>
        <x:v>0.6164383561643836</x:v>
      </x:c>
      <x:c r="O45" s="36" t="n">
        <x:f>IFERROR(XLOOKUP(B45,'官方售价'!$A$5:$A$504,'官方售价'!$M$5:$M$504),"")</x:f>
        <x:v>6.301369863013698</x:v>
      </x:c>
      <x:c r="P45" s="36" t="n">
        <x:f>IF(M45="per_token",N45*L45/'参数'!$B$8,N45)</x:f>
        <x:v>0.6164383561643836</x:v>
      </x:c>
      <x:c r="Q45" s="36" t="n">
        <x:f>IFERROR(O45*D45,"")</x:f>
        <x:v>6.301369863013698</x:v>
      </x:c>
      <x:c r="R45" s="36" t="n">
        <x:f>IFERROR(Q45-P45,"")</x:f>
        <x:v>5.684931506849314</x:v>
      </x:c>
      <x:c r="S45" s="41" t="n">
        <x:f>IFERROR(R45/Q45,"")</x:f>
        <x:v>0.9021739130434782</x:v>
      </x:c>
      <x:c r="T45" s="33" t="s">
        <x:v>224</x:v>
      </x:c>
      <x:c r="U45" s="17" t="s">
        <x:v>1162</x:v>
      </x:c>
    </x:row>
    <x:row r="46" ht="26.350000381469727" customHeight="1">
      <x:c r="A46" s="29" t="s">
        <x:v>1203</x:v>
      </x:c>
      <x:c r="B46" s="29" t="s">
        <x:v>281</x:v>
      </x:c>
      <x:c r="C46" s="29" t="s">
        <x:v>398</x:v>
      </x:c>
      <x:c r="D46" s="40" t="s">
        <x:v>151</x:v>
      </x:c>
      <x:c r="E46" s="40">
        <x:v>4</x:v>
      </x:c>
      <x:c r="F46" s="40">
        <x:v>4</x:v>
      </x:c>
      <x:c r="G46" s="33" t="s">
        <x:v>232</x:v>
      </x:c>
      <x:c r="H46" s="33" t="s">
        <x:v>264</x:v>
      </x:c>
      <x:c r="I46" s="33" t="n">
        <x:f>IFERROR(XLOOKUP(G46,'模型SKU'!$A$5:$A$504,'模型SKU'!$E$5:$E$504),"")</x:f>
        <x:v>1280</x:v>
      </x:c>
      <x:c r="J46" s="33" t="n">
        <x:f>IFERROR(XLOOKUP(G46,'模型SKU'!$A$5:$A$504,'模型SKU'!$F$5:$F$504),"")</x:f>
        <x:v>720</x:v>
      </x:c>
      <x:c r="K46" s="33" t="n">
        <x:f>IFERROR(XLOOKUP(G46,'模型SKU'!$A$5:$A$504,'模型SKU'!$G$5:$G$504),"")</x:f>
        <x:v>24</x:v>
      </x:c>
      <x:c r="L46" s="35" t="n">
        <x:f>IFERROR((E46+F46)*I46*J46*K46/'参数'!$B$7,0)</x:f>
        <x:v>172800</x:v>
      </x:c>
      <x:c r="M46" s="33" t="s">
        <x:v>331</x:v>
      </x:c>
      <x:c r="N46" s="36" t="n">
        <x:f>IFERROR(XLOOKUP(C46,'渠道成本'!$A$5:$A$1004,'渠道成本'!$U$5:$U$1004),"")</x:f>
        <x:v>0.6164383561643836</x:v>
      </x:c>
      <x:c r="O46" s="36" t="n">
        <x:f>IFERROR(XLOOKUP(B46,'官方售价'!$A$5:$A$504,'官方售价'!$M$5:$M$504),"")</x:f>
        <x:v>3.835616438356164</x:v>
      </x:c>
      <x:c r="P46" s="36" t="n">
        <x:f>IF(M46="per_token",N46*L46/'参数'!$B$8,N46)</x:f>
        <x:v>0.6164383561643836</x:v>
      </x:c>
      <x:c r="Q46" s="36" t="n">
        <x:f>IFERROR(O46*D46,"")</x:f>
        <x:v>3.835616438356164</x:v>
      </x:c>
      <x:c r="R46" s="36" t="n">
        <x:f>IFERROR(Q46-P46,"")</x:f>
        <x:v>3.219178082191781</x:v>
      </x:c>
      <x:c r="S46" s="41" t="n">
        <x:f>IFERROR(R46/Q46,"")</x:f>
        <x:v>0.8392857142857143</x:v>
      </x:c>
      <x:c r="T46" s="33" t="s">
        <x:v>224</x:v>
      </x:c>
      <x:c r="U46" s="17" t="s">
        <x:v>1162</x:v>
      </x:c>
    </x:row>
    <x:row r="47" ht="26.350000381469727" customHeight="1">
      <x:c r="A47" s="29" t="s">
        <x:v>1204</x:v>
      </x:c>
      <x:c r="B47" s="29" t="s">
        <x:v>267</x:v>
      </x:c>
      <x:c r="C47" s="29" t="s">
        <x:v>399</x:v>
      </x:c>
      <x:c r="D47" s="40" t="s">
        <x:v>151</x:v>
      </x:c>
      <x:c r="E47" s="40">
        <x:v>4</x:v>
      </x:c>
      <x:c r="F47" s="40">
        <x:v>4</x:v>
      </x:c>
      <x:c r="G47" s="33" t="s">
        <x:v>227</x:v>
      </x:c>
      <x:c r="H47" s="33" t="s">
        <x:v>258</x:v>
      </x:c>
      <x:c r="I47" s="33" t="n">
        <x:f>IFERROR(XLOOKUP(G47,'模型SKU'!$A$5:$A$504,'模型SKU'!$E$5:$E$504),"")</x:f>
        <x:v>864</x:v>
      </x:c>
      <x:c r="J47" s="33" t="n">
        <x:f>IFERROR(XLOOKUP(G47,'模型SKU'!$A$5:$A$504,'模型SKU'!$F$5:$F$504),"")</x:f>
        <x:v>496</x:v>
      </x:c>
      <x:c r="K47" s="33" t="n">
        <x:f>IFERROR(XLOOKUP(G47,'模型SKU'!$A$5:$A$504,'模型SKU'!$G$5:$G$504),"")</x:f>
        <x:v>24</x:v>
      </x:c>
      <x:c r="L47" s="35" t="n">
        <x:f>IFERROR((E47+F47)*I47*J47*K47/'参数'!$B$7,0)</x:f>
        <x:v>80352</x:v>
      </x:c>
      <x:c r="M47" s="33" t="s">
        <x:v>331</x:v>
      </x:c>
      <x:c r="N47" s="36" t="n">
        <x:f>IFERROR(XLOOKUP(C47,'渠道成本'!$A$5:$A$1004,'渠道成本'!$U$5:$U$1004),"")</x:f>
        <x:v>1.2191780821917808</x:v>
      </x:c>
      <x:c r="O47" s="36" t="n">
        <x:f>IFERROR(XLOOKUP(B47,'官方售价'!$A$5:$A$504,'官方售价'!$M$5:$M$504),"")</x:f>
        <x:v>6.301369863013698</x:v>
      </x:c>
      <x:c r="P47" s="36" t="n">
        <x:f>IF(M47="per_token",N47*L47/'参数'!$B$8,N47)</x:f>
        <x:v>1.2191780821917808</x:v>
      </x:c>
      <x:c r="Q47" s="36" t="n">
        <x:f>IFERROR(O47*D47,"")</x:f>
        <x:v>6.301369863013698</x:v>
      </x:c>
      <x:c r="R47" s="36" t="n">
        <x:f>IFERROR(Q47-P47,"")</x:f>
        <x:v>5.082191780821917</x:v>
      </x:c>
      <x:c r="S47" s="41" t="n">
        <x:f>IFERROR(R47/Q47,"")</x:f>
        <x:v>0.8065217391304348</x:v>
      </x:c>
      <x:c r="T47" s="33" t="s">
        <x:v>224</x:v>
      </x:c>
      <x:c r="U47" s="17" t="s">
        <x:v>1162</x:v>
      </x:c>
    </x:row>
    <x:row r="48" ht="26.350000381469727" customHeight="1">
      <x:c r="A48" s="29" t="s">
        <x:v>1205</x:v>
      </x:c>
      <x:c r="B48" s="29" t="s">
        <x:v>270</x:v>
      </x:c>
      <x:c r="C48" s="29" t="s">
        <x:v>402</x:v>
      </x:c>
      <x:c r="D48" s="40" t="s">
        <x:v>151</x:v>
      </x:c>
      <x:c r="E48" s="40">
        <x:v>4</x:v>
      </x:c>
      <x:c r="F48" s="40">
        <x:v>4</x:v>
      </x:c>
      <x:c r="G48" s="33" t="s">
        <x:v>227</x:v>
      </x:c>
      <x:c r="H48" s="33" t="s">
        <x:v>264</x:v>
      </x:c>
      <x:c r="I48" s="33" t="n">
        <x:f>IFERROR(XLOOKUP(G48,'模型SKU'!$A$5:$A$504,'模型SKU'!$E$5:$E$504),"")</x:f>
        <x:v>864</x:v>
      </x:c>
      <x:c r="J48" s="33" t="n">
        <x:f>IFERROR(XLOOKUP(G48,'模型SKU'!$A$5:$A$504,'模型SKU'!$F$5:$F$504),"")</x:f>
        <x:v>496</x:v>
      </x:c>
      <x:c r="K48" s="33" t="n">
        <x:f>IFERROR(XLOOKUP(G48,'模型SKU'!$A$5:$A$504,'模型SKU'!$G$5:$G$504),"")</x:f>
        <x:v>24</x:v>
      </x:c>
      <x:c r="L48" s="35" t="n">
        <x:f>IFERROR((E48+F48)*I48*J48*K48/'参数'!$B$7,0)</x:f>
        <x:v>80352</x:v>
      </x:c>
      <x:c r="M48" s="33" t="s">
        <x:v>331</x:v>
      </x:c>
      <x:c r="N48" s="36" t="n">
        <x:f>IFERROR(XLOOKUP(C48,'渠道成本'!$A$5:$A$1004,'渠道成本'!$U$5:$U$1004),"")</x:f>
        <x:v>1.2191780821917808</x:v>
      </x:c>
      <x:c r="O48" s="36" t="n">
        <x:f>IFERROR(XLOOKUP(B48,'官方售价'!$A$5:$A$504,'官方售价'!$M$5:$M$504),"")</x:f>
        <x:v>3.835616438356164</x:v>
      </x:c>
      <x:c r="P48" s="36" t="n">
        <x:f>IF(M48="per_token",N48*L48/'参数'!$B$8,N48)</x:f>
        <x:v>1.2191780821917808</x:v>
      </x:c>
      <x:c r="Q48" s="36" t="n">
        <x:f>IFERROR(O48*D48,"")</x:f>
        <x:v>3.835616438356164</x:v>
      </x:c>
      <x:c r="R48" s="36" t="n">
        <x:f>IFERROR(Q48-P48,"")</x:f>
        <x:v>2.6164383561643834</x:v>
      </x:c>
      <x:c r="S48" s="41" t="n">
        <x:f>IFERROR(R48/Q48,"")</x:f>
        <x:v>0.6821428571428572</x:v>
      </x:c>
      <x:c r="T48" s="33" t="s">
        <x:v>224</x:v>
      </x:c>
      <x:c r="U48" s="17" t="s">
        <x:v>1162</x:v>
      </x:c>
    </x:row>
    <x:row r="49" ht="26.350000381469727" customHeight="1">
      <x:c r="A49" s="29" t="s">
        <x:v>1206</x:v>
      </x:c>
      <x:c r="B49" s="29" t="s">
        <x:v>279</x:v>
      </x:c>
      <x:c r="C49" s="29" t="s">
        <x:v>403</x:v>
      </x:c>
      <x:c r="D49" s="40" t="s">
        <x:v>151</x:v>
      </x:c>
      <x:c r="E49" s="40">
        <x:v>4</x:v>
      </x:c>
      <x:c r="F49" s="40">
        <x:v>4</x:v>
      </x:c>
      <x:c r="G49" s="33" t="s">
        <x:v>232</x:v>
      </x:c>
      <x:c r="H49" s="33" t="s">
        <x:v>258</x:v>
      </x:c>
      <x:c r="I49" s="33" t="n">
        <x:f>IFERROR(XLOOKUP(G49,'模型SKU'!$A$5:$A$504,'模型SKU'!$E$5:$E$504),"")</x:f>
        <x:v>1280</x:v>
      </x:c>
      <x:c r="J49" s="33" t="n">
        <x:f>IFERROR(XLOOKUP(G49,'模型SKU'!$A$5:$A$504,'模型SKU'!$F$5:$F$504),"")</x:f>
        <x:v>720</x:v>
      </x:c>
      <x:c r="K49" s="33" t="n">
        <x:f>IFERROR(XLOOKUP(G49,'模型SKU'!$A$5:$A$504,'模型SKU'!$G$5:$G$504),"")</x:f>
        <x:v>24</x:v>
      </x:c>
      <x:c r="L49" s="35" t="n">
        <x:f>IFERROR((E49+F49)*I49*J49*K49/'参数'!$B$7,0)</x:f>
        <x:v>172800</x:v>
      </x:c>
      <x:c r="M49" s="33" t="s">
        <x:v>331</x:v>
      </x:c>
      <x:c r="N49" s="36" t="n">
        <x:f>IFERROR(XLOOKUP(C49,'渠道成本'!$A$5:$A$1004,'渠道成本'!$U$5:$U$1004),"")</x:f>
        <x:v>1.7808219178082192</x:v>
      </x:c>
      <x:c r="O49" s="36" t="n">
        <x:f>IFERROR(XLOOKUP(B49,'官方售价'!$A$5:$A$504,'官方售价'!$M$5:$M$504),"")</x:f>
        <x:v>6.301369863013698</x:v>
      </x:c>
      <x:c r="P49" s="36" t="n">
        <x:f>IF(M49="per_token",N49*L49/'参数'!$B$8,N49)</x:f>
        <x:v>1.7808219178082192</x:v>
      </x:c>
      <x:c r="Q49" s="36" t="n">
        <x:f>IFERROR(O49*D49,"")</x:f>
        <x:v>6.301369863013698</x:v>
      </x:c>
      <x:c r="R49" s="36" t="n">
        <x:f>IFERROR(Q49-P49,"")</x:f>
        <x:v>4.520547945205479</x:v>
      </x:c>
      <x:c r="S49" s="41" t="n">
        <x:f>IFERROR(R49/Q49,"")</x:f>
        <x:v>0.717391304347826</x:v>
      </x:c>
      <x:c r="T49" s="33" t="s">
        <x:v>224</x:v>
      </x:c>
      <x:c r="U49" s="17" t="s">
        <x:v>1162</x:v>
      </x:c>
    </x:row>
    <x:row r="50" ht="26.350000381469727" customHeight="1">
      <x:c r="A50" s="29" t="s">
        <x:v>1207</x:v>
      </x:c>
      <x:c r="B50" s="29" t="s">
        <x:v>281</x:v>
      </x:c>
      <x:c r="C50" s="29" t="s">
        <x:v>405</x:v>
      </x:c>
      <x:c r="D50" s="40" t="s">
        <x:v>151</x:v>
      </x:c>
      <x:c r="E50" s="40">
        <x:v>4</x:v>
      </x:c>
      <x:c r="F50" s="40">
        <x:v>4</x:v>
      </x:c>
      <x:c r="G50" s="33" t="s">
        <x:v>232</x:v>
      </x:c>
      <x:c r="H50" s="33" t="s">
        <x:v>264</x:v>
      </x:c>
      <x:c r="I50" s="33" t="n">
        <x:f>IFERROR(XLOOKUP(G50,'模型SKU'!$A$5:$A$504,'模型SKU'!$E$5:$E$504),"")</x:f>
        <x:v>1280</x:v>
      </x:c>
      <x:c r="J50" s="33" t="n">
        <x:f>IFERROR(XLOOKUP(G50,'模型SKU'!$A$5:$A$504,'模型SKU'!$F$5:$F$504),"")</x:f>
        <x:v>720</x:v>
      </x:c>
      <x:c r="K50" s="33" t="n">
        <x:f>IFERROR(XLOOKUP(G50,'模型SKU'!$A$5:$A$504,'模型SKU'!$G$5:$G$504),"")</x:f>
        <x:v>24</x:v>
      </x:c>
      <x:c r="L50" s="35" t="n">
        <x:f>IFERROR((E50+F50)*I50*J50*K50/'参数'!$B$7,0)</x:f>
        <x:v>172800</x:v>
      </x:c>
      <x:c r="M50" s="33" t="s">
        <x:v>331</x:v>
      </x:c>
      <x:c r="N50" s="36" t="n">
        <x:f>IFERROR(XLOOKUP(C50,'渠道成本'!$A$5:$A$1004,'渠道成本'!$U$5:$U$1004),"")</x:f>
        <x:v>1.7808219178082192</x:v>
      </x:c>
      <x:c r="O50" s="36" t="n">
        <x:f>IFERROR(XLOOKUP(B50,'官方售价'!$A$5:$A$504,'官方售价'!$M$5:$M$504),"")</x:f>
        <x:v>3.835616438356164</x:v>
      </x:c>
      <x:c r="P50" s="36" t="n">
        <x:f>IF(M50="per_token",N50*L50/'参数'!$B$8,N50)</x:f>
        <x:v>1.7808219178082192</x:v>
      </x:c>
      <x:c r="Q50" s="36" t="n">
        <x:f>IFERROR(O50*D50,"")</x:f>
        <x:v>3.835616438356164</x:v>
      </x:c>
      <x:c r="R50" s="36" t="n">
        <x:f>IFERROR(Q50-P50,"")</x:f>
        <x:v>2.054794520547945</x:v>
      </x:c>
      <x:c r="S50" s="41" t="n">
        <x:f>IFERROR(R50/Q50,"")</x:f>
        <x:v>0.5357142857142857</x:v>
      </x:c>
      <x:c r="T50" s="33" t="s">
        <x:v>224</x:v>
      </x:c>
      <x:c r="U50" s="17" t="s">
        <x:v>1162</x:v>
      </x:c>
    </x:row>
    <x:row r="51" ht="26.350000381469727" customHeight="1">
      <x:c r="A51" s="29" t="s">
        <x:v>1208</x:v>
      </x:c>
      <x:c r="B51" s="29" t="s">
        <x:v>257</x:v>
      </x:c>
      <x:c r="C51" s="29" t="s">
        <x:v>406</x:v>
      </x:c>
      <x:c r="D51" s="40" t="s">
        <x:v>151</x:v>
      </x:c>
      <x:c r="E51" s="40">
        <x:v>4</x:v>
      </x:c>
      <x:c r="F51" s="40">
        <x:v>4</x:v>
      </x:c>
      <x:c r="G51" s="33" t="s">
        <x:v>217</x:v>
      </x:c>
      <x:c r="H51" s="33" t="s">
        <x:v>258</x:v>
      </x:c>
      <x:c r="I51" s="33" t="n">
        <x:f>IFERROR(XLOOKUP(G51,'模型SKU'!$A$5:$A$504,'模型SKU'!$E$5:$E$504),"")</x:f>
        <x:v>1920</x:v>
      </x:c>
      <x:c r="J51" s="33" t="n">
        <x:f>IFERROR(XLOOKUP(G51,'模型SKU'!$A$5:$A$504,'模型SKU'!$F$5:$F$504),"")</x:f>
        <x:v>1080</x:v>
      </x:c>
      <x:c r="K51" s="33" t="n">
        <x:f>IFERROR(XLOOKUP(G51,'模型SKU'!$A$5:$A$504,'模型SKU'!$G$5:$G$504),"")</x:f>
        <x:v>24</x:v>
      </x:c>
      <x:c r="L51" s="35" t="n">
        <x:f>IFERROR((E51+F51)*I51*J51*K51/'参数'!$B$7,0)</x:f>
        <x:v>388800</x:v>
      </x:c>
      <x:c r="M51" s="33" t="s">
        <x:v>331</x:v>
      </x:c>
      <x:c r="N51" s="36" t="n">
        <x:f>IFERROR(XLOOKUP(C51,'渠道成本'!$A$5:$A$1004,'渠道成本'!$U$5:$U$1004),"")</x:f>
        <x:v>2.054794520547945</x:v>
      </x:c>
      <x:c r="O51" s="36" t="n">
        <x:f>IFERROR(XLOOKUP(B51,'官方售价'!$A$5:$A$504,'官方售价'!$M$5:$M$504),"")</x:f>
        <x:v>6.986301369863013</x:v>
      </x:c>
      <x:c r="P51" s="36" t="n">
        <x:f>IF(M51="per_token",N51*L51/'参数'!$B$8,N51)</x:f>
        <x:v>2.054794520547945</x:v>
      </x:c>
      <x:c r="Q51" s="36" t="n">
        <x:f>IFERROR(O51*D51,"")</x:f>
        <x:v>6.986301369863013</x:v>
      </x:c>
      <x:c r="R51" s="36" t="n">
        <x:f>IFERROR(Q51-P51,"")</x:f>
        <x:v>4.931506849315069</x:v>
      </x:c>
      <x:c r="S51" s="41" t="n">
        <x:f>IFERROR(R51/Q51,"")</x:f>
        <x:v>0.7058823529411765</x:v>
      </x:c>
      <x:c r="T51" s="33" t="s">
        <x:v>224</x:v>
      </x:c>
      <x:c r="U51" s="17" t="s">
        <x:v>1162</x:v>
      </x:c>
    </x:row>
    <x:row r="52" ht="26.350000381469727" customHeight="1">
      <x:c r="A52" s="29" t="s">
        <x:v>1209</x:v>
      </x:c>
      <x:c r="B52" s="29" t="s">
        <x:v>263</x:v>
      </x:c>
      <x:c r="C52" s="29" t="s">
        <x:v>408</x:v>
      </x:c>
      <x:c r="D52" s="40" t="s">
        <x:v>151</x:v>
      </x:c>
      <x:c r="E52" s="40">
        <x:v>4</x:v>
      </x:c>
      <x:c r="F52" s="40">
        <x:v>4</x:v>
      </x:c>
      <x:c r="G52" s="33" t="s">
        <x:v>217</x:v>
      </x:c>
      <x:c r="H52" s="33" t="s">
        <x:v>264</x:v>
      </x:c>
      <x:c r="I52" s="33" t="n">
        <x:f>IFERROR(XLOOKUP(G52,'模型SKU'!$A$5:$A$504,'模型SKU'!$E$5:$E$504),"")</x:f>
        <x:v>1920</x:v>
      </x:c>
      <x:c r="J52" s="33" t="n">
        <x:f>IFERROR(XLOOKUP(G52,'模型SKU'!$A$5:$A$504,'模型SKU'!$F$5:$F$504),"")</x:f>
        <x:v>1080</x:v>
      </x:c>
      <x:c r="K52" s="33" t="n">
        <x:f>IFERROR(XLOOKUP(G52,'模型SKU'!$A$5:$A$504,'模型SKU'!$G$5:$G$504),"")</x:f>
        <x:v>24</x:v>
      </x:c>
      <x:c r="L52" s="35" t="n">
        <x:f>IFERROR((E52+F52)*I52*J52*K52/'参数'!$B$7,0)</x:f>
        <x:v>388800</x:v>
      </x:c>
      <x:c r="M52" s="33" t="s">
        <x:v>331</x:v>
      </x:c>
      <x:c r="N52" s="36" t="n">
        <x:f>IFERROR(XLOOKUP(C52,'渠道成本'!$A$5:$A$1004,'渠道成本'!$U$5:$U$1004),"")</x:f>
        <x:v>2.054794520547945</x:v>
      </x:c>
      <x:c r="O52" s="36" t="n">
        <x:f>IFERROR(XLOOKUP(B52,'官方售价'!$A$5:$A$504,'官方售价'!$M$5:$M$504),"")</x:f>
        <x:v>4.2465753424657535</x:v>
      </x:c>
      <x:c r="P52" s="36" t="n">
        <x:f>IF(M52="per_token",N52*L52/'参数'!$B$8,N52)</x:f>
        <x:v>2.054794520547945</x:v>
      </x:c>
      <x:c r="Q52" s="36" t="n">
        <x:f>IFERROR(O52*D52,"")</x:f>
        <x:v>4.2465753424657535</x:v>
      </x:c>
      <x:c r="R52" s="36" t="n">
        <x:f>IFERROR(Q52-P52,"")</x:f>
        <x:v>2.1917808219178085</x:v>
      </x:c>
      <x:c r="S52" s="41" t="n">
        <x:f>IFERROR(R52/Q52,"")</x:f>
        <x:v>0.5161290322580646</x:v>
      </x:c>
      <x:c r="T52" s="33" t="s">
        <x:v>224</x:v>
      </x:c>
      <x:c r="U52" s="17" t="s">
        <x:v>1162</x:v>
      </x:c>
    </x:row>
    <x:row r="53" ht="26.350000381469727" customHeight="1">
      <x:c r="A53" s="29" t="s">
        <x:v>1210</x:v>
      </x:c>
      <x:c r="B53" s="29" t="s">
        <x:v>273</x:v>
      </x:c>
      <x:c r="C53" s="29" t="s">
        <x:v>409</x:v>
      </x:c>
      <x:c r="D53" s="40" t="s">
        <x:v>151</x:v>
      </x:c>
      <x:c r="E53" s="40">
        <x:v>4</x:v>
      </x:c>
      <x:c r="F53" s="40">
        <x:v>4</x:v>
      </x:c>
      <x:c r="G53" s="33" t="s">
        <x:v>230</x:v>
      </x:c>
      <x:c r="H53" s="33" t="s">
        <x:v>258</x:v>
      </x:c>
      <x:c r="I53" s="33" t="n">
        <x:f>IFERROR(XLOOKUP(G53,'模型SKU'!$A$5:$A$504,'模型SKU'!$E$5:$E$504),"")</x:f>
        <x:v>3840</x:v>
      </x:c>
      <x:c r="J53" s="33" t="n">
        <x:f>IFERROR(XLOOKUP(G53,'模型SKU'!$A$5:$A$504,'模型SKU'!$F$5:$F$504),"")</x:f>
        <x:v>2160</x:v>
      </x:c>
      <x:c r="K53" s="33" t="n">
        <x:f>IFERROR(XLOOKUP(G53,'模型SKU'!$A$5:$A$504,'模型SKU'!$G$5:$G$504),"")</x:f>
        <x:v>24</x:v>
      </x:c>
      <x:c r="L53" s="35" t="n">
        <x:f>IFERROR((E53+F53)*I53*J53*K53/'参数'!$B$7,0)</x:f>
        <x:v>1555200</x:v>
      </x:c>
      <x:c r="M53" s="33" t="s">
        <x:v>331</x:v>
      </x:c>
      <x:c r="N53" s="36" t="n">
        <x:f>IFERROR(XLOOKUP(C53,'渠道成本'!$A$5:$A$1004,'渠道成本'!$U$5:$U$1004),"")</x:f>
        <x:v>6.164383561643835</x:v>
      </x:c>
      <x:c r="O53" s="36" t="n">
        <x:f>IFERROR(XLOOKUP(B53,'官方售价'!$A$5:$A$504,'官方售价'!$M$5:$M$504),"")</x:f>
        <x:v>3.5616438356164384</x:v>
      </x:c>
      <x:c r="P53" s="36" t="n">
        <x:f>IF(M53="per_token",N53*L53/'参数'!$B$8,N53)</x:f>
        <x:v>6.164383561643835</x:v>
      </x:c>
      <x:c r="Q53" s="36" t="n">
        <x:f>IFERROR(O53*D53,"")</x:f>
        <x:v>3.5616438356164384</x:v>
      </x:c>
      <x:c r="R53" s="36" t="n">
        <x:f>IFERROR(Q53-P53,"")</x:f>
        <x:v>-2.602739726027397</x:v>
      </x:c>
      <x:c r="S53" s="41" t="n">
        <x:f>IFERROR(R53/Q53,"")</x:f>
        <x:v>-0.7307692307692307</x:v>
      </x:c>
      <x:c r="T53" s="33" t="s">
        <x:v>224</x:v>
      </x:c>
      <x:c r="U53" s="17" t="s">
        <x:v>1162</x:v>
      </x:c>
    </x:row>
    <x:row r="54" ht="26.350000381469727" customHeight="1">
      <x:c r="A54" s="29" t="s">
        <x:v>1211</x:v>
      </x:c>
      <x:c r="B54" s="29" t="s">
        <x:v>276</x:v>
      </x:c>
      <x:c r="C54" s="29" t="s">
        <x:v>411</x:v>
      </x:c>
      <x:c r="D54" s="40" t="s">
        <x:v>151</x:v>
      </x:c>
      <x:c r="E54" s="40">
        <x:v>4</x:v>
      </x:c>
      <x:c r="F54" s="40">
        <x:v>4</x:v>
      </x:c>
      <x:c r="G54" s="33" t="s">
        <x:v>230</x:v>
      </x:c>
      <x:c r="H54" s="33" t="s">
        <x:v>264</x:v>
      </x:c>
      <x:c r="I54" s="33" t="n">
        <x:f>IFERROR(XLOOKUP(G54,'模型SKU'!$A$5:$A$504,'模型SKU'!$E$5:$E$504),"")</x:f>
        <x:v>3840</x:v>
      </x:c>
      <x:c r="J54" s="33" t="n">
        <x:f>IFERROR(XLOOKUP(G54,'模型SKU'!$A$5:$A$504,'模型SKU'!$F$5:$F$504),"")</x:f>
        <x:v>2160</x:v>
      </x:c>
      <x:c r="K54" s="33" t="n">
        <x:f>IFERROR(XLOOKUP(G54,'模型SKU'!$A$5:$A$504,'模型SKU'!$G$5:$G$504),"")</x:f>
        <x:v>24</x:v>
      </x:c>
      <x:c r="L54" s="35" t="n">
        <x:f>IFERROR((E54+F54)*I54*J54*K54/'参数'!$B$7,0)</x:f>
        <x:v>1555200</x:v>
      </x:c>
      <x:c r="M54" s="33" t="s">
        <x:v>331</x:v>
      </x:c>
      <x:c r="N54" s="36" t="n">
        <x:f>IFERROR(XLOOKUP(C54,'渠道成本'!$A$5:$A$1004,'渠道成本'!$U$5:$U$1004),"")</x:f>
        <x:v>6.164383561643835</x:v>
      </x:c>
      <x:c r="O54" s="36" t="n">
        <x:f>IFERROR(XLOOKUP(B54,'官方售价'!$A$5:$A$504,'官方售价'!$M$5:$M$504),"")</x:f>
        <x:v>2.191780821917808</x:v>
      </x:c>
      <x:c r="P54" s="36" t="n">
        <x:f>IF(M54="per_token",N54*L54/'参数'!$B$8,N54)</x:f>
        <x:v>6.164383561643835</x:v>
      </x:c>
      <x:c r="Q54" s="36" t="n">
        <x:f>IFERROR(O54*D54,"")</x:f>
        <x:v>2.191780821917808</x:v>
      </x:c>
      <x:c r="R54" s="36" t="n">
        <x:f>IFERROR(Q54-P54,"")</x:f>
        <x:v>-3.9726027397260273</x:v>
      </x:c>
      <x:c r="S54" s="41" t="n">
        <x:f>IFERROR(R54/Q54,"")</x:f>
        <x:v>-1.8125</x:v>
      </x:c>
      <x:c r="T54" s="33" t="s">
        <x:v>224</x:v>
      </x:c>
      <x:c r="U54" s="17" t="s">
        <x:v>1162</x:v>
      </x:c>
    </x:row>
    <x:row r="55" ht="26.350000381469727" customHeight="1">
      <x:c r="A55" s="29" t="s">
        <x:v>1212</x:v>
      </x:c>
      <x:c r="B55" s="29" t="s">
        <x:v>279</x:v>
      </x:c>
      <x:c r="C55" s="29" t="s">
        <x:v>412</x:v>
      </x:c>
      <x:c r="D55" s="40" t="s">
        <x:v>151</x:v>
      </x:c>
      <x:c r="E55" s="40">
        <x:v>4</x:v>
      </x:c>
      <x:c r="F55" s="40">
        <x:v>4</x:v>
      </x:c>
      <x:c r="G55" s="33" t="s">
        <x:v>232</x:v>
      </x:c>
      <x:c r="H55" s="33" t="s">
        <x:v>258</x:v>
      </x:c>
      <x:c r="I55" s="33" t="n">
        <x:f>IFERROR(XLOOKUP(G55,'模型SKU'!$A$5:$A$504,'模型SKU'!$E$5:$E$504),"")</x:f>
        <x:v>1280</x:v>
      </x:c>
      <x:c r="J55" s="33" t="n">
        <x:f>IFERROR(XLOOKUP(G55,'模型SKU'!$A$5:$A$504,'模型SKU'!$F$5:$F$504),"")</x:f>
        <x:v>720</x:v>
      </x:c>
      <x:c r="K55" s="33" t="n">
        <x:f>IFERROR(XLOOKUP(G55,'模型SKU'!$A$5:$A$504,'模型SKU'!$G$5:$G$504),"")</x:f>
        <x:v>24</x:v>
      </x:c>
      <x:c r="L55" s="35" t="n">
        <x:f>IFERROR((E55+F55)*I55*J55*K55/'参数'!$B$7,0)</x:f>
        <x:v>172800</x:v>
      </x:c>
      <x:c r="M55" s="33" t="s">
        <x:v>331</x:v>
      </x:c>
      <x:c r="N55" s="36" t="n">
        <x:f>IFERROR(XLOOKUP(C55,'渠道成本'!$A$5:$A$1004,'渠道成本'!$U$5:$U$1004),"")</x:f>
        <x:v>0.1095890410958904</x:v>
      </x:c>
      <x:c r="O55" s="36" t="n">
        <x:f>IFERROR(XLOOKUP(B55,'官方售价'!$A$5:$A$504,'官方售价'!$M$5:$M$504),"")</x:f>
        <x:v>6.301369863013698</x:v>
      </x:c>
      <x:c r="P55" s="36" t="n">
        <x:f>IF(M55="per_token",N55*L55/'参数'!$B$8,N55)</x:f>
        <x:v>0.1095890410958904</x:v>
      </x:c>
      <x:c r="Q55" s="36" t="n">
        <x:f>IFERROR(O55*D55,"")</x:f>
        <x:v>6.301369863013698</x:v>
      </x:c>
      <x:c r="R55" s="36" t="n">
        <x:f>IFERROR(Q55-P55,"")</x:f>
        <x:v>6.191780821917808</x:v>
      </x:c>
      <x:c r="S55" s="41" t="n">
        <x:f>IFERROR(R55/Q55,"")</x:f>
        <x:v>0.982608695652174</x:v>
      </x:c>
      <x:c r="T55" s="33" t="s">
        <x:v>224</x:v>
      </x:c>
      <x:c r="U55" s="17" t="s">
        <x:v>1162</x:v>
      </x:c>
    </x:row>
    <x:row r="56" ht="26.350000381469727" customHeight="1">
      <x:c r="A56" s="29" t="s">
        <x:v>1213</x:v>
      </x:c>
      <x:c r="B56" s="29" t="s">
        <x:v>281</x:v>
      </x:c>
      <x:c r="C56" s="29" t="s">
        <x:v>416</x:v>
      </x:c>
      <x:c r="D56" s="40" t="s">
        <x:v>151</x:v>
      </x:c>
      <x:c r="E56" s="40">
        <x:v>4</x:v>
      </x:c>
      <x:c r="F56" s="40">
        <x:v>4</x:v>
      </x:c>
      <x:c r="G56" s="33" t="s">
        <x:v>232</x:v>
      </x:c>
      <x:c r="H56" s="33" t="s">
        <x:v>264</x:v>
      </x:c>
      <x:c r="I56" s="33" t="n">
        <x:f>IFERROR(XLOOKUP(G56,'模型SKU'!$A$5:$A$504,'模型SKU'!$E$5:$E$504),"")</x:f>
        <x:v>1280</x:v>
      </x:c>
      <x:c r="J56" s="33" t="n">
        <x:f>IFERROR(XLOOKUP(G56,'模型SKU'!$A$5:$A$504,'模型SKU'!$F$5:$F$504),"")</x:f>
        <x:v>720</x:v>
      </x:c>
      <x:c r="K56" s="33" t="n">
        <x:f>IFERROR(XLOOKUP(G56,'模型SKU'!$A$5:$A$504,'模型SKU'!$G$5:$G$504),"")</x:f>
        <x:v>24</x:v>
      </x:c>
      <x:c r="L56" s="35" t="n">
        <x:f>IFERROR((E56+F56)*I56*J56*K56/'参数'!$B$7,0)</x:f>
        <x:v>172800</x:v>
      </x:c>
      <x:c r="M56" s="33" t="s">
        <x:v>331</x:v>
      </x:c>
      <x:c r="N56" s="36" t="n">
        <x:f>IFERROR(XLOOKUP(C56,'渠道成本'!$A$5:$A$1004,'渠道成本'!$U$5:$U$1004),"")</x:f>
        <x:v>0.1095890410958904</x:v>
      </x:c>
      <x:c r="O56" s="36" t="n">
        <x:f>IFERROR(XLOOKUP(B56,'官方售价'!$A$5:$A$504,'官方售价'!$M$5:$M$504),"")</x:f>
        <x:v>3.835616438356164</x:v>
      </x:c>
      <x:c r="P56" s="36" t="n">
        <x:f>IF(M56="per_token",N56*L56/'参数'!$B$8,N56)</x:f>
        <x:v>0.1095890410958904</x:v>
      </x:c>
      <x:c r="Q56" s="36" t="n">
        <x:f>IFERROR(O56*D56,"")</x:f>
        <x:v>3.835616438356164</x:v>
      </x:c>
      <x:c r="R56" s="36" t="n">
        <x:f>IFERROR(Q56-P56,"")</x:f>
        <x:v>3.7260273972602738</x:v>
      </x:c>
      <x:c r="S56" s="41" t="n">
        <x:f>IFERROR(R56/Q56,"")</x:f>
        <x:v>0.9714285714285714</x:v>
      </x:c>
      <x:c r="T56" s="33" t="s">
        <x:v>224</x:v>
      </x:c>
      <x:c r="U56" s="17" t="s">
        <x:v>1162</x:v>
      </x:c>
    </x:row>
    <x:row r="57" ht="26.350000381469727" customHeight="1">
      <x:c r="A57" s="29" t="s">
        <x:v>1214</x:v>
      </x:c>
      <x:c r="B57" s="29" t="s">
        <x:v>267</x:v>
      </x:c>
      <x:c r="C57" s="29" t="s">
        <x:v>417</x:v>
      </x:c>
      <x:c r="D57" s="40" t="s">
        <x:v>151</x:v>
      </x:c>
      <x:c r="E57" s="40">
        <x:v>4</x:v>
      </x:c>
      <x:c r="F57" s="40">
        <x:v>4</x:v>
      </x:c>
      <x:c r="G57" s="33" t="s">
        <x:v>227</x:v>
      </x:c>
      <x:c r="H57" s="33" t="s">
        <x:v>258</x:v>
      </x:c>
      <x:c r="I57" s="33" t="n">
        <x:f>IFERROR(XLOOKUP(G57,'模型SKU'!$A$5:$A$504,'模型SKU'!$E$5:$E$504),"")</x:f>
        <x:v>864</x:v>
      </x:c>
      <x:c r="J57" s="33" t="n">
        <x:f>IFERROR(XLOOKUP(G57,'模型SKU'!$A$5:$A$504,'模型SKU'!$F$5:$F$504),"")</x:f>
        <x:v>496</x:v>
      </x:c>
      <x:c r="K57" s="33" t="n">
        <x:f>IFERROR(XLOOKUP(G57,'模型SKU'!$A$5:$A$504,'模型SKU'!$G$5:$G$504),"")</x:f>
        <x:v>24</x:v>
      </x:c>
      <x:c r="L57" s="35" t="n">
        <x:f>IFERROR((E57+F57)*I57*J57*K57/'参数'!$B$7,0)</x:f>
        <x:v>80352</x:v>
      </x:c>
      <x:c r="M57" s="33" t="s">
        <x:v>318</x:v>
      </x:c>
      <x:c r="N57" s="36" t="n">
        <x:f>IFERROR(XLOOKUP(C57,'渠道成本'!$A$5:$A$1004,'渠道成本'!$U$5:$U$1004),"")</x:f>
        <x:v>0.048424657534246573</x:v>
      </x:c>
      <x:c r="O57" s="36" t="n">
        <x:f>IFERROR(XLOOKUP(B57,'官方售价'!$A$5:$A$504,'官方售价'!$M$5:$M$504),"")</x:f>
        <x:v>6.301369863013698</x:v>
      </x:c>
      <x:c r="P57" s="36" t="n">
        <x:f>IF(M57="per_token",N57*L57/'参数'!$B$8,N57)</x:f>
        <x:v>0.048424657534246573</x:v>
      </x:c>
      <x:c r="Q57" s="36" t="n">
        <x:f>IFERROR(O57*D57,"")</x:f>
        <x:v>6.301369863013698</x:v>
      </x:c>
      <x:c r="R57" s="36" t="n">
        <x:f>IFERROR(Q57-P57,"")</x:f>
        <x:v>6.252945205479452</x:v>
      </x:c>
      <x:c r="S57" s="41" t="n">
        <x:f>IFERROR(R57/Q57,"")</x:f>
        <x:v>0.9923152173913043</x:v>
      </x:c>
      <x:c r="T57" s="33" t="s">
        <x:v>224</x:v>
      </x:c>
      <x:c r="U57" s="17" t="s">
        <x:v>1162</x:v>
      </x:c>
    </x:row>
    <x:row r="58" ht="26.350000381469727" customHeight="1">
      <x:c r="A58" s="29" t="s">
        <x:v>1215</x:v>
      </x:c>
      <x:c r="B58" s="29" t="s">
        <x:v>270</x:v>
      </x:c>
      <x:c r="C58" s="29" t="s">
        <x:v>421</x:v>
      </x:c>
      <x:c r="D58" s="40" t="s">
        <x:v>151</x:v>
      </x:c>
      <x:c r="E58" s="40">
        <x:v>4</x:v>
      </x:c>
      <x:c r="F58" s="40">
        <x:v>4</x:v>
      </x:c>
      <x:c r="G58" s="33" t="s">
        <x:v>227</x:v>
      </x:c>
      <x:c r="H58" s="33" t="s">
        <x:v>264</x:v>
      </x:c>
      <x:c r="I58" s="33" t="n">
        <x:f>IFERROR(XLOOKUP(G58,'模型SKU'!$A$5:$A$504,'模型SKU'!$E$5:$E$504),"")</x:f>
        <x:v>864</x:v>
      </x:c>
      <x:c r="J58" s="33" t="n">
        <x:f>IFERROR(XLOOKUP(G58,'模型SKU'!$A$5:$A$504,'模型SKU'!$F$5:$F$504),"")</x:f>
        <x:v>496</x:v>
      </x:c>
      <x:c r="K58" s="33" t="n">
        <x:f>IFERROR(XLOOKUP(G58,'模型SKU'!$A$5:$A$504,'模型SKU'!$G$5:$G$504),"")</x:f>
        <x:v>24</x:v>
      </x:c>
      <x:c r="L58" s="35" t="n">
        <x:f>IFERROR((E58+F58)*I58*J58*K58/'参数'!$B$7,0)</x:f>
        <x:v>80352</x:v>
      </x:c>
      <x:c r="M58" s="33" t="s">
        <x:v>318</x:v>
      </x:c>
      <x:c r="N58" s="36" t="n">
        <x:f>IFERROR(XLOOKUP(C58,'渠道成本'!$A$5:$A$1004,'渠道成本'!$U$5:$U$1004),"")</x:f>
        <x:v>0.048424657534246573</x:v>
      </x:c>
      <x:c r="O58" s="36" t="n">
        <x:f>IFERROR(XLOOKUP(B58,'官方售价'!$A$5:$A$504,'官方售价'!$M$5:$M$504),"")</x:f>
        <x:v>3.835616438356164</x:v>
      </x:c>
      <x:c r="P58" s="36" t="n">
        <x:f>IF(M58="per_token",N58*L58/'参数'!$B$8,N58)</x:f>
        <x:v>0.048424657534246573</x:v>
      </x:c>
      <x:c r="Q58" s="36" t="n">
        <x:f>IFERROR(O58*D58,"")</x:f>
        <x:v>3.835616438356164</x:v>
      </x:c>
      <x:c r="R58" s="36" t="n">
        <x:f>IFERROR(Q58-P58,"")</x:f>
        <x:v>3.7871917808219178</x:v>
      </x:c>
      <x:c r="S58" s="41" t="n">
        <x:f>IFERROR(R58/Q58,"")</x:f>
        <x:v>0.987375</x:v>
      </x:c>
      <x:c r="T58" s="33" t="s">
        <x:v>224</x:v>
      </x:c>
      <x:c r="U58" s="17" t="s">
        <x:v>1162</x:v>
      </x:c>
    </x:row>
    <x:row r="59" ht="26.350000381469727" customHeight="1">
      <x:c r="A59" s="29" t="s">
        <x:v>1216</x:v>
      </x:c>
      <x:c r="B59" s="29" t="s">
        <x:v>279</x:v>
      </x:c>
      <x:c r="C59" s="29" t="s">
        <x:v>422</x:v>
      </x:c>
      <x:c r="D59" s="40" t="s">
        <x:v>151</x:v>
      </x:c>
      <x:c r="E59" s="40">
        <x:v>4</x:v>
      </x:c>
      <x:c r="F59" s="40">
        <x:v>4</x:v>
      </x:c>
      <x:c r="G59" s="33" t="s">
        <x:v>232</x:v>
      </x:c>
      <x:c r="H59" s="33" t="s">
        <x:v>258</x:v>
      </x:c>
      <x:c r="I59" s="33" t="n">
        <x:f>IFERROR(XLOOKUP(G59,'模型SKU'!$A$5:$A$504,'模型SKU'!$E$5:$E$504),"")</x:f>
        <x:v>1280</x:v>
      </x:c>
      <x:c r="J59" s="33" t="n">
        <x:f>IFERROR(XLOOKUP(G59,'模型SKU'!$A$5:$A$504,'模型SKU'!$F$5:$F$504),"")</x:f>
        <x:v>720</x:v>
      </x:c>
      <x:c r="K59" s="33" t="n">
        <x:f>IFERROR(XLOOKUP(G59,'模型SKU'!$A$5:$A$504,'模型SKU'!$G$5:$G$504),"")</x:f>
        <x:v>24</x:v>
      </x:c>
      <x:c r="L59" s="35" t="n">
        <x:f>IFERROR((E59+F59)*I59*J59*K59/'参数'!$B$7,0)</x:f>
        <x:v>172800</x:v>
      </x:c>
      <x:c r="M59" s="33" t="s">
        <x:v>318</x:v>
      </x:c>
      <x:c r="N59" s="36" t="n">
        <x:f>IFERROR(XLOOKUP(C59,'渠道成本'!$A$5:$A$1004,'渠道成本'!$U$5:$U$1004),"")</x:f>
        <x:v>0.06917808219178082</x:v>
      </x:c>
      <x:c r="O59" s="36" t="n">
        <x:f>IFERROR(XLOOKUP(B59,'官方售价'!$A$5:$A$504,'官方售价'!$M$5:$M$504),"")</x:f>
        <x:v>6.301369863013698</x:v>
      </x:c>
      <x:c r="P59" s="36" t="n">
        <x:f>IF(M59="per_token",N59*L59/'参数'!$B$8,N59)</x:f>
        <x:v>0.06917808219178082</x:v>
      </x:c>
      <x:c r="Q59" s="36" t="n">
        <x:f>IFERROR(O59*D59,"")</x:f>
        <x:v>6.301369863013698</x:v>
      </x:c>
      <x:c r="R59" s="36" t="n">
        <x:f>IFERROR(Q59-P59,"")</x:f>
        <x:v>6.232191780821918</x:v>
      </x:c>
      <x:c r="S59" s="41" t="n">
        <x:f>IFERROR(R59/Q59,"")</x:f>
        <x:v>0.9890217391304348</x:v>
      </x:c>
      <x:c r="T59" s="33" t="s">
        <x:v>224</x:v>
      </x:c>
      <x:c r="U59" s="17" t="s">
        <x:v>1162</x:v>
      </x:c>
    </x:row>
    <x:row r="60" ht="26.350000381469727" customHeight="1">
      <x:c r="A60" s="29" t="s">
        <x:v>1217</x:v>
      </x:c>
      <x:c r="B60" s="29" t="s">
        <x:v>281</x:v>
      </x:c>
      <x:c r="C60" s="29" t="s">
        <x:v>426</x:v>
      </x:c>
      <x:c r="D60" s="40" t="s">
        <x:v>151</x:v>
      </x:c>
      <x:c r="E60" s="40">
        <x:v>4</x:v>
      </x:c>
      <x:c r="F60" s="40">
        <x:v>4</x:v>
      </x:c>
      <x:c r="G60" s="33" t="s">
        <x:v>232</x:v>
      </x:c>
      <x:c r="H60" s="33" t="s">
        <x:v>264</x:v>
      </x:c>
      <x:c r="I60" s="33" t="n">
        <x:f>IFERROR(XLOOKUP(G60,'模型SKU'!$A$5:$A$504,'模型SKU'!$E$5:$E$504),"")</x:f>
        <x:v>1280</x:v>
      </x:c>
      <x:c r="J60" s="33" t="n">
        <x:f>IFERROR(XLOOKUP(G60,'模型SKU'!$A$5:$A$504,'模型SKU'!$F$5:$F$504),"")</x:f>
        <x:v>720</x:v>
      </x:c>
      <x:c r="K60" s="33" t="n">
        <x:f>IFERROR(XLOOKUP(G60,'模型SKU'!$A$5:$A$504,'模型SKU'!$G$5:$G$504),"")</x:f>
        <x:v>24</x:v>
      </x:c>
      <x:c r="L60" s="35" t="n">
        <x:f>IFERROR((E60+F60)*I60*J60*K60/'参数'!$B$7,0)</x:f>
        <x:v>172800</x:v>
      </x:c>
      <x:c r="M60" s="33" t="s">
        <x:v>318</x:v>
      </x:c>
      <x:c r="N60" s="36" t="n">
        <x:f>IFERROR(XLOOKUP(C60,'渠道成本'!$A$5:$A$1004,'渠道成本'!$U$5:$U$1004),"")</x:f>
        <x:v>0.06917808219178082</x:v>
      </x:c>
      <x:c r="O60" s="36" t="n">
        <x:f>IFERROR(XLOOKUP(B60,'官方售价'!$A$5:$A$504,'官方售价'!$M$5:$M$504),"")</x:f>
        <x:v>3.835616438356164</x:v>
      </x:c>
      <x:c r="P60" s="36" t="n">
        <x:f>IF(M60="per_token",N60*L60/'参数'!$B$8,N60)</x:f>
        <x:v>0.06917808219178082</x:v>
      </x:c>
      <x:c r="Q60" s="36" t="n">
        <x:f>IFERROR(O60*D60,"")</x:f>
        <x:v>3.835616438356164</x:v>
      </x:c>
      <x:c r="R60" s="36" t="n">
        <x:f>IFERROR(Q60-P60,"")</x:f>
        <x:v>3.7664383561643833</x:v>
      </x:c>
      <x:c r="S60" s="41" t="n">
        <x:f>IFERROR(R60/Q60,"")</x:f>
        <x:v>0.9819642857142857</x:v>
      </x:c>
      <x:c r="T60" s="33" t="s">
        <x:v>224</x:v>
      </x:c>
      <x:c r="U60" s="17" t="s">
        <x:v>1162</x:v>
      </x:c>
    </x:row>
    <x:row r="61" ht="26.350000381469727" customHeight="1">
      <x:c r="A61" s="29" t="s">
        <x:v>1218</x:v>
      </x:c>
      <x:c r="B61" s="29" t="s">
        <x:v>283</x:v>
      </x:c>
      <x:c r="C61" s="29" t="s">
        <x:v>427</x:v>
      </x:c>
      <x:c r="D61" s="40" t="s">
        <x:v>151</x:v>
      </x:c>
      <x:c r="E61" s="40">
        <x:v>4</x:v>
      </x:c>
      <x:c r="F61" s="40">
        <x:v>4</x:v>
      </x:c>
      <x:c r="G61" s="33" t="s">
        <x:v>234</x:v>
      </x:c>
      <x:c r="H61" s="33" t="s">
        <x:v>258</x:v>
      </x:c>
      <x:c r="I61" s="33" t="n">
        <x:f>IFERROR(XLOOKUP(G61,'模型SKU'!$A$5:$A$504,'模型SKU'!$E$5:$E$504),"")</x:f>
        <x:v>864</x:v>
      </x:c>
      <x:c r="J61" s="33" t="n">
        <x:f>IFERROR(XLOOKUP(G61,'模型SKU'!$A$5:$A$504,'模型SKU'!$F$5:$F$504),"")</x:f>
        <x:v>496</x:v>
      </x:c>
      <x:c r="K61" s="33" t="n">
        <x:f>IFERROR(XLOOKUP(G61,'模型SKU'!$A$5:$A$504,'模型SKU'!$G$5:$G$504),"")</x:f>
        <x:v>24</x:v>
      </x:c>
      <x:c r="L61" s="35" t="n">
        <x:f>IFERROR((E61+F61)*I61*J61*K61/'参数'!$B$7,0)</x:f>
        <x:v>80352</x:v>
      </x:c>
      <x:c r="M61" s="33" t="s">
        <x:v>318</x:v>
      </x:c>
      <x:c r="N61" s="36" t="n">
        <x:f>IFERROR(XLOOKUP(C61,'渠道成本'!$A$5:$A$1004,'渠道成本'!$U$5:$U$1004),"")</x:f>
        <x:v>0.027671232876712328</x:v>
      </x:c>
      <x:c r="O61" s="36" t="n">
        <x:f>IFERROR(XLOOKUP(B61,'官方售价'!$A$5:$A$504,'官方售价'!$M$5:$M$504),"")</x:f>
        <x:v>5.068493150684931</x:v>
      </x:c>
      <x:c r="P61" s="36" t="n">
        <x:f>IF(M61="per_token",N61*L61/'参数'!$B$8,N61)</x:f>
        <x:v>0.027671232876712328</x:v>
      </x:c>
      <x:c r="Q61" s="36" t="n">
        <x:f>IFERROR(O61*D61,"")</x:f>
        <x:v>5.068493150684931</x:v>
      </x:c>
      <x:c r="R61" s="36" t="n">
        <x:f>IFERROR(Q61-P61,"")</x:f>
        <x:v>5.040821917808219</x:v>
      </x:c>
      <x:c r="S61" s="41" t="n">
        <x:f>IFERROR(R61/Q61,"")</x:f>
        <x:v>0.9945405405405405</x:v>
      </x:c>
      <x:c r="T61" s="33" t="s">
        <x:v>224</x:v>
      </x:c>
      <x:c r="U61" s="17" t="s">
        <x:v>1162</x:v>
      </x:c>
    </x:row>
    <x:row r="62" ht="26.350000381469727" customHeight="1">
      <x:c r="A62" s="29" t="s">
        <x:v>1219</x:v>
      </x:c>
      <x:c r="B62" s="29" t="s">
        <x:v>286</x:v>
      </x:c>
      <x:c r="C62" s="29" t="s">
        <x:v>431</x:v>
      </x:c>
      <x:c r="D62" s="40" t="s">
        <x:v>151</x:v>
      </x:c>
      <x:c r="E62" s="40">
        <x:v>4</x:v>
      </x:c>
      <x:c r="F62" s="40">
        <x:v>4</x:v>
      </x:c>
      <x:c r="G62" s="33" t="s">
        <x:v>234</x:v>
      </x:c>
      <x:c r="H62" s="33" t="s">
        <x:v>264</x:v>
      </x:c>
      <x:c r="I62" s="33" t="n">
        <x:f>IFERROR(XLOOKUP(G62,'模型SKU'!$A$5:$A$504,'模型SKU'!$E$5:$E$504),"")</x:f>
        <x:v>864</x:v>
      </x:c>
      <x:c r="J62" s="33" t="n">
        <x:f>IFERROR(XLOOKUP(G62,'模型SKU'!$A$5:$A$504,'模型SKU'!$F$5:$F$504),"")</x:f>
        <x:v>496</x:v>
      </x:c>
      <x:c r="K62" s="33" t="n">
        <x:f>IFERROR(XLOOKUP(G62,'模型SKU'!$A$5:$A$504,'模型SKU'!$G$5:$G$504),"")</x:f>
        <x:v>24</x:v>
      </x:c>
      <x:c r="L62" s="35" t="n">
        <x:f>IFERROR((E62+F62)*I62*J62*K62/'参数'!$B$7,0)</x:f>
        <x:v>80352</x:v>
      </x:c>
      <x:c r="M62" s="33" t="s">
        <x:v>318</x:v>
      </x:c>
      <x:c r="N62" s="36" t="n">
        <x:f>IFERROR(XLOOKUP(C62,'渠道成本'!$A$5:$A$1004,'渠道成本'!$U$5:$U$1004),"")</x:f>
        <x:v>0.027671232876712328</x:v>
      </x:c>
      <x:c r="O62" s="36" t="n">
        <x:f>IFERROR(XLOOKUP(B62,'官方售价'!$A$5:$A$504,'官方售价'!$M$5:$M$504),"")</x:f>
        <x:v>3.013698630136986</x:v>
      </x:c>
      <x:c r="P62" s="36" t="n">
        <x:f>IF(M62="per_token",N62*L62/'参数'!$B$8,N62)</x:f>
        <x:v>0.027671232876712328</x:v>
      </x:c>
      <x:c r="Q62" s="36" t="n">
        <x:f>IFERROR(O62*D62,"")</x:f>
        <x:v>3.013698630136986</x:v>
      </x:c>
      <x:c r="R62" s="36" t="n">
        <x:f>IFERROR(Q62-P62,"")</x:f>
        <x:v>2.9860273972602736</x:v>
      </x:c>
      <x:c r="S62" s="41" t="n">
        <x:f>IFERROR(R62/Q62,"")</x:f>
        <x:v>0.9908181818181818</x:v>
      </x:c>
      <x:c r="T62" s="33" t="s">
        <x:v>224</x:v>
      </x:c>
      <x:c r="U62" s="17" t="s">
        <x:v>1162</x:v>
      </x:c>
    </x:row>
    <x:row r="63" ht="26.350000381469727" customHeight="1">
      <x:c r="A63" s="29" t="s">
        <x:v>1220</x:v>
      </x:c>
      <x:c r="B63" s="29" t="s">
        <x:v>289</x:v>
      </x:c>
      <x:c r="C63" s="29" t="s">
        <x:v>432</x:v>
      </x:c>
      <x:c r="D63" s="40" t="s">
        <x:v>151</x:v>
      </x:c>
      <x:c r="E63" s="40">
        <x:v>4</x:v>
      </x:c>
      <x:c r="F63" s="40">
        <x:v>4</x:v>
      </x:c>
      <x:c r="G63" s="33" t="s">
        <x:v>238</x:v>
      </x:c>
      <x:c r="H63" s="33" t="s">
        <x:v>258</x:v>
      </x:c>
      <x:c r="I63" s="33" t="n">
        <x:f>IFERROR(XLOOKUP(G63,'模型SKU'!$A$5:$A$504,'模型SKU'!$E$5:$E$504),"")</x:f>
        <x:v>1280</x:v>
      </x:c>
      <x:c r="J63" s="33" t="n">
        <x:f>IFERROR(XLOOKUP(G63,'模型SKU'!$A$5:$A$504,'模型SKU'!$F$5:$F$504),"")</x:f>
        <x:v>720</x:v>
      </x:c>
      <x:c r="K63" s="33" t="n">
        <x:f>IFERROR(XLOOKUP(G63,'模型SKU'!$A$5:$A$504,'模型SKU'!$G$5:$G$504),"")</x:f>
        <x:v>24</x:v>
      </x:c>
      <x:c r="L63" s="35" t="n">
        <x:f>IFERROR((E63+F63)*I63*J63*K63/'参数'!$B$7,0)</x:f>
        <x:v>172800</x:v>
      </x:c>
      <x:c r="M63" s="33" t="s">
        <x:v>318</x:v>
      </x:c>
      <x:c r="N63" s="36" t="n">
        <x:f>IFERROR(XLOOKUP(C63,'渠道成本'!$A$5:$A$1004,'渠道成本'!$U$5:$U$1004),"")</x:f>
        <x:v>0.048424657534246573</x:v>
      </x:c>
      <x:c r="O63" s="36" t="n">
        <x:f>IFERROR(XLOOKUP(B63,'官方售价'!$A$5:$A$504,'官方售价'!$M$5:$M$504),"")</x:f>
        <x:v>5.068493150684931</x:v>
      </x:c>
      <x:c r="P63" s="36" t="n">
        <x:f>IF(M63="per_token",N63*L63/'参数'!$B$8,N63)</x:f>
        <x:v>0.048424657534246573</x:v>
      </x:c>
      <x:c r="Q63" s="36" t="n">
        <x:f>IFERROR(O63*D63,"")</x:f>
        <x:v>5.068493150684931</x:v>
      </x:c>
      <x:c r="R63" s="36" t="n">
        <x:f>IFERROR(Q63-P63,"")</x:f>
        <x:v>5.020068493150685</x:v>
      </x:c>
      <x:c r="S63" s="41" t="n">
        <x:f>IFERROR(R63/Q63,"")</x:f>
        <x:v>0.9904459459459459</x:v>
      </x:c>
      <x:c r="T63" s="33" t="s">
        <x:v>224</x:v>
      </x:c>
      <x:c r="U63" s="17" t="s">
        <x:v>1162</x:v>
      </x:c>
    </x:row>
    <x:row r="64" ht="26.350000381469727" customHeight="1">
      <x:c r="A64" s="29" t="s">
        <x:v>1221</x:v>
      </x:c>
      <x:c r="B64" s="29" t="s">
        <x:v>291</x:v>
      </x:c>
      <x:c r="C64" s="29" t="s">
        <x:v>435</x:v>
      </x:c>
      <x:c r="D64" s="40" t="s">
        <x:v>151</x:v>
      </x:c>
      <x:c r="E64" s="40">
        <x:v>4</x:v>
      </x:c>
      <x:c r="F64" s="40">
        <x:v>4</x:v>
      </x:c>
      <x:c r="G64" s="33" t="s">
        <x:v>238</x:v>
      </x:c>
      <x:c r="H64" s="33" t="s">
        <x:v>264</x:v>
      </x:c>
      <x:c r="I64" s="33" t="n">
        <x:f>IFERROR(XLOOKUP(G64,'模型SKU'!$A$5:$A$504,'模型SKU'!$E$5:$E$504),"")</x:f>
        <x:v>1280</x:v>
      </x:c>
      <x:c r="J64" s="33" t="n">
        <x:f>IFERROR(XLOOKUP(G64,'模型SKU'!$A$5:$A$504,'模型SKU'!$F$5:$F$504),"")</x:f>
        <x:v>720</x:v>
      </x:c>
      <x:c r="K64" s="33" t="n">
        <x:f>IFERROR(XLOOKUP(G64,'模型SKU'!$A$5:$A$504,'模型SKU'!$G$5:$G$504),"")</x:f>
        <x:v>24</x:v>
      </x:c>
      <x:c r="L64" s="35" t="n">
        <x:f>IFERROR((E64+F64)*I64*J64*K64/'参数'!$B$7,0)</x:f>
        <x:v>172800</x:v>
      </x:c>
      <x:c r="M64" s="33" t="s">
        <x:v>318</x:v>
      </x:c>
      <x:c r="N64" s="36" t="n">
        <x:f>IFERROR(XLOOKUP(C64,'渠道成本'!$A$5:$A$1004,'渠道成本'!$U$5:$U$1004),"")</x:f>
        <x:v>0.048424657534246573</x:v>
      </x:c>
      <x:c r="O64" s="36" t="n">
        <x:f>IFERROR(XLOOKUP(B64,'官方售价'!$A$5:$A$504,'官方售价'!$M$5:$M$504),"")</x:f>
        <x:v>3.013698630136986</x:v>
      </x:c>
      <x:c r="P64" s="36" t="n">
        <x:f>IF(M64="per_token",N64*L64/'参数'!$B$8,N64)</x:f>
        <x:v>0.048424657534246573</x:v>
      </x:c>
      <x:c r="Q64" s="36" t="n">
        <x:f>IFERROR(O64*D64,"")</x:f>
        <x:v>3.013698630136986</x:v>
      </x:c>
      <x:c r="R64" s="36" t="n">
        <x:f>IFERROR(Q64-P64,"")</x:f>
        <x:v>2.9652739726027395</x:v>
      </x:c>
      <x:c r="S64" s="41" t="n">
        <x:f>IFERROR(R64/Q64,"")</x:f>
        <x:v>0.9839318181818182</x:v>
      </x:c>
      <x:c r="T64" s="33" t="s">
        <x:v>224</x:v>
      </x:c>
      <x:c r="U64" s="17" t="s">
        <x:v>1162</x:v>
      </x:c>
    </x:row>
    <x:row r="65" ht="26.350000381469727" customHeight="1">
      <x:c r="A65" s="29" t="s">
        <x:v>1222</x:v>
      </x:c>
      <x:c r="B65" s="29" t="s">
        <x:v>293</x:v>
      </x:c>
      <x:c r="C65" s="29" t="s">
        <x:v>436</x:v>
      </x:c>
      <x:c r="D65" s="40" t="s">
        <x:v>151</x:v>
      </x:c>
      <x:c r="E65" s="40">
        <x:v>4</x:v>
      </x:c>
      <x:c r="F65" s="40">
        <x:v>4</x:v>
      </x:c>
      <x:c r="G65" s="33" t="s">
        <x:v>240</x:v>
      </x:c>
      <x:c r="H65" s="33" t="s">
        <x:v>258</x:v>
      </x:c>
      <x:c r="I65" s="33" t="n">
        <x:f>IFERROR(XLOOKUP(G65,'模型SKU'!$A$5:$A$504,'模型SKU'!$E$5:$E$504),"")</x:f>
        <x:v>864</x:v>
      </x:c>
      <x:c r="J65" s="33" t="n">
        <x:f>IFERROR(XLOOKUP(G65,'模型SKU'!$A$5:$A$504,'模型SKU'!$F$5:$F$504),"")</x:f>
        <x:v>496</x:v>
      </x:c>
      <x:c r="K65" s="33" t="n">
        <x:f>IFERROR(XLOOKUP(G65,'模型SKU'!$A$5:$A$504,'模型SKU'!$G$5:$G$504),"")</x:f>
        <x:v>24</x:v>
      </x:c>
      <x:c r="L65" s="35" t="n">
        <x:f>IFERROR((E65+F65)*I65*J65*K65/'参数'!$B$7,0)</x:f>
        <x:v>80352</x:v>
      </x:c>
      <x:c r="M65" s="33" t="s">
        <x:v>318</x:v>
      </x:c>
      <x:c r="N65" s="36" t="n">
        <x:f>IFERROR(XLOOKUP(C65,'渠道成本'!$A$5:$A$1004,'渠道成本'!$U$5:$U$1004),"")</x:f>
        <x:v>0.019369863013698634</x:v>
      </x:c>
      <x:c r="O65" s="36" t="n">
        <x:f>IFERROR(XLOOKUP(B65,'官方售价'!$A$5:$A$504,'官方售价'!$M$5:$M$504),"")</x:f>
        <x:v>3.150684931506849</x:v>
      </x:c>
      <x:c r="P65" s="36" t="n">
        <x:f>IF(M65="per_token",N65*L65/'参数'!$B$8,N65)</x:f>
        <x:v>0.019369863013698634</x:v>
      </x:c>
      <x:c r="Q65" s="36" t="n">
        <x:f>IFERROR(O65*D65,"")</x:f>
        <x:v>3.150684931506849</x:v>
      </x:c>
      <x:c r="R65" s="36" t="n">
        <x:f>IFERROR(Q65-P65,"")</x:f>
        <x:v>3.1313150684931506</x:v>
      </x:c>
      <x:c r="S65" s="41" t="n">
        <x:f>IFERROR(R65/Q65,"")</x:f>
        <x:v>0.9938521739130435</x:v>
      </x:c>
      <x:c r="T65" s="33" t="s">
        <x:v>224</x:v>
      </x:c>
      <x:c r="U65" s="17" t="s">
        <x:v>1162</x:v>
      </x:c>
    </x:row>
    <x:row r="66" ht="26.350000381469727" customHeight="1">
      <x:c r="A66" s="29" t="s">
        <x:v>1223</x:v>
      </x:c>
      <x:c r="B66" s="29" t="s">
        <x:v>296</x:v>
      </x:c>
      <x:c r="C66" s="29" t="s">
        <x:v>440</x:v>
      </x:c>
      <x:c r="D66" s="40" t="s">
        <x:v>151</x:v>
      </x:c>
      <x:c r="E66" s="40">
        <x:v>4</x:v>
      </x:c>
      <x:c r="F66" s="40">
        <x:v>4</x:v>
      </x:c>
      <x:c r="G66" s="33" t="s">
        <x:v>240</x:v>
      </x:c>
      <x:c r="H66" s="33" t="s">
        <x:v>264</x:v>
      </x:c>
      <x:c r="I66" s="33" t="n">
        <x:f>IFERROR(XLOOKUP(G66,'模型SKU'!$A$5:$A$504,'模型SKU'!$E$5:$E$504),"")</x:f>
        <x:v>864</x:v>
      </x:c>
      <x:c r="J66" s="33" t="n">
        <x:f>IFERROR(XLOOKUP(G66,'模型SKU'!$A$5:$A$504,'模型SKU'!$F$5:$F$504),"")</x:f>
        <x:v>496</x:v>
      </x:c>
      <x:c r="K66" s="33" t="n">
        <x:f>IFERROR(XLOOKUP(G66,'模型SKU'!$A$5:$A$504,'模型SKU'!$G$5:$G$504),"")</x:f>
        <x:v>24</x:v>
      </x:c>
      <x:c r="L66" s="35" t="n">
        <x:f>IFERROR((E66+F66)*I66*J66*K66/'参数'!$B$7,0)</x:f>
        <x:v>80352</x:v>
      </x:c>
      <x:c r="M66" s="33" t="s">
        <x:v>318</x:v>
      </x:c>
      <x:c r="N66" s="36" t="n">
        <x:f>IFERROR(XLOOKUP(C66,'渠道成本'!$A$5:$A$1004,'渠道成本'!$U$5:$U$1004),"")</x:f>
        <x:v>0.019369863013698634</x:v>
      </x:c>
      <x:c r="O66" s="36" t="n">
        <x:f>IFERROR(XLOOKUP(B66,'官方售价'!$A$5:$A$504,'官方售价'!$M$5:$M$504),"")</x:f>
        <x:v>1.917808219178082</x:v>
      </x:c>
      <x:c r="P66" s="36" t="n">
        <x:f>IF(M66="per_token",N66*L66/'参数'!$B$8,N66)</x:f>
        <x:v>0.019369863013698634</x:v>
      </x:c>
      <x:c r="Q66" s="36" t="n">
        <x:f>IFERROR(O66*D66,"")</x:f>
        <x:v>1.917808219178082</x:v>
      </x:c>
      <x:c r="R66" s="36" t="n">
        <x:f>IFERROR(Q66-P66,"")</x:f>
        <x:v>1.8984383561643834</x:v>
      </x:c>
      <x:c r="S66" s="41" t="n">
        <x:f>IFERROR(R66/Q66,"")</x:f>
        <x:v>0.9899</x:v>
      </x:c>
      <x:c r="T66" s="33" t="s">
        <x:v>224</x:v>
      </x:c>
      <x:c r="U66" s="17" t="s">
        <x:v>1162</x:v>
      </x:c>
    </x:row>
    <x:row r="67" ht="26.350000381469727" customHeight="1">
      <x:c r="A67" s="29" t="s">
        <x:v>1224</x:v>
      </x:c>
      <x:c r="B67" s="29" t="s">
        <x:v>299</x:v>
      </x:c>
      <x:c r="C67" s="29" t="s">
        <x:v>441</x:v>
      </x:c>
      <x:c r="D67" s="40" t="s">
        <x:v>151</x:v>
      </x:c>
      <x:c r="E67" s="40">
        <x:v>4</x:v>
      </x:c>
      <x:c r="F67" s="40">
        <x:v>4</x:v>
      </x:c>
      <x:c r="G67" s="33" t="s">
        <x:v>244</x:v>
      </x:c>
      <x:c r="H67" s="33" t="s">
        <x:v>258</x:v>
      </x:c>
      <x:c r="I67" s="33" t="n">
        <x:f>IFERROR(XLOOKUP(G67,'模型SKU'!$A$5:$A$504,'模型SKU'!$E$5:$E$504),"")</x:f>
        <x:v>1280</x:v>
      </x:c>
      <x:c r="J67" s="33" t="n">
        <x:f>IFERROR(XLOOKUP(G67,'模型SKU'!$A$5:$A$504,'模型SKU'!$F$5:$F$504),"")</x:f>
        <x:v>720</x:v>
      </x:c>
      <x:c r="K67" s="33" t="n">
        <x:f>IFERROR(XLOOKUP(G67,'模型SKU'!$A$5:$A$504,'模型SKU'!$G$5:$G$504),"")</x:f>
        <x:v>24</x:v>
      </x:c>
      <x:c r="L67" s="35" t="n">
        <x:f>IFERROR((E67+F67)*I67*J67*K67/'参数'!$B$7,0)</x:f>
        <x:v>172800</x:v>
      </x:c>
      <x:c r="M67" s="33" t="s">
        <x:v>318</x:v>
      </x:c>
      <x:c r="N67" s="36" t="n">
        <x:f>IFERROR(XLOOKUP(C67,'渠道成本'!$A$5:$A$1004,'渠道成本'!$U$5:$U$1004),"")</x:f>
        <x:v>0.03320547945205479</x:v>
      </x:c>
      <x:c r="O67" s="36" t="n">
        <x:f>IFERROR(XLOOKUP(B67,'官方售价'!$A$5:$A$504,'官方售价'!$M$5:$M$504),"")</x:f>
        <x:v>3.150684931506849</x:v>
      </x:c>
      <x:c r="P67" s="36" t="n">
        <x:f>IF(M67="per_token",N67*L67/'参数'!$B$8,N67)</x:f>
        <x:v>0.03320547945205479</x:v>
      </x:c>
      <x:c r="Q67" s="36" t="n">
        <x:f>IFERROR(O67*D67,"")</x:f>
        <x:v>3.150684931506849</x:v>
      </x:c>
      <x:c r="R67" s="36" t="n">
        <x:f>IFERROR(Q67-P67,"")</x:f>
        <x:v>3.1174794520547944</x:v>
      </x:c>
      <x:c r="S67" s="41" t="n">
        <x:f>IFERROR(R67/Q67,"")</x:f>
        <x:v>0.9894608695652174</x:v>
      </x:c>
      <x:c r="T67" s="33" t="s">
        <x:v>224</x:v>
      </x:c>
      <x:c r="U67" s="17" t="s">
        <x:v>1162</x:v>
      </x:c>
    </x:row>
    <x:row r="68" ht="26.350000381469727" customHeight="1">
      <x:c r="A68" s="29" t="s">
        <x:v>1225</x:v>
      </x:c>
      <x:c r="B68" s="29" t="s">
        <x:v>301</x:v>
      </x:c>
      <x:c r="C68" s="29" t="s">
        <x:v>444</x:v>
      </x:c>
      <x:c r="D68" s="40" t="s">
        <x:v>151</x:v>
      </x:c>
      <x:c r="E68" s="40">
        <x:v>4</x:v>
      </x:c>
      <x:c r="F68" s="40">
        <x:v>4</x:v>
      </x:c>
      <x:c r="G68" s="33" t="s">
        <x:v>244</x:v>
      </x:c>
      <x:c r="H68" s="33" t="s">
        <x:v>264</x:v>
      </x:c>
      <x:c r="I68" s="33" t="n">
        <x:f>IFERROR(XLOOKUP(G68,'模型SKU'!$A$5:$A$504,'模型SKU'!$E$5:$E$504),"")</x:f>
        <x:v>1280</x:v>
      </x:c>
      <x:c r="J68" s="33" t="n">
        <x:f>IFERROR(XLOOKUP(G68,'模型SKU'!$A$5:$A$504,'模型SKU'!$F$5:$F$504),"")</x:f>
        <x:v>720</x:v>
      </x:c>
      <x:c r="K68" s="33" t="n">
        <x:f>IFERROR(XLOOKUP(G68,'模型SKU'!$A$5:$A$504,'模型SKU'!$G$5:$G$504),"")</x:f>
        <x:v>24</x:v>
      </x:c>
      <x:c r="L68" s="35" t="n">
        <x:f>IFERROR((E68+F68)*I68*J68*K68/'参数'!$B$7,0)</x:f>
        <x:v>172800</x:v>
      </x:c>
      <x:c r="M68" s="33" t="s">
        <x:v>318</x:v>
      </x:c>
      <x:c r="N68" s="36" t="n">
        <x:f>IFERROR(XLOOKUP(C68,'渠道成本'!$A$5:$A$1004,'渠道成本'!$U$5:$U$1004),"")</x:f>
        <x:v>0.03320547945205479</x:v>
      </x:c>
      <x:c r="O68" s="36" t="n">
        <x:f>IFERROR(XLOOKUP(B68,'官方售价'!$A$5:$A$504,'官方售价'!$M$5:$M$504),"")</x:f>
        <x:v>1.917808219178082</x:v>
      </x:c>
      <x:c r="P68" s="36" t="n">
        <x:f>IF(M68="per_token",N68*L68/'参数'!$B$8,N68)</x:f>
        <x:v>0.03320547945205479</x:v>
      </x:c>
      <x:c r="Q68" s="36" t="n">
        <x:f>IFERROR(O68*D68,"")</x:f>
        <x:v>1.917808219178082</x:v>
      </x:c>
      <x:c r="R68" s="36" t="n">
        <x:f>IFERROR(Q68-P68,"")</x:f>
        <x:v>1.8846027397260272</x:v>
      </x:c>
      <x:c r="S68" s="41" t="n">
        <x:f>IFERROR(R68/Q68,"")</x:f>
        <x:v>0.9826857142857143</x:v>
      </x:c>
      <x:c r="T68" s="33" t="s">
        <x:v>224</x:v>
      </x:c>
      <x:c r="U68" s="17" t="s">
        <x:v>1162</x:v>
      </x:c>
    </x:row>
    <x:row r="69" ht="26.350000381469727" customHeight="1">
      <x:c r="A69" s="29" t="s">
        <x:v>1226</x:v>
      </x:c>
      <x:c r="B69" s="29" t="s">
        <x:v>283</x:v>
      </x:c>
      <x:c r="C69" s="29" t="s">
        <x:v>445</x:v>
      </x:c>
      <x:c r="D69" s="40" t="s">
        <x:v>151</x:v>
      </x:c>
      <x:c r="E69" s="40">
        <x:v>4</x:v>
      </x:c>
      <x:c r="F69" s="40">
        <x:v>4</x:v>
      </x:c>
      <x:c r="G69" s="33" t="s">
        <x:v>234</x:v>
      </x:c>
      <x:c r="H69" s="33" t="s">
        <x:v>258</x:v>
      </x:c>
      <x:c r="I69" s="33" t="n">
        <x:f>IFERROR(XLOOKUP(G69,'模型SKU'!$A$5:$A$504,'模型SKU'!$E$5:$E$504),"")</x:f>
        <x:v>864</x:v>
      </x:c>
      <x:c r="J69" s="33" t="n">
        <x:f>IFERROR(XLOOKUP(G69,'模型SKU'!$A$5:$A$504,'模型SKU'!$F$5:$F$504),"")</x:f>
        <x:v>496</x:v>
      </x:c>
      <x:c r="K69" s="33" t="n">
        <x:f>IFERROR(XLOOKUP(G69,'模型SKU'!$A$5:$A$504,'模型SKU'!$G$5:$G$504),"")</x:f>
        <x:v>24</x:v>
      </x:c>
      <x:c r="L69" s="35" t="n">
        <x:f>IFERROR((E69+F69)*I69*J69*K69/'参数'!$B$7,0)</x:f>
        <x:v>80352</x:v>
      </x:c>
      <x:c r="M69" s="33" t="s">
        <x:v>331</x:v>
      </x:c>
      <x:c r="N69" s="36" t="n">
        <x:f>IFERROR(XLOOKUP(C69,'渠道成本'!$A$5:$A$1004,'渠道成本'!$U$5:$U$1004),"")</x:f>
        <x:v>0.6226027397260273</x:v>
      </x:c>
      <x:c r="O69" s="36" t="n">
        <x:f>IFERROR(XLOOKUP(B69,'官方售价'!$A$5:$A$504,'官方售价'!$M$5:$M$504),"")</x:f>
        <x:v>5.068493150684931</x:v>
      </x:c>
      <x:c r="P69" s="36" t="n">
        <x:f>IF(M69="per_token",N69*L69/'参数'!$B$8,N69)</x:f>
        <x:v>0.6226027397260273</x:v>
      </x:c>
      <x:c r="Q69" s="36" t="n">
        <x:f>IFERROR(O69*D69,"")</x:f>
        <x:v>5.068493150684931</x:v>
      </x:c>
      <x:c r="R69" s="36" t="n">
        <x:f>IFERROR(Q69-P69,"")</x:f>
        <x:v>4.445890410958904</x:v>
      </x:c>
      <x:c r="S69" s="41" t="n">
        <x:f>IFERROR(R69/Q69,"")</x:f>
        <x:v>0.8771621621621621</x:v>
      </x:c>
      <x:c r="T69" s="33" t="s">
        <x:v>224</x:v>
      </x:c>
      <x:c r="U69" s="17" t="s">
        <x:v>1162</x:v>
      </x:c>
    </x:row>
    <x:row r="70" ht="26.350000381469727" customHeight="1">
      <x:c r="A70" s="29" t="s">
        <x:v>1227</x:v>
      </x:c>
      <x:c r="B70" s="29" t="s">
        <x:v>286</x:v>
      </x:c>
      <x:c r="C70" s="29" t="s">
        <x:v>448</x:v>
      </x:c>
      <x:c r="D70" s="40" t="s">
        <x:v>151</x:v>
      </x:c>
      <x:c r="E70" s="40">
        <x:v>4</x:v>
      </x:c>
      <x:c r="F70" s="40">
        <x:v>4</x:v>
      </x:c>
      <x:c r="G70" s="33" t="s">
        <x:v>234</x:v>
      </x:c>
      <x:c r="H70" s="33" t="s">
        <x:v>264</x:v>
      </x:c>
      <x:c r="I70" s="33" t="n">
        <x:f>IFERROR(XLOOKUP(G70,'模型SKU'!$A$5:$A$504,'模型SKU'!$E$5:$E$504),"")</x:f>
        <x:v>864</x:v>
      </x:c>
      <x:c r="J70" s="33" t="n">
        <x:f>IFERROR(XLOOKUP(G70,'模型SKU'!$A$5:$A$504,'模型SKU'!$F$5:$F$504),"")</x:f>
        <x:v>496</x:v>
      </x:c>
      <x:c r="K70" s="33" t="n">
        <x:f>IFERROR(XLOOKUP(G70,'模型SKU'!$A$5:$A$504,'模型SKU'!$G$5:$G$504),"")</x:f>
        <x:v>24</x:v>
      </x:c>
      <x:c r="L70" s="35" t="n">
        <x:f>IFERROR((E70+F70)*I70*J70*K70/'参数'!$B$7,0)</x:f>
        <x:v>80352</x:v>
      </x:c>
      <x:c r="M70" s="33" t="s">
        <x:v>331</x:v>
      </x:c>
      <x:c r="N70" s="36" t="n">
        <x:f>IFERROR(XLOOKUP(C70,'渠道成本'!$A$5:$A$1004,'渠道成本'!$U$5:$U$1004),"")</x:f>
        <x:v>0.6226027397260273</x:v>
      </x:c>
      <x:c r="O70" s="36" t="n">
        <x:f>IFERROR(XLOOKUP(B70,'官方售价'!$A$5:$A$504,'官方售价'!$M$5:$M$504),"")</x:f>
        <x:v>3.013698630136986</x:v>
      </x:c>
      <x:c r="P70" s="36" t="n">
        <x:f>IF(M70="per_token",N70*L70/'参数'!$B$8,N70)</x:f>
        <x:v>0.6226027397260273</x:v>
      </x:c>
      <x:c r="Q70" s="36" t="n">
        <x:f>IFERROR(O70*D70,"")</x:f>
        <x:v>3.013698630136986</x:v>
      </x:c>
      <x:c r="R70" s="36" t="n">
        <x:f>IFERROR(Q70-P70,"")</x:f>
        <x:v>2.3910958904109587</x:v>
      </x:c>
      <x:c r="S70" s="41" t="n">
        <x:f>IFERROR(R70/Q70,"")</x:f>
        <x:v>0.793409090909091</x:v>
      </x:c>
      <x:c r="T70" s="33" t="s">
        <x:v>224</x:v>
      </x:c>
      <x:c r="U70" s="17" t="s">
        <x:v>1162</x:v>
      </x:c>
    </x:row>
    <x:row r="71" ht="26.350000381469727" customHeight="1">
      <x:c r="A71" s="29" t="s">
        <x:v>1228</x:v>
      </x:c>
      <x:c r="B71" s="29" t="s">
        <x:v>289</x:v>
      </x:c>
      <x:c r="C71" s="29" t="s">
        <x:v>449</x:v>
      </x:c>
      <x:c r="D71" s="40" t="s">
        <x:v>151</x:v>
      </x:c>
      <x:c r="E71" s="40">
        <x:v>4</x:v>
      </x:c>
      <x:c r="F71" s="40">
        <x:v>4</x:v>
      </x:c>
      <x:c r="G71" s="33" t="s">
        <x:v>238</x:v>
      </x:c>
      <x:c r="H71" s="33" t="s">
        <x:v>258</x:v>
      </x:c>
      <x:c r="I71" s="33" t="n">
        <x:f>IFERROR(XLOOKUP(G71,'模型SKU'!$A$5:$A$504,'模型SKU'!$E$5:$E$504),"")</x:f>
        <x:v>1280</x:v>
      </x:c>
      <x:c r="J71" s="33" t="n">
        <x:f>IFERROR(XLOOKUP(G71,'模型SKU'!$A$5:$A$504,'模型SKU'!$F$5:$F$504),"")</x:f>
        <x:v>720</x:v>
      </x:c>
      <x:c r="K71" s="33" t="n">
        <x:f>IFERROR(XLOOKUP(G71,'模型SKU'!$A$5:$A$504,'模型SKU'!$G$5:$G$504),"")</x:f>
        <x:v>24</x:v>
      </x:c>
      <x:c r="L71" s="35" t="n">
        <x:f>IFERROR((E71+F71)*I71*J71*K71/'参数'!$B$7,0)</x:f>
        <x:v>172800</x:v>
      </x:c>
      <x:c r="M71" s="33" t="s">
        <x:v>331</x:v>
      </x:c>
      <x:c r="N71" s="36" t="n">
        <x:f>IFERROR(XLOOKUP(C71,'渠道成本'!$A$5:$A$1004,'渠道成本'!$U$5:$U$1004),"")</x:f>
        <x:v>0.8093835616438356</x:v>
      </x:c>
      <x:c r="O71" s="36" t="n">
        <x:f>IFERROR(XLOOKUP(B71,'官方售价'!$A$5:$A$504,'官方售价'!$M$5:$M$504),"")</x:f>
        <x:v>5.068493150684931</x:v>
      </x:c>
      <x:c r="P71" s="36" t="n">
        <x:f>IF(M71="per_token",N71*L71/'参数'!$B$8,N71)</x:f>
        <x:v>0.8093835616438356</x:v>
      </x:c>
      <x:c r="Q71" s="36" t="n">
        <x:f>IFERROR(O71*D71,"")</x:f>
        <x:v>5.068493150684931</x:v>
      </x:c>
      <x:c r="R71" s="36" t="n">
        <x:f>IFERROR(Q71-P71,"")</x:f>
        <x:v>4.2591095890410955</x:v>
      </x:c>
      <x:c r="S71" s="41" t="n">
        <x:f>IFERROR(R71/Q71,"")</x:f>
        <x:v>0.8403108108108107</x:v>
      </x:c>
      <x:c r="T71" s="33" t="s">
        <x:v>224</x:v>
      </x:c>
      <x:c r="U71" s="17" t="s">
        <x:v>1162</x:v>
      </x:c>
    </x:row>
    <x:row r="72" ht="26.350000381469727" customHeight="1">
      <x:c r="A72" s="29" t="s">
        <x:v>1229</x:v>
      </x:c>
      <x:c r="B72" s="29" t="s">
        <x:v>291</x:v>
      </x:c>
      <x:c r="C72" s="29" t="s">
        <x:v>453</x:v>
      </x:c>
      <x:c r="D72" s="40" t="s">
        <x:v>151</x:v>
      </x:c>
      <x:c r="E72" s="40">
        <x:v>4</x:v>
      </x:c>
      <x:c r="F72" s="40">
        <x:v>4</x:v>
      </x:c>
      <x:c r="G72" s="33" t="s">
        <x:v>238</x:v>
      </x:c>
      <x:c r="H72" s="33" t="s">
        <x:v>264</x:v>
      </x:c>
      <x:c r="I72" s="33" t="n">
        <x:f>IFERROR(XLOOKUP(G72,'模型SKU'!$A$5:$A$504,'模型SKU'!$E$5:$E$504),"")</x:f>
        <x:v>1280</x:v>
      </x:c>
      <x:c r="J72" s="33" t="n">
        <x:f>IFERROR(XLOOKUP(G72,'模型SKU'!$A$5:$A$504,'模型SKU'!$F$5:$F$504),"")</x:f>
        <x:v>720</x:v>
      </x:c>
      <x:c r="K72" s="33" t="n">
        <x:f>IFERROR(XLOOKUP(G72,'模型SKU'!$A$5:$A$504,'模型SKU'!$G$5:$G$504),"")</x:f>
        <x:v>24</x:v>
      </x:c>
      <x:c r="L72" s="35" t="n">
        <x:f>IFERROR((E72+F72)*I72*J72*K72/'参数'!$B$7,0)</x:f>
        <x:v>172800</x:v>
      </x:c>
      <x:c r="M72" s="33" t="s">
        <x:v>331</x:v>
      </x:c>
      <x:c r="N72" s="36" t="n">
        <x:f>IFERROR(XLOOKUP(C72,'渠道成本'!$A$5:$A$1004,'渠道成本'!$U$5:$U$1004),"")</x:f>
        <x:v>0.8093835616438356</x:v>
      </x:c>
      <x:c r="O72" s="36" t="n">
        <x:f>IFERROR(XLOOKUP(B72,'官方售价'!$A$5:$A$504,'官方售价'!$M$5:$M$504),"")</x:f>
        <x:v>3.013698630136986</x:v>
      </x:c>
      <x:c r="P72" s="36" t="n">
        <x:f>IF(M72="per_token",N72*L72/'参数'!$B$8,N72)</x:f>
        <x:v>0.8093835616438356</x:v>
      </x:c>
      <x:c r="Q72" s="36" t="n">
        <x:f>IFERROR(O72*D72,"")</x:f>
        <x:v>3.013698630136986</x:v>
      </x:c>
      <x:c r="R72" s="36" t="n">
        <x:f>IFERROR(Q72-P72,"")</x:f>
        <x:v>2.20431506849315</x:v>
      </x:c>
      <x:c r="S72" s="41" t="n">
        <x:f>IFERROR(R72/Q72,"")</x:f>
        <x:v>0.731431818181818</x:v>
      </x:c>
      <x:c r="T72" s="33" t="s">
        <x:v>224</x:v>
      </x:c>
      <x:c r="U72" s="17" t="s">
        <x:v>1162</x:v>
      </x:c>
    </x:row>
    <x:row r="73" ht="26.350000381469727" customHeight="1">
      <x:c r="A73" s="29" t="s">
        <x:v>1230</x:v>
      </x:c>
      <x:c r="B73" s="29" t="s">
        <x:v>299</x:v>
      </x:c>
      <x:c r="C73" s="29" t="s">
        <x:v>454</x:v>
      </x:c>
      <x:c r="D73" s="40" t="s">
        <x:v>151</x:v>
      </x:c>
      <x:c r="E73" s="40">
        <x:v>4</x:v>
      </x:c>
      <x:c r="F73" s="40">
        <x:v>4</x:v>
      </x:c>
      <x:c r="G73" s="33" t="s">
        <x:v>244</x:v>
      </x:c>
      <x:c r="H73" s="33" t="s">
        <x:v>258</x:v>
      </x:c>
      <x:c r="I73" s="33" t="n">
        <x:f>IFERROR(XLOOKUP(G73,'模型SKU'!$A$5:$A$504,'模型SKU'!$E$5:$E$504),"")</x:f>
        <x:v>1280</x:v>
      </x:c>
      <x:c r="J73" s="33" t="n">
        <x:f>IFERROR(XLOOKUP(G73,'模型SKU'!$A$5:$A$504,'模型SKU'!$F$5:$F$504),"")</x:f>
        <x:v>720</x:v>
      </x:c>
      <x:c r="K73" s="33" t="n">
        <x:f>IFERROR(XLOOKUP(G73,'模型SKU'!$A$5:$A$504,'模型SKU'!$G$5:$G$504),"")</x:f>
        <x:v>24</x:v>
      </x:c>
      <x:c r="L73" s="35" t="n">
        <x:f>IFERROR((E73+F73)*I73*J73*K73/'参数'!$B$7,0)</x:f>
        <x:v>172800</x:v>
      </x:c>
      <x:c r="M73" s="33" t="s">
        <x:v>331</x:v>
      </x:c>
      <x:c r="N73" s="36" t="n">
        <x:f>IFERROR(XLOOKUP(C73,'渠道成本'!$A$5:$A$1004,'渠道成本'!$U$5:$U$1004),"")</x:f>
        <x:v>0.41506849315068495</x:v>
      </x:c>
      <x:c r="O73" s="36" t="n">
        <x:f>IFERROR(XLOOKUP(B73,'官方售价'!$A$5:$A$504,'官方售价'!$M$5:$M$504),"")</x:f>
        <x:v>3.150684931506849</x:v>
      </x:c>
      <x:c r="P73" s="36" t="n">
        <x:f>IF(M73="per_token",N73*L73/'参数'!$B$8,N73)</x:f>
        <x:v>0.41506849315068495</x:v>
      </x:c>
      <x:c r="Q73" s="36" t="n">
        <x:f>IFERROR(O73*D73,"")</x:f>
        <x:v>3.150684931506849</x:v>
      </x:c>
      <x:c r="R73" s="36" t="n">
        <x:f>IFERROR(Q73-P73,"")</x:f>
        <x:v>2.735616438356164</x:v>
      </x:c>
      <x:c r="S73" s="41" t="n">
        <x:f>IFERROR(R73/Q73,"")</x:f>
        <x:v>0.8682608695652174</x:v>
      </x:c>
      <x:c r="T73" s="33" t="s">
        <x:v>224</x:v>
      </x:c>
      <x:c r="U73" s="17" t="s">
        <x:v>1162</x:v>
      </x:c>
    </x:row>
    <x:row r="74" ht="26.350000381469727" customHeight="1">
      <x:c r="A74" s="29" t="s">
        <x:v>1231</x:v>
      </x:c>
      <x:c r="B74" s="29" t="s">
        <x:v>301</x:v>
      </x:c>
      <x:c r="C74" s="29" t="s">
        <x:v>458</x:v>
      </x:c>
      <x:c r="D74" s="40" t="s">
        <x:v>151</x:v>
      </x:c>
      <x:c r="E74" s="40">
        <x:v>4</x:v>
      </x:c>
      <x:c r="F74" s="40">
        <x:v>4</x:v>
      </x:c>
      <x:c r="G74" s="33" t="s">
        <x:v>244</x:v>
      </x:c>
      <x:c r="H74" s="33" t="s">
        <x:v>264</x:v>
      </x:c>
      <x:c r="I74" s="33" t="n">
        <x:f>IFERROR(XLOOKUP(G74,'模型SKU'!$A$5:$A$504,'模型SKU'!$E$5:$E$504),"")</x:f>
        <x:v>1280</x:v>
      </x:c>
      <x:c r="J74" s="33" t="n">
        <x:f>IFERROR(XLOOKUP(G74,'模型SKU'!$A$5:$A$504,'模型SKU'!$F$5:$F$504),"")</x:f>
        <x:v>720</x:v>
      </x:c>
      <x:c r="K74" s="33" t="n">
        <x:f>IFERROR(XLOOKUP(G74,'模型SKU'!$A$5:$A$504,'模型SKU'!$G$5:$G$504),"")</x:f>
        <x:v>24</x:v>
      </x:c>
      <x:c r="L74" s="35" t="n">
        <x:f>IFERROR((E74+F74)*I74*J74*K74/'参数'!$B$7,0)</x:f>
        <x:v>172800</x:v>
      </x:c>
      <x:c r="M74" s="33" t="s">
        <x:v>331</x:v>
      </x:c>
      <x:c r="N74" s="36" t="n">
        <x:f>IFERROR(XLOOKUP(C74,'渠道成本'!$A$5:$A$1004,'渠道成本'!$U$5:$U$1004),"")</x:f>
        <x:v>0.41506849315068495</x:v>
      </x:c>
      <x:c r="O74" s="36" t="n">
        <x:f>IFERROR(XLOOKUP(B74,'官方售价'!$A$5:$A$504,'官方售价'!$M$5:$M$504),"")</x:f>
        <x:v>1.917808219178082</x:v>
      </x:c>
      <x:c r="P74" s="36" t="n">
        <x:f>IF(M74="per_token",N74*L74/'参数'!$B$8,N74)</x:f>
        <x:v>0.41506849315068495</x:v>
      </x:c>
      <x:c r="Q74" s="36" t="n">
        <x:f>IFERROR(O74*D74,"")</x:f>
        <x:v>1.917808219178082</x:v>
      </x:c>
      <x:c r="R74" s="36" t="n">
        <x:f>IFERROR(Q74-P74,"")</x:f>
        <x:v>1.5027397260273971</x:v>
      </x:c>
      <x:c r="S74" s="41" t="n">
        <x:f>IFERROR(R74/Q74,"")</x:f>
        <x:v>0.7835714285714286</x:v>
      </x:c>
      <x:c r="T74" s="33" t="s">
        <x:v>224</x:v>
      </x:c>
      <x:c r="U74" s="17" t="s">
        <x:v>1162</x:v>
      </x:c>
    </x:row>
    <x:row r="75" ht="26.350000381469727" customHeight="1">
      <x:c r="A75" s="29" t="s">
        <x:v>1232</x:v>
      </x:c>
      <x:c r="B75" s="29" t="s">
        <x:v>299</x:v>
      </x:c>
      <x:c r="C75" s="29" t="s">
        <x:v>459</x:v>
      </x:c>
      <x:c r="D75" s="40" t="s">
        <x:v>151</x:v>
      </x:c>
      <x:c r="E75" s="40">
        <x:v>4</x:v>
      </x:c>
      <x:c r="F75" s="40">
        <x:v>4</x:v>
      </x:c>
      <x:c r="G75" s="33" t="s">
        <x:v>244</x:v>
      </x:c>
      <x:c r="H75" s="33" t="s">
        <x:v>258</x:v>
      </x:c>
      <x:c r="I75" s="33" t="n">
        <x:f>IFERROR(XLOOKUP(G75,'模型SKU'!$A$5:$A$504,'模型SKU'!$E$5:$E$504),"")</x:f>
        <x:v>1280</x:v>
      </x:c>
      <x:c r="J75" s="33" t="n">
        <x:f>IFERROR(XLOOKUP(G75,'模型SKU'!$A$5:$A$504,'模型SKU'!$F$5:$F$504),"")</x:f>
        <x:v>720</x:v>
      </x:c>
      <x:c r="K75" s="33" t="n">
        <x:f>IFERROR(XLOOKUP(G75,'模型SKU'!$A$5:$A$504,'模型SKU'!$G$5:$G$504),"")</x:f>
        <x:v>24</x:v>
      </x:c>
      <x:c r="L75" s="35" t="n">
        <x:f>IFERROR((E75+F75)*I75*J75*K75/'参数'!$B$7,0)</x:f>
        <x:v>172800</x:v>
      </x:c>
      <x:c r="M75" s="33" t="s">
        <x:v>331</x:v>
      </x:c>
      <x:c r="N75" s="36" t="n">
        <x:f>IFERROR(XLOOKUP(C75,'渠道成本'!$A$5:$A$1004,'渠道成本'!$U$5:$U$1004),"")</x:f>
        <x:v>0.41506849315068495</x:v>
      </x:c>
      <x:c r="O75" s="36" t="n">
        <x:f>IFERROR(XLOOKUP(B75,'官方售价'!$A$5:$A$504,'官方售价'!$M$5:$M$504),"")</x:f>
        <x:v>3.150684931506849</x:v>
      </x:c>
      <x:c r="P75" s="36" t="n">
        <x:f>IF(M75="per_token",N75*L75/'参数'!$B$8,N75)</x:f>
        <x:v>0.41506849315068495</x:v>
      </x:c>
      <x:c r="Q75" s="36" t="n">
        <x:f>IFERROR(O75*D75,"")</x:f>
        <x:v>3.150684931506849</x:v>
      </x:c>
      <x:c r="R75" s="36" t="n">
        <x:f>IFERROR(Q75-P75,"")</x:f>
        <x:v>2.735616438356164</x:v>
      </x:c>
      <x:c r="S75" s="41" t="n">
        <x:f>IFERROR(R75/Q75,"")</x:f>
        <x:v>0.8682608695652174</x:v>
      </x:c>
      <x:c r="T75" s="33" t="s">
        <x:v>224</x:v>
      </x:c>
      <x:c r="U75" s="17" t="s">
        <x:v>1162</x:v>
      </x:c>
    </x:row>
    <x:row r="76" ht="26.350000381469727" customHeight="1">
      <x:c r="A76" s="29" t="s">
        <x:v>1233</x:v>
      </x:c>
      <x:c r="B76" s="29" t="s">
        <x:v>301</x:v>
      </x:c>
      <x:c r="C76" s="29" t="s">
        <x:v>462</x:v>
      </x:c>
      <x:c r="D76" s="40" t="s">
        <x:v>151</x:v>
      </x:c>
      <x:c r="E76" s="40">
        <x:v>4</x:v>
      </x:c>
      <x:c r="F76" s="40">
        <x:v>4</x:v>
      </x:c>
      <x:c r="G76" s="33" t="s">
        <x:v>244</x:v>
      </x:c>
      <x:c r="H76" s="33" t="s">
        <x:v>264</x:v>
      </x:c>
      <x:c r="I76" s="33" t="n">
        <x:f>IFERROR(XLOOKUP(G76,'模型SKU'!$A$5:$A$504,'模型SKU'!$E$5:$E$504),"")</x:f>
        <x:v>1280</x:v>
      </x:c>
      <x:c r="J76" s="33" t="n">
        <x:f>IFERROR(XLOOKUP(G76,'模型SKU'!$A$5:$A$504,'模型SKU'!$F$5:$F$504),"")</x:f>
        <x:v>720</x:v>
      </x:c>
      <x:c r="K76" s="33" t="n">
        <x:f>IFERROR(XLOOKUP(G76,'模型SKU'!$A$5:$A$504,'模型SKU'!$G$5:$G$504),"")</x:f>
        <x:v>24</x:v>
      </x:c>
      <x:c r="L76" s="35" t="n">
        <x:f>IFERROR((E76+F76)*I76*J76*K76/'参数'!$B$7,0)</x:f>
        <x:v>172800</x:v>
      </x:c>
      <x:c r="M76" s="33" t="s">
        <x:v>331</x:v>
      </x:c>
      <x:c r="N76" s="36" t="n">
        <x:f>IFERROR(XLOOKUP(C76,'渠道成本'!$A$5:$A$1004,'渠道成本'!$U$5:$U$1004),"")</x:f>
        <x:v>0.41506849315068495</x:v>
      </x:c>
      <x:c r="O76" s="36" t="n">
        <x:f>IFERROR(XLOOKUP(B76,'官方售价'!$A$5:$A$504,'官方售价'!$M$5:$M$504),"")</x:f>
        <x:v>1.917808219178082</x:v>
      </x:c>
      <x:c r="P76" s="36" t="n">
        <x:f>IF(M76="per_token",N76*L76/'参数'!$B$8,N76)</x:f>
        <x:v>0.41506849315068495</x:v>
      </x:c>
      <x:c r="Q76" s="36" t="n">
        <x:f>IFERROR(O76*D76,"")</x:f>
        <x:v>1.917808219178082</x:v>
      </x:c>
      <x:c r="R76" s="36" t="n">
        <x:f>IFERROR(Q76-P76,"")</x:f>
        <x:v>1.5027397260273971</x:v>
      </x:c>
      <x:c r="S76" s="41" t="n">
        <x:f>IFERROR(R76/Q76,"")</x:f>
        <x:v>0.7835714285714286</x:v>
      </x:c>
      <x:c r="T76" s="33" t="s">
        <x:v>224</x:v>
      </x:c>
      <x:c r="U76" s="17" t="s">
        <x:v>1162</x:v>
      </x:c>
    </x:row>
    <x:row r="77" ht="26.350000381469727" customHeight="1">
      <x:c r="A77" s="29" t="s">
        <x:v>1234</x:v>
      </x:c>
      <x:c r="B77" s="29" t="s">
        <x:v>267</x:v>
      </x:c>
      <x:c r="C77" s="29" t="s">
        <x:v>463</x:v>
      </x:c>
      <x:c r="D77" s="40" t="s">
        <x:v>151</x:v>
      </x:c>
      <x:c r="E77" s="40">
        <x:v>4</x:v>
      </x:c>
      <x:c r="F77" s="40">
        <x:v>4</x:v>
      </x:c>
      <x:c r="G77" s="33" t="s">
        <x:v>227</x:v>
      </x:c>
      <x:c r="H77" s="33" t="s">
        <x:v>258</x:v>
      </x:c>
      <x:c r="I77" s="33" t="n">
        <x:f>IFERROR(XLOOKUP(G77,'模型SKU'!$A$5:$A$504,'模型SKU'!$E$5:$E$504),"")</x:f>
        <x:v>864</x:v>
      </x:c>
      <x:c r="J77" s="33" t="n">
        <x:f>IFERROR(XLOOKUP(G77,'模型SKU'!$A$5:$A$504,'模型SKU'!$F$5:$F$504),"")</x:f>
        <x:v>496</x:v>
      </x:c>
      <x:c r="K77" s="33" t="n">
        <x:f>IFERROR(XLOOKUP(G77,'模型SKU'!$A$5:$A$504,'模型SKU'!$G$5:$G$504),"")</x:f>
        <x:v>24</x:v>
      </x:c>
      <x:c r="L77" s="35" t="n">
        <x:f>IFERROR((E77+F77)*I77*J77*K77/'参数'!$B$7,0)</x:f>
        <x:v>80352</x:v>
      </x:c>
      <x:c r="M77" s="33" t="s">
        <x:v>331</x:v>
      </x:c>
      <x:c r="N77" s="36" t="n">
        <x:f>IFERROR(XLOOKUP(C77,'渠道成本'!$A$5:$A$1004,'渠道成本'!$U$5:$U$1004),"")</x:f>
        <x:v>0.933904109589041</x:v>
      </x:c>
      <x:c r="O77" s="36" t="n">
        <x:f>IFERROR(XLOOKUP(B77,'官方售价'!$A$5:$A$504,'官方售价'!$M$5:$M$504),"")</x:f>
        <x:v>6.301369863013698</x:v>
      </x:c>
      <x:c r="P77" s="36" t="n">
        <x:f>IF(M77="per_token",N77*L77/'参数'!$B$8,N77)</x:f>
        <x:v>0.933904109589041</x:v>
      </x:c>
      <x:c r="Q77" s="36" t="n">
        <x:f>IFERROR(O77*D77,"")</x:f>
        <x:v>6.301369863013698</x:v>
      </x:c>
      <x:c r="R77" s="36" t="n">
        <x:f>IFERROR(Q77-P77,"")</x:f>
        <x:v>5.367465753424657</x:v>
      </x:c>
      <x:c r="S77" s="41" t="n">
        <x:f>IFERROR(R77/Q77,"")</x:f>
        <x:v>0.8517934782608696</x:v>
      </x:c>
      <x:c r="T77" s="33" t="s">
        <x:v>224</x:v>
      </x:c>
      <x:c r="U77" s="17" t="s">
        <x:v>1162</x:v>
      </x:c>
    </x:row>
    <x:row r="78" ht="26.350000381469727" customHeight="1">
      <x:c r="A78" s="29" t="s">
        <x:v>1235</x:v>
      </x:c>
      <x:c r="B78" s="29" t="s">
        <x:v>270</x:v>
      </x:c>
      <x:c r="C78" s="29" t="s">
        <x:v>467</x:v>
      </x:c>
      <x:c r="D78" s="40" t="s">
        <x:v>151</x:v>
      </x:c>
      <x:c r="E78" s="40">
        <x:v>4</x:v>
      </x:c>
      <x:c r="F78" s="40">
        <x:v>4</x:v>
      </x:c>
      <x:c r="G78" s="33" t="s">
        <x:v>227</x:v>
      </x:c>
      <x:c r="H78" s="33" t="s">
        <x:v>264</x:v>
      </x:c>
      <x:c r="I78" s="33" t="n">
        <x:f>IFERROR(XLOOKUP(G78,'模型SKU'!$A$5:$A$504,'模型SKU'!$E$5:$E$504),"")</x:f>
        <x:v>864</x:v>
      </x:c>
      <x:c r="J78" s="33" t="n">
        <x:f>IFERROR(XLOOKUP(G78,'模型SKU'!$A$5:$A$504,'模型SKU'!$F$5:$F$504),"")</x:f>
        <x:v>496</x:v>
      </x:c>
      <x:c r="K78" s="33" t="n">
        <x:f>IFERROR(XLOOKUP(G78,'模型SKU'!$A$5:$A$504,'模型SKU'!$G$5:$G$504),"")</x:f>
        <x:v>24</x:v>
      </x:c>
      <x:c r="L78" s="35" t="n">
        <x:f>IFERROR((E78+F78)*I78*J78*K78/'参数'!$B$7,0)</x:f>
        <x:v>80352</x:v>
      </x:c>
      <x:c r="M78" s="33" t="s">
        <x:v>331</x:v>
      </x:c>
      <x:c r="N78" s="36" t="n">
        <x:f>IFERROR(XLOOKUP(C78,'渠道成本'!$A$5:$A$1004,'渠道成本'!$U$5:$U$1004),"")</x:f>
        <x:v>0.933904109589041</x:v>
      </x:c>
      <x:c r="O78" s="36" t="n">
        <x:f>IFERROR(XLOOKUP(B78,'官方售价'!$A$5:$A$504,'官方售价'!$M$5:$M$504),"")</x:f>
        <x:v>3.835616438356164</x:v>
      </x:c>
      <x:c r="P78" s="36" t="n">
        <x:f>IF(M78="per_token",N78*L78/'参数'!$B$8,N78)</x:f>
        <x:v>0.933904109589041</x:v>
      </x:c>
      <x:c r="Q78" s="36" t="n">
        <x:f>IFERROR(O78*D78,"")</x:f>
        <x:v>3.835616438356164</x:v>
      </x:c>
      <x:c r="R78" s="36" t="n">
        <x:f>IFERROR(Q78-P78,"")</x:f>
        <x:v>2.901712328767123</x:v>
      </x:c>
      <x:c r="S78" s="41" t="n">
        <x:f>IFERROR(R78/Q78,"")</x:f>
        <x:v>0.7565178571428571</x:v>
      </x:c>
      <x:c r="T78" s="33" t="s">
        <x:v>224</x:v>
      </x:c>
      <x:c r="U78" s="17" t="s">
        <x:v>1162</x:v>
      </x:c>
    </x:row>
    <x:row r="79" ht="26.350000381469727" customHeight="1">
      <x:c r="A79" s="29" t="s">
        <x:v>1236</x:v>
      </x:c>
      <x:c r="B79" s="29" t="s">
        <x:v>279</x:v>
      </x:c>
      <x:c r="C79" s="29" t="s">
        <x:v>468</x:v>
      </x:c>
      <x:c r="D79" s="40" t="s">
        <x:v>151</x:v>
      </x:c>
      <x:c r="E79" s="40">
        <x:v>4</x:v>
      </x:c>
      <x:c r="F79" s="40">
        <x:v>4</x:v>
      </x:c>
      <x:c r="G79" s="33" t="s">
        <x:v>232</x:v>
      </x:c>
      <x:c r="H79" s="33" t="s">
        <x:v>258</x:v>
      </x:c>
      <x:c r="I79" s="33" t="n">
        <x:f>IFERROR(XLOOKUP(G79,'模型SKU'!$A$5:$A$504,'模型SKU'!$E$5:$E$504),"")</x:f>
        <x:v>1280</x:v>
      </x:c>
      <x:c r="J79" s="33" t="n">
        <x:f>IFERROR(XLOOKUP(G79,'模型SKU'!$A$5:$A$504,'模型SKU'!$F$5:$F$504),"")</x:f>
        <x:v>720</x:v>
      </x:c>
      <x:c r="K79" s="33" t="n">
        <x:f>IFERROR(XLOOKUP(G79,'模型SKU'!$A$5:$A$504,'模型SKU'!$G$5:$G$504),"")</x:f>
        <x:v>24</x:v>
      </x:c>
      <x:c r="L79" s="35" t="n">
        <x:f>IFERROR((E79+F79)*I79*J79*K79/'参数'!$B$7,0)</x:f>
        <x:v>172800</x:v>
      </x:c>
      <x:c r="M79" s="33" t="s">
        <x:v>331</x:v>
      </x:c>
      <x:c r="N79" s="36" t="n">
        <x:f>IFERROR(XLOOKUP(C79,'渠道成本'!$A$5:$A$1004,'渠道成本'!$U$5:$U$1004),"")</x:f>
        <x:v>1.1414383561643835</x:v>
      </x:c>
      <x:c r="O79" s="36" t="n">
        <x:f>IFERROR(XLOOKUP(B79,'官方售价'!$A$5:$A$504,'官方售价'!$M$5:$M$504),"")</x:f>
        <x:v>6.301369863013698</x:v>
      </x:c>
      <x:c r="P79" s="36" t="n">
        <x:f>IF(M79="per_token",N79*L79/'参数'!$B$8,N79)</x:f>
        <x:v>1.1414383561643835</x:v>
      </x:c>
      <x:c r="Q79" s="36" t="n">
        <x:f>IFERROR(O79*D79,"")</x:f>
        <x:v>6.301369863013698</x:v>
      </x:c>
      <x:c r="R79" s="36" t="n">
        <x:f>IFERROR(Q79-P79,"")</x:f>
        <x:v>5.159931506849315</x:v>
      </x:c>
      <x:c r="S79" s="41" t="n">
        <x:f>IFERROR(R79/Q79,"")</x:f>
        <x:v>0.818858695652174</x:v>
      </x:c>
      <x:c r="T79" s="33" t="s">
        <x:v>224</x:v>
      </x:c>
      <x:c r="U79" s="17" t="s">
        <x:v>1162</x:v>
      </x:c>
    </x:row>
    <x:row r="80" ht="26.350000381469727" customHeight="1">
      <x:c r="A80" s="29" t="s">
        <x:v>1237</x:v>
      </x:c>
      <x:c r="B80" s="29" t="s">
        <x:v>281</x:v>
      </x:c>
      <x:c r="C80" s="29" t="s">
        <x:v>472</x:v>
      </x:c>
      <x:c r="D80" s="40" t="s">
        <x:v>151</x:v>
      </x:c>
      <x:c r="E80" s="40">
        <x:v>4</x:v>
      </x:c>
      <x:c r="F80" s="40">
        <x:v>4</x:v>
      </x:c>
      <x:c r="G80" s="33" t="s">
        <x:v>232</x:v>
      </x:c>
      <x:c r="H80" s="33" t="s">
        <x:v>264</x:v>
      </x:c>
      <x:c r="I80" s="33" t="n">
        <x:f>IFERROR(XLOOKUP(G80,'模型SKU'!$A$5:$A$504,'模型SKU'!$E$5:$E$504),"")</x:f>
        <x:v>1280</x:v>
      </x:c>
      <x:c r="J80" s="33" t="n">
        <x:f>IFERROR(XLOOKUP(G80,'模型SKU'!$A$5:$A$504,'模型SKU'!$F$5:$F$504),"")</x:f>
        <x:v>720</x:v>
      </x:c>
      <x:c r="K80" s="33" t="n">
        <x:f>IFERROR(XLOOKUP(G80,'模型SKU'!$A$5:$A$504,'模型SKU'!$G$5:$G$504),"")</x:f>
        <x:v>24</x:v>
      </x:c>
      <x:c r="L80" s="35" t="n">
        <x:f>IFERROR((E80+F80)*I80*J80*K80/'参数'!$B$7,0)</x:f>
        <x:v>172800</x:v>
      </x:c>
      <x:c r="M80" s="33" t="s">
        <x:v>331</x:v>
      </x:c>
      <x:c r="N80" s="36" t="n">
        <x:f>IFERROR(XLOOKUP(C80,'渠道成本'!$A$5:$A$1004,'渠道成本'!$U$5:$U$1004),"")</x:f>
        <x:v>1.1414383561643835</x:v>
      </x:c>
      <x:c r="O80" s="36" t="n">
        <x:f>IFERROR(XLOOKUP(B80,'官方售价'!$A$5:$A$504,'官方售价'!$M$5:$M$504),"")</x:f>
        <x:v>3.835616438356164</x:v>
      </x:c>
      <x:c r="P80" s="36" t="n">
        <x:f>IF(M80="per_token",N80*L80/'参数'!$B$8,N80)</x:f>
        <x:v>1.1414383561643835</x:v>
      </x:c>
      <x:c r="Q80" s="36" t="n">
        <x:f>IFERROR(O80*D80,"")</x:f>
        <x:v>3.835616438356164</x:v>
      </x:c>
      <x:c r="R80" s="36" t="n">
        <x:f>IFERROR(Q80-P80,"")</x:f>
        <x:v>2.6941780821917805</x:v>
      </x:c>
      <x:c r="S80" s="41" t="n">
        <x:f>IFERROR(R80/Q80,"")</x:f>
        <x:v>0.7024107142857142</x:v>
      </x:c>
      <x:c r="T80" s="33" t="s">
        <x:v>224</x:v>
      </x:c>
      <x:c r="U80" s="17" t="s">
        <x:v>1162</x:v>
      </x:c>
    </x:row>
    <x:row r="81" ht="26.350000381469727" customHeight="1">
      <x:c r="A81" s="29" t="s">
        <x:v>1238</x:v>
      </x:c>
      <x:c r="B81" s="29" t="s">
        <x:v>267</x:v>
      </x:c>
      <x:c r="C81" s="29" t="s">
        <x:v>473</x:v>
      </x:c>
      <x:c r="D81" s="40" t="s">
        <x:v>151</x:v>
      </x:c>
      <x:c r="E81" s="40">
        <x:v>4</x:v>
      </x:c>
      <x:c r="F81" s="40">
        <x:v>4</x:v>
      </x:c>
      <x:c r="G81" s="33" t="s">
        <x:v>227</x:v>
      </x:c>
      <x:c r="H81" s="33" t="s">
        <x:v>258</x:v>
      </x:c>
      <x:c r="I81" s="33" t="n">
        <x:f>IFERROR(XLOOKUP(G81,'模型SKU'!$A$5:$A$504,'模型SKU'!$E$5:$E$504),"")</x:f>
        <x:v>864</x:v>
      </x:c>
      <x:c r="J81" s="33" t="n">
        <x:f>IFERROR(XLOOKUP(G81,'模型SKU'!$A$5:$A$504,'模型SKU'!$F$5:$F$504),"")</x:f>
        <x:v>496</x:v>
      </x:c>
      <x:c r="K81" s="33" t="n">
        <x:f>IFERROR(XLOOKUP(G81,'模型SKU'!$A$5:$A$504,'模型SKU'!$G$5:$G$504),"")</x:f>
        <x:v>24</x:v>
      </x:c>
      <x:c r="L81" s="35" t="n">
        <x:f>IFERROR((E81+F81)*I81*J81*K81/'参数'!$B$7,0)</x:f>
        <x:v>80352</x:v>
      </x:c>
      <x:c r="M81" s="33" t="s">
        <x:v>331</x:v>
      </x:c>
      <x:c r="N81" s="36" t="n">
        <x:f>IFERROR(XLOOKUP(C81,'渠道成本'!$A$5:$A$1004,'渠道成本'!$U$5:$U$1004),"")</x:f>
        <x:v>0.5342465753424657</x:v>
      </x:c>
      <x:c r="O81" s="36" t="n">
        <x:f>IFERROR(XLOOKUP(B81,'官方售价'!$A$5:$A$504,'官方售价'!$M$5:$M$504),"")</x:f>
        <x:v>6.301369863013698</x:v>
      </x:c>
      <x:c r="P81" s="36" t="n">
        <x:f>IF(M81="per_token",N81*L81/'参数'!$B$8,N81)</x:f>
        <x:v>0.5342465753424657</x:v>
      </x:c>
      <x:c r="Q81" s="36" t="n">
        <x:f>IFERROR(O81*D81,"")</x:f>
        <x:v>6.301369863013698</x:v>
      </x:c>
      <x:c r="R81" s="36" t="n">
        <x:f>IFERROR(Q81-P81,"")</x:f>
        <x:v>5.767123287671232</x:v>
      </x:c>
      <x:c r="S81" s="41" t="n">
        <x:f>IFERROR(R81/Q81,"")</x:f>
        <x:v>0.9152173913043479</x:v>
      </x:c>
      <x:c r="T81" s="33" t="s">
        <x:v>224</x:v>
      </x:c>
      <x:c r="U81" s="17" t="s">
        <x:v>1162</x:v>
      </x:c>
    </x:row>
    <x:row r="82" ht="26.350000381469727" customHeight="1">
      <x:c r="A82" s="29" t="s">
        <x:v>1239</x:v>
      </x:c>
      <x:c r="B82" s="29" t="s">
        <x:v>270</x:v>
      </x:c>
      <x:c r="C82" s="29" t="s">
        <x:v>476</x:v>
      </x:c>
      <x:c r="D82" s="40" t="s">
        <x:v>151</x:v>
      </x:c>
      <x:c r="E82" s="40">
        <x:v>4</x:v>
      </x:c>
      <x:c r="F82" s="40">
        <x:v>4</x:v>
      </x:c>
      <x:c r="G82" s="33" t="s">
        <x:v>227</x:v>
      </x:c>
      <x:c r="H82" s="33" t="s">
        <x:v>264</x:v>
      </x:c>
      <x:c r="I82" s="33" t="n">
        <x:f>IFERROR(XLOOKUP(G82,'模型SKU'!$A$5:$A$504,'模型SKU'!$E$5:$E$504),"")</x:f>
        <x:v>864</x:v>
      </x:c>
      <x:c r="J82" s="33" t="n">
        <x:f>IFERROR(XLOOKUP(G82,'模型SKU'!$A$5:$A$504,'模型SKU'!$F$5:$F$504),"")</x:f>
        <x:v>496</x:v>
      </x:c>
      <x:c r="K82" s="33" t="n">
        <x:f>IFERROR(XLOOKUP(G82,'模型SKU'!$A$5:$A$504,'模型SKU'!$G$5:$G$504),"")</x:f>
        <x:v>24</x:v>
      </x:c>
      <x:c r="L82" s="35" t="n">
        <x:f>IFERROR((E82+F82)*I82*J82*K82/'参数'!$B$7,0)</x:f>
        <x:v>80352</x:v>
      </x:c>
      <x:c r="M82" s="33" t="s">
        <x:v>331</x:v>
      </x:c>
      <x:c r="N82" s="36" t="n">
        <x:f>IFERROR(XLOOKUP(C82,'渠道成本'!$A$5:$A$1004,'渠道成本'!$U$5:$U$1004),"")</x:f>
        <x:v>0.5342465753424657</x:v>
      </x:c>
      <x:c r="O82" s="36" t="n">
        <x:f>IFERROR(XLOOKUP(B82,'官方售价'!$A$5:$A$504,'官方售价'!$M$5:$M$504),"")</x:f>
        <x:v>3.835616438356164</x:v>
      </x:c>
      <x:c r="P82" s="36" t="n">
        <x:f>IF(M82="per_token",N82*L82/'参数'!$B$8,N82)</x:f>
        <x:v>0.5342465753424657</x:v>
      </x:c>
      <x:c r="Q82" s="36" t="n">
        <x:f>IFERROR(O82*D82,"")</x:f>
        <x:v>3.835616438356164</x:v>
      </x:c>
      <x:c r="R82" s="36" t="n">
        <x:f>IFERROR(Q82-P82,"")</x:f>
        <x:v>3.3013698630136985</x:v>
      </x:c>
      <x:c r="S82" s="41" t="n">
        <x:f>IFERROR(R82/Q82,"")</x:f>
        <x:v>0.8607142857142858</x:v>
      </x:c>
      <x:c r="T82" s="33" t="s">
        <x:v>224</x:v>
      </x:c>
      <x:c r="U82" s="17" t="s">
        <x:v>1162</x:v>
      </x:c>
    </x:row>
    <x:row r="83" ht="26.350000381469727" customHeight="1">
      <x:c r="A83" s="29" t="s">
        <x:v>1240</x:v>
      </x:c>
      <x:c r="B83" s="29" t="s">
        <x:v>279</x:v>
      </x:c>
      <x:c r="C83" s="29" t="s">
        <x:v>477</x:v>
      </x:c>
      <x:c r="D83" s="40" t="s">
        <x:v>151</x:v>
      </x:c>
      <x:c r="E83" s="40">
        <x:v>4</x:v>
      </x:c>
      <x:c r="F83" s="40">
        <x:v>4</x:v>
      </x:c>
      <x:c r="G83" s="33" t="s">
        <x:v>232</x:v>
      </x:c>
      <x:c r="H83" s="33" t="s">
        <x:v>258</x:v>
      </x:c>
      <x:c r="I83" s="33" t="n">
        <x:f>IFERROR(XLOOKUP(G83,'模型SKU'!$A$5:$A$504,'模型SKU'!$E$5:$E$504),"")</x:f>
        <x:v>1280</x:v>
      </x:c>
      <x:c r="J83" s="33" t="n">
        <x:f>IFERROR(XLOOKUP(G83,'模型SKU'!$A$5:$A$504,'模型SKU'!$F$5:$F$504),"")</x:f>
        <x:v>720</x:v>
      </x:c>
      <x:c r="K83" s="33" t="n">
        <x:f>IFERROR(XLOOKUP(G83,'模型SKU'!$A$5:$A$504,'模型SKU'!$G$5:$G$504),"")</x:f>
        <x:v>24</x:v>
      </x:c>
      <x:c r="L83" s="35" t="n">
        <x:f>IFERROR((E83+F83)*I83*J83*K83/'参数'!$B$7,0)</x:f>
        <x:v>172800</x:v>
      </x:c>
      <x:c r="M83" s="33" t="s">
        <x:v>331</x:v>
      </x:c>
      <x:c r="N83" s="36" t="n">
        <x:f>IFERROR(XLOOKUP(C83,'渠道成本'!$A$5:$A$1004,'渠道成本'!$U$5:$U$1004),"")</x:f>
        <x:v>0.5342465753424657</x:v>
      </x:c>
      <x:c r="O83" s="36" t="n">
        <x:f>IFERROR(XLOOKUP(B83,'官方售价'!$A$5:$A$504,'官方售价'!$M$5:$M$504),"")</x:f>
        <x:v>6.301369863013698</x:v>
      </x:c>
      <x:c r="P83" s="36" t="n">
        <x:f>IF(M83="per_token",N83*L83/'参数'!$B$8,N83)</x:f>
        <x:v>0.5342465753424657</x:v>
      </x:c>
      <x:c r="Q83" s="36" t="n">
        <x:f>IFERROR(O83*D83,"")</x:f>
        <x:v>6.301369863013698</x:v>
      </x:c>
      <x:c r="R83" s="36" t="n">
        <x:f>IFERROR(Q83-P83,"")</x:f>
        <x:v>5.767123287671232</x:v>
      </x:c>
      <x:c r="S83" s="41" t="n">
        <x:f>IFERROR(R83/Q83,"")</x:f>
        <x:v>0.9152173913043479</x:v>
      </x:c>
      <x:c r="T83" s="33" t="s">
        <x:v>224</x:v>
      </x:c>
      <x:c r="U83" s="17" t="s">
        <x:v>1162</x:v>
      </x:c>
    </x:row>
    <x:row r="84" ht="26.350000381469727" customHeight="1">
      <x:c r="A84" s="29" t="s">
        <x:v>1241</x:v>
      </x:c>
      <x:c r="B84" s="29" t="s">
        <x:v>281</x:v>
      </x:c>
      <x:c r="C84" s="29" t="s">
        <x:v>478</x:v>
      </x:c>
      <x:c r="D84" s="40" t="s">
        <x:v>151</x:v>
      </x:c>
      <x:c r="E84" s="40">
        <x:v>4</x:v>
      </x:c>
      <x:c r="F84" s="40">
        <x:v>4</x:v>
      </x:c>
      <x:c r="G84" s="33" t="s">
        <x:v>232</x:v>
      </x:c>
      <x:c r="H84" s="33" t="s">
        <x:v>264</x:v>
      </x:c>
      <x:c r="I84" s="33" t="n">
        <x:f>IFERROR(XLOOKUP(G84,'模型SKU'!$A$5:$A$504,'模型SKU'!$E$5:$E$504),"")</x:f>
        <x:v>1280</x:v>
      </x:c>
      <x:c r="J84" s="33" t="n">
        <x:f>IFERROR(XLOOKUP(G84,'模型SKU'!$A$5:$A$504,'模型SKU'!$F$5:$F$504),"")</x:f>
        <x:v>720</x:v>
      </x:c>
      <x:c r="K84" s="33" t="n">
        <x:f>IFERROR(XLOOKUP(G84,'模型SKU'!$A$5:$A$504,'模型SKU'!$G$5:$G$504),"")</x:f>
        <x:v>24</x:v>
      </x:c>
      <x:c r="L84" s="35" t="n">
        <x:f>IFERROR((E84+F84)*I84*J84*K84/'参数'!$B$7,0)</x:f>
        <x:v>172800</x:v>
      </x:c>
      <x:c r="M84" s="33" t="s">
        <x:v>331</x:v>
      </x:c>
      <x:c r="N84" s="36" t="n">
        <x:f>IFERROR(XLOOKUP(C84,'渠道成本'!$A$5:$A$1004,'渠道成本'!$U$5:$U$1004),"")</x:f>
        <x:v>0.5342465753424657</x:v>
      </x:c>
      <x:c r="O84" s="36" t="n">
        <x:f>IFERROR(XLOOKUP(B84,'官方售价'!$A$5:$A$504,'官方售价'!$M$5:$M$504),"")</x:f>
        <x:v>3.835616438356164</x:v>
      </x:c>
      <x:c r="P84" s="36" t="n">
        <x:f>IF(M84="per_token",N84*L84/'参数'!$B$8,N84)</x:f>
        <x:v>0.5342465753424657</x:v>
      </x:c>
      <x:c r="Q84" s="36" t="n">
        <x:f>IFERROR(O84*D84,"")</x:f>
        <x:v>3.835616438356164</x:v>
      </x:c>
      <x:c r="R84" s="36" t="n">
        <x:f>IFERROR(Q84-P84,"")</x:f>
        <x:v>3.3013698630136985</x:v>
      </x:c>
      <x:c r="S84" s="41" t="n">
        <x:f>IFERROR(R84/Q84,"")</x:f>
        <x:v>0.8607142857142858</x:v>
      </x:c>
      <x:c r="T84" s="33" t="s">
        <x:v>224</x:v>
      </x:c>
      <x:c r="U84" s="17" t="s">
        <x:v>1162</x:v>
      </x:c>
    </x:row>
    <x:row r="85" ht="26.350000381469727" customHeight="1">
      <x:c r="A85" s="29" t="s">
        <x:v>1242</x:v>
      </x:c>
      <x:c r="B85" s="29" t="s">
        <x:v>267</x:v>
      </x:c>
      <x:c r="C85" s="29" t="s">
        <x:v>479</x:v>
      </x:c>
      <x:c r="D85" s="40" t="s">
        <x:v>151</x:v>
      </x:c>
      <x:c r="E85" s="40">
        <x:v>4</x:v>
      </x:c>
      <x:c r="F85" s="40">
        <x:v>4</x:v>
      </x:c>
      <x:c r="G85" s="33" t="s">
        <x:v>227</x:v>
      </x:c>
      <x:c r="H85" s="33" t="s">
        <x:v>258</x:v>
      </x:c>
      <x:c r="I85" s="33" t="n">
        <x:f>IFERROR(XLOOKUP(G85,'模型SKU'!$A$5:$A$504,'模型SKU'!$E$5:$E$504),"")</x:f>
        <x:v>864</x:v>
      </x:c>
      <x:c r="J85" s="33" t="n">
        <x:f>IFERROR(XLOOKUP(G85,'模型SKU'!$A$5:$A$504,'模型SKU'!$F$5:$F$504),"")</x:f>
        <x:v>496</x:v>
      </x:c>
      <x:c r="K85" s="33" t="n">
        <x:f>IFERROR(XLOOKUP(G85,'模型SKU'!$A$5:$A$504,'模型SKU'!$G$5:$G$504),"")</x:f>
        <x:v>24</x:v>
      </x:c>
      <x:c r="L85" s="35" t="n">
        <x:f>IFERROR((E85+F85)*I85*J85*K85/'参数'!$B$7,0)</x:f>
        <x:v>80352</x:v>
      </x:c>
      <x:c r="M85" s="33" t="s">
        <x:v>318</x:v>
      </x:c>
      <x:c r="N85" s="36" t="n">
        <x:f>IFERROR(XLOOKUP(C85,'渠道成本'!$A$5:$A$1004,'渠道成本'!$U$5:$U$1004),"")</x:f>
        <x:v>0.06164383561643835</x:v>
      </x:c>
      <x:c r="O85" s="36" t="n">
        <x:f>IFERROR(XLOOKUP(B85,'官方售价'!$A$5:$A$504,'官方售价'!$M$5:$M$504),"")</x:f>
        <x:v>6.301369863013698</x:v>
      </x:c>
      <x:c r="P85" s="36" t="n">
        <x:f>IF(M85="per_token",N85*L85/'参数'!$B$8,N85)</x:f>
        <x:v>0.06164383561643835</x:v>
      </x:c>
      <x:c r="Q85" s="36" t="n">
        <x:f>IFERROR(O85*D85,"")</x:f>
        <x:v>6.301369863013698</x:v>
      </x:c>
      <x:c r="R85" s="36" t="n">
        <x:f>IFERROR(Q85-P85,"")</x:f>
        <x:v>6.23972602739726</x:v>
      </x:c>
      <x:c r="S85" s="41" t="n">
        <x:f>IFERROR(R85/Q85,"")</x:f>
        <x:v>0.9902173913043478</x:v>
      </x:c>
      <x:c r="T85" s="33" t="s">
        <x:v>224</x:v>
      </x:c>
      <x:c r="U85" s="17" t="s">
        <x:v>1162</x:v>
      </x:c>
    </x:row>
    <x:row r="86" ht="26.350000381469727" customHeight="1">
      <x:c r="A86" s="29" t="s">
        <x:v>1243</x:v>
      </x:c>
      <x:c r="B86" s="29" t="s">
        <x:v>270</x:v>
      </x:c>
      <x:c r="C86" s="29" t="s">
        <x:v>483</x:v>
      </x:c>
      <x:c r="D86" s="40" t="s">
        <x:v>151</x:v>
      </x:c>
      <x:c r="E86" s="40">
        <x:v>4</x:v>
      </x:c>
      <x:c r="F86" s="40">
        <x:v>4</x:v>
      </x:c>
      <x:c r="G86" s="33" t="s">
        <x:v>227</x:v>
      </x:c>
      <x:c r="H86" s="33" t="s">
        <x:v>264</x:v>
      </x:c>
      <x:c r="I86" s="33" t="n">
        <x:f>IFERROR(XLOOKUP(G86,'模型SKU'!$A$5:$A$504,'模型SKU'!$E$5:$E$504),"")</x:f>
        <x:v>864</x:v>
      </x:c>
      <x:c r="J86" s="33" t="n">
        <x:f>IFERROR(XLOOKUP(G86,'模型SKU'!$A$5:$A$504,'模型SKU'!$F$5:$F$504),"")</x:f>
        <x:v>496</x:v>
      </x:c>
      <x:c r="K86" s="33" t="n">
        <x:f>IFERROR(XLOOKUP(G86,'模型SKU'!$A$5:$A$504,'模型SKU'!$G$5:$G$504),"")</x:f>
        <x:v>24</x:v>
      </x:c>
      <x:c r="L86" s="35" t="n">
        <x:f>IFERROR((E86+F86)*I86*J86*K86/'参数'!$B$7,0)</x:f>
        <x:v>80352</x:v>
      </x:c>
      <x:c r="M86" s="33" t="s">
        <x:v>318</x:v>
      </x:c>
      <x:c r="N86" s="36" t="n">
        <x:f>IFERROR(XLOOKUP(C86,'渠道成本'!$A$5:$A$1004,'渠道成本'!$U$5:$U$1004),"")</x:f>
        <x:v>0.06164383561643835</x:v>
      </x:c>
      <x:c r="O86" s="36" t="n">
        <x:f>IFERROR(XLOOKUP(B86,'官方售价'!$A$5:$A$504,'官方售价'!$M$5:$M$504),"")</x:f>
        <x:v>3.835616438356164</x:v>
      </x:c>
      <x:c r="P86" s="36" t="n">
        <x:f>IF(M86="per_token",N86*L86/'参数'!$B$8,N86)</x:f>
        <x:v>0.06164383561643835</x:v>
      </x:c>
      <x:c r="Q86" s="36" t="n">
        <x:f>IFERROR(O86*D86,"")</x:f>
        <x:v>3.835616438356164</x:v>
      </x:c>
      <x:c r="R86" s="36" t="n">
        <x:f>IFERROR(Q86-P86,"")</x:f>
        <x:v>3.773972602739726</x:v>
      </x:c>
      <x:c r="S86" s="41" t="n">
        <x:f>IFERROR(R86/Q86,"")</x:f>
        <x:v>0.9839285714285714</x:v>
      </x:c>
      <x:c r="T86" s="33" t="s">
        <x:v>224</x:v>
      </x:c>
      <x:c r="U86" s="17" t="s">
        <x:v>1162</x:v>
      </x:c>
    </x:row>
    <x:row r="87" ht="26.350000381469727" customHeight="1">
      <x:c r="A87" s="29" t="s">
        <x:v>1244</x:v>
      </x:c>
      <x:c r="B87" s="29" t="s">
        <x:v>279</x:v>
      </x:c>
      <x:c r="C87" s="29" t="s">
        <x:v>484</x:v>
      </x:c>
      <x:c r="D87" s="40" t="s">
        <x:v>151</x:v>
      </x:c>
      <x:c r="E87" s="40">
        <x:v>4</x:v>
      </x:c>
      <x:c r="F87" s="40">
        <x:v>4</x:v>
      </x:c>
      <x:c r="G87" s="33" t="s">
        <x:v>232</x:v>
      </x:c>
      <x:c r="H87" s="33" t="s">
        <x:v>258</x:v>
      </x:c>
      <x:c r="I87" s="33" t="n">
        <x:f>IFERROR(XLOOKUP(G87,'模型SKU'!$A$5:$A$504,'模型SKU'!$E$5:$E$504),"")</x:f>
        <x:v>1280</x:v>
      </x:c>
      <x:c r="J87" s="33" t="n">
        <x:f>IFERROR(XLOOKUP(G87,'模型SKU'!$A$5:$A$504,'模型SKU'!$F$5:$F$504),"")</x:f>
        <x:v>720</x:v>
      </x:c>
      <x:c r="K87" s="33" t="n">
        <x:f>IFERROR(XLOOKUP(G87,'模型SKU'!$A$5:$A$504,'模型SKU'!$G$5:$G$504),"")</x:f>
        <x:v>24</x:v>
      </x:c>
      <x:c r="L87" s="35" t="n">
        <x:f>IFERROR((E87+F87)*I87*J87*K87/'参数'!$B$7,0)</x:f>
        <x:v>172800</x:v>
      </x:c>
      <x:c r="M87" s="33" t="s">
        <x:v>318</x:v>
      </x:c>
      <x:c r="N87" s="36" t="n">
        <x:f>IFERROR(XLOOKUP(C87,'渠道成本'!$A$5:$A$1004,'渠道成本'!$U$5:$U$1004),"")</x:f>
        <x:v>0.13356164383561642</x:v>
      </x:c>
      <x:c r="O87" s="36" t="n">
        <x:f>IFERROR(XLOOKUP(B87,'官方售价'!$A$5:$A$504,'官方售价'!$M$5:$M$504),"")</x:f>
        <x:v>6.301369863013698</x:v>
      </x:c>
      <x:c r="P87" s="36" t="n">
        <x:f>IF(M87="per_token",N87*L87/'参数'!$B$8,N87)</x:f>
        <x:v>0.13356164383561642</x:v>
      </x:c>
      <x:c r="Q87" s="36" t="n">
        <x:f>IFERROR(O87*D87,"")</x:f>
        <x:v>6.301369863013698</x:v>
      </x:c>
      <x:c r="R87" s="36" t="n">
        <x:f>IFERROR(Q87-P87,"")</x:f>
        <x:v>6.167808219178082</x:v>
      </x:c>
      <x:c r="S87" s="41" t="n">
        <x:f>IFERROR(R87/Q87,"")</x:f>
        <x:v>0.9788043478260869</x:v>
      </x:c>
      <x:c r="T87" s="33" t="s">
        <x:v>224</x:v>
      </x:c>
      <x:c r="U87" s="17" t="s">
        <x:v>1162</x:v>
      </x:c>
    </x:row>
    <x:row r="88" ht="26.350000381469727" customHeight="1">
      <x:c r="A88" s="29" t="s">
        <x:v>1245</x:v>
      </x:c>
      <x:c r="B88" s="29" t="s">
        <x:v>281</x:v>
      </x:c>
      <x:c r="C88" s="29" t="s">
        <x:v>488</x:v>
      </x:c>
      <x:c r="D88" s="40" t="s">
        <x:v>151</x:v>
      </x:c>
      <x:c r="E88" s="40">
        <x:v>4</x:v>
      </x:c>
      <x:c r="F88" s="40">
        <x:v>4</x:v>
      </x:c>
      <x:c r="G88" s="33" t="s">
        <x:v>232</x:v>
      </x:c>
      <x:c r="H88" s="33" t="s">
        <x:v>264</x:v>
      </x:c>
      <x:c r="I88" s="33" t="n">
        <x:f>IFERROR(XLOOKUP(G88,'模型SKU'!$A$5:$A$504,'模型SKU'!$E$5:$E$504),"")</x:f>
        <x:v>1280</x:v>
      </x:c>
      <x:c r="J88" s="33" t="n">
        <x:f>IFERROR(XLOOKUP(G88,'模型SKU'!$A$5:$A$504,'模型SKU'!$F$5:$F$504),"")</x:f>
        <x:v>720</x:v>
      </x:c>
      <x:c r="K88" s="33" t="n">
        <x:f>IFERROR(XLOOKUP(G88,'模型SKU'!$A$5:$A$504,'模型SKU'!$G$5:$G$504),"")</x:f>
        <x:v>24</x:v>
      </x:c>
      <x:c r="L88" s="35" t="n">
        <x:f>IFERROR((E88+F88)*I88*J88*K88/'参数'!$B$7,0)</x:f>
        <x:v>172800</x:v>
      </x:c>
      <x:c r="M88" s="33" t="s">
        <x:v>318</x:v>
      </x:c>
      <x:c r="N88" s="36" t="n">
        <x:f>IFERROR(XLOOKUP(C88,'渠道成本'!$A$5:$A$1004,'渠道成本'!$U$5:$U$1004),"")</x:f>
        <x:v>0.13356164383561642</x:v>
      </x:c>
      <x:c r="O88" s="36" t="n">
        <x:f>IFERROR(XLOOKUP(B88,'官方售价'!$A$5:$A$504,'官方售价'!$M$5:$M$504),"")</x:f>
        <x:v>3.835616438356164</x:v>
      </x:c>
      <x:c r="P88" s="36" t="n">
        <x:f>IF(M88="per_token",N88*L88/'参数'!$B$8,N88)</x:f>
        <x:v>0.13356164383561642</x:v>
      </x:c>
      <x:c r="Q88" s="36" t="n">
        <x:f>IFERROR(O88*D88,"")</x:f>
        <x:v>3.835616438356164</x:v>
      </x:c>
      <x:c r="R88" s="36" t="n">
        <x:f>IFERROR(Q88-P88,"")</x:f>
        <x:v>3.7020547945205475</x:v>
      </x:c>
      <x:c r="S88" s="41" t="n">
        <x:f>IFERROR(R88/Q88,"")</x:f>
        <x:v>0.9651785714285713</x:v>
      </x:c>
      <x:c r="T88" s="33" t="s">
        <x:v>224</x:v>
      </x:c>
      <x:c r="U88" s="17" t="s">
        <x:v>1162</x:v>
      </x:c>
    </x:row>
    <x:row r="89" ht="26.350000381469727" customHeight="1">
      <x:c r="A89" s="29" t="s">
        <x:v>1246</x:v>
      </x:c>
      <x:c r="B89" s="29" t="s">
        <x:v>283</x:v>
      </x:c>
      <x:c r="C89" s="29" t="s">
        <x:v>489</x:v>
      </x:c>
      <x:c r="D89" s="40" t="s">
        <x:v>151</x:v>
      </x:c>
      <x:c r="E89" s="40">
        <x:v>4</x:v>
      </x:c>
      <x:c r="F89" s="40">
        <x:v>4</x:v>
      </x:c>
      <x:c r="G89" s="33" t="s">
        <x:v>234</x:v>
      </x:c>
      <x:c r="H89" s="33" t="s">
        <x:v>258</x:v>
      </x:c>
      <x:c r="I89" s="33" t="n">
        <x:f>IFERROR(XLOOKUP(G89,'模型SKU'!$A$5:$A$504,'模型SKU'!$E$5:$E$504),"")</x:f>
        <x:v>864</x:v>
      </x:c>
      <x:c r="J89" s="33" t="n">
        <x:f>IFERROR(XLOOKUP(G89,'模型SKU'!$A$5:$A$504,'模型SKU'!$F$5:$F$504),"")</x:f>
        <x:v>496</x:v>
      </x:c>
      <x:c r="K89" s="33" t="n">
        <x:f>IFERROR(XLOOKUP(G89,'模型SKU'!$A$5:$A$504,'模型SKU'!$G$5:$G$504),"")</x:f>
        <x:v>24</x:v>
      </x:c>
      <x:c r="L89" s="35" t="n">
        <x:f>IFERROR((E89+F89)*I89*J89*K89/'参数'!$B$7,0)</x:f>
        <x:v>80352</x:v>
      </x:c>
      <x:c r="M89" s="33" t="s">
        <x:v>331</x:v>
      </x:c>
      <x:c r="N89" s="36" t="n">
        <x:f>IFERROR(XLOOKUP(C89,'渠道成本'!$A$5:$A$1004,'渠道成本'!$U$5:$U$1004),"")</x:f>
        <x:v>0.3972602739726027</x:v>
      </x:c>
      <x:c r="O89" s="36" t="n">
        <x:f>IFERROR(XLOOKUP(B89,'官方售价'!$A$5:$A$504,'官方售价'!$M$5:$M$504),"")</x:f>
        <x:v>5.068493150684931</x:v>
      </x:c>
      <x:c r="P89" s="36" t="n">
        <x:f>IF(M89="per_token",N89*L89/'参数'!$B$8,N89)</x:f>
        <x:v>0.3972602739726027</x:v>
      </x:c>
      <x:c r="Q89" s="36" t="n">
        <x:f>IFERROR(O89*D89,"")</x:f>
        <x:v>5.068493150684931</x:v>
      </x:c>
      <x:c r="R89" s="36" t="n">
        <x:f>IFERROR(Q89-P89,"")</x:f>
        <x:v>4.671232876712328</x:v>
      </x:c>
      <x:c r="S89" s="41" t="n">
        <x:f>IFERROR(R89/Q89,"")</x:f>
        <x:v>0.9216216216216215</x:v>
      </x:c>
      <x:c r="T89" s="33" t="s">
        <x:v>224</x:v>
      </x:c>
      <x:c r="U89" s="17" t="s">
        <x:v>1162</x:v>
      </x:c>
    </x:row>
    <x:row r="90" ht="26.350000381469727" customHeight="1">
      <x:c r="A90" s="29" t="s">
        <x:v>1247</x:v>
      </x:c>
      <x:c r="B90" s="29" t="s">
        <x:v>286</x:v>
      </x:c>
      <x:c r="C90" s="29" t="s">
        <x:v>491</x:v>
      </x:c>
      <x:c r="D90" s="40" t="s">
        <x:v>151</x:v>
      </x:c>
      <x:c r="E90" s="40">
        <x:v>4</x:v>
      </x:c>
      <x:c r="F90" s="40">
        <x:v>4</x:v>
      </x:c>
      <x:c r="G90" s="33" t="s">
        <x:v>234</x:v>
      </x:c>
      <x:c r="H90" s="33" t="s">
        <x:v>264</x:v>
      </x:c>
      <x:c r="I90" s="33" t="n">
        <x:f>IFERROR(XLOOKUP(G90,'模型SKU'!$A$5:$A$504,'模型SKU'!$E$5:$E$504),"")</x:f>
        <x:v>864</x:v>
      </x:c>
      <x:c r="J90" s="33" t="n">
        <x:f>IFERROR(XLOOKUP(G90,'模型SKU'!$A$5:$A$504,'模型SKU'!$F$5:$F$504),"")</x:f>
        <x:v>496</x:v>
      </x:c>
      <x:c r="K90" s="33" t="n">
        <x:f>IFERROR(XLOOKUP(G90,'模型SKU'!$A$5:$A$504,'模型SKU'!$G$5:$G$504),"")</x:f>
        <x:v>24</x:v>
      </x:c>
      <x:c r="L90" s="35" t="n">
        <x:f>IFERROR((E90+F90)*I90*J90*K90/'参数'!$B$7,0)</x:f>
        <x:v>80352</x:v>
      </x:c>
      <x:c r="M90" s="33" t="s">
        <x:v>331</x:v>
      </x:c>
      <x:c r="N90" s="36" t="n">
        <x:f>IFERROR(XLOOKUP(C90,'渠道成本'!$A$5:$A$1004,'渠道成本'!$U$5:$U$1004),"")</x:f>
        <x:v>0.3972602739726027</x:v>
      </x:c>
      <x:c r="O90" s="36" t="n">
        <x:f>IFERROR(XLOOKUP(B90,'官方售价'!$A$5:$A$504,'官方售价'!$M$5:$M$504),"")</x:f>
        <x:v>3.013698630136986</x:v>
      </x:c>
      <x:c r="P90" s="36" t="n">
        <x:f>IF(M90="per_token",N90*L90/'参数'!$B$8,N90)</x:f>
        <x:v>0.3972602739726027</x:v>
      </x:c>
      <x:c r="Q90" s="36" t="n">
        <x:f>IFERROR(O90*D90,"")</x:f>
        <x:v>3.013698630136986</x:v>
      </x:c>
      <x:c r="R90" s="36" t="n">
        <x:f>IFERROR(Q90-P90,"")</x:f>
        <x:v>2.6164383561643834</x:v>
      </x:c>
      <x:c r="S90" s="41" t="n">
        <x:f>IFERROR(R90/Q90,"")</x:f>
        <x:v>0.8681818181818183</x:v>
      </x:c>
      <x:c r="T90" s="33" t="s">
        <x:v>224</x:v>
      </x:c>
      <x:c r="U90" s="17" t="s">
        <x:v>1162</x:v>
      </x:c>
    </x:row>
    <x:row r="91" ht="26.350000381469727" customHeight="1">
      <x:c r="A91" s="29" t="s">
        <x:v>1248</x:v>
      </x:c>
      <x:c r="B91" s="29" t="s">
        <x:v>289</x:v>
      </x:c>
      <x:c r="C91" s="29" t="s">
        <x:v>492</x:v>
      </x:c>
      <x:c r="D91" s="40" t="s">
        <x:v>151</x:v>
      </x:c>
      <x:c r="E91" s="40">
        <x:v>4</x:v>
      </x:c>
      <x:c r="F91" s="40">
        <x:v>4</x:v>
      </x:c>
      <x:c r="G91" s="33" t="s">
        <x:v>238</x:v>
      </x:c>
      <x:c r="H91" s="33" t="s">
        <x:v>258</x:v>
      </x:c>
      <x:c r="I91" s="33" t="n">
        <x:f>IFERROR(XLOOKUP(G91,'模型SKU'!$A$5:$A$504,'模型SKU'!$E$5:$E$504),"")</x:f>
        <x:v>1280</x:v>
      </x:c>
      <x:c r="J91" s="33" t="n">
        <x:f>IFERROR(XLOOKUP(G91,'模型SKU'!$A$5:$A$504,'模型SKU'!$F$5:$F$504),"")</x:f>
        <x:v>720</x:v>
      </x:c>
      <x:c r="K91" s="33" t="n">
        <x:f>IFERROR(XLOOKUP(G91,'模型SKU'!$A$5:$A$504,'模型SKU'!$G$5:$G$504),"")</x:f>
        <x:v>24</x:v>
      </x:c>
      <x:c r="L91" s="35" t="n">
        <x:f>IFERROR((E91+F91)*I91*J91*K91/'参数'!$B$7,0)</x:f>
        <x:v>172800</x:v>
      </x:c>
      <x:c r="M91" s="33" t="s">
        <x:v>331</x:v>
      </x:c>
      <x:c r="N91" s="36" t="n">
        <x:f>IFERROR(XLOOKUP(C91,'渠道成本'!$A$5:$A$1004,'渠道成本'!$U$5:$U$1004),"")</x:f>
        <x:v>0.3972602739726027</x:v>
      </x:c>
      <x:c r="O91" s="36" t="n">
        <x:f>IFERROR(XLOOKUP(B91,'官方售价'!$A$5:$A$504,'官方售价'!$M$5:$M$504),"")</x:f>
        <x:v>5.068493150684931</x:v>
      </x:c>
      <x:c r="P91" s="36" t="n">
        <x:f>IF(M91="per_token",N91*L91/'参数'!$B$8,N91)</x:f>
        <x:v>0.3972602739726027</x:v>
      </x:c>
      <x:c r="Q91" s="36" t="n">
        <x:f>IFERROR(O91*D91,"")</x:f>
        <x:v>5.068493150684931</x:v>
      </x:c>
      <x:c r="R91" s="36" t="n">
        <x:f>IFERROR(Q91-P91,"")</x:f>
        <x:v>4.671232876712328</x:v>
      </x:c>
      <x:c r="S91" s="41" t="n">
        <x:f>IFERROR(R91/Q91,"")</x:f>
        <x:v>0.9216216216216215</x:v>
      </x:c>
      <x:c r="T91" s="33" t="s">
        <x:v>224</x:v>
      </x:c>
      <x:c r="U91" s="17" t="s">
        <x:v>1162</x:v>
      </x:c>
    </x:row>
    <x:row r="92" ht="26.350000381469727" customHeight="1">
      <x:c r="A92" s="29" t="s">
        <x:v>1249</x:v>
      </x:c>
      <x:c r="B92" s="29" t="s">
        <x:v>291</x:v>
      </x:c>
      <x:c r="C92" s="29" t="s">
        <x:v>493</x:v>
      </x:c>
      <x:c r="D92" s="40" t="s">
        <x:v>151</x:v>
      </x:c>
      <x:c r="E92" s="40">
        <x:v>4</x:v>
      </x:c>
      <x:c r="F92" s="40">
        <x:v>4</x:v>
      </x:c>
      <x:c r="G92" s="33" t="s">
        <x:v>238</x:v>
      </x:c>
      <x:c r="H92" s="33" t="s">
        <x:v>264</x:v>
      </x:c>
      <x:c r="I92" s="33" t="n">
        <x:f>IFERROR(XLOOKUP(G92,'模型SKU'!$A$5:$A$504,'模型SKU'!$E$5:$E$504),"")</x:f>
        <x:v>1280</x:v>
      </x:c>
      <x:c r="J92" s="33" t="n">
        <x:f>IFERROR(XLOOKUP(G92,'模型SKU'!$A$5:$A$504,'模型SKU'!$F$5:$F$504),"")</x:f>
        <x:v>720</x:v>
      </x:c>
      <x:c r="K92" s="33" t="n">
        <x:f>IFERROR(XLOOKUP(G92,'模型SKU'!$A$5:$A$504,'模型SKU'!$G$5:$G$504),"")</x:f>
        <x:v>24</x:v>
      </x:c>
      <x:c r="L92" s="35" t="n">
        <x:f>IFERROR((E92+F92)*I92*J92*K92/'参数'!$B$7,0)</x:f>
        <x:v>172800</x:v>
      </x:c>
      <x:c r="M92" s="33" t="s">
        <x:v>331</x:v>
      </x:c>
      <x:c r="N92" s="36" t="n">
        <x:f>IFERROR(XLOOKUP(C92,'渠道成本'!$A$5:$A$1004,'渠道成本'!$U$5:$U$1004),"")</x:f>
        <x:v>0.3972602739726027</x:v>
      </x:c>
      <x:c r="O92" s="36" t="n">
        <x:f>IFERROR(XLOOKUP(B92,'官方售价'!$A$5:$A$504,'官方售价'!$M$5:$M$504),"")</x:f>
        <x:v>3.013698630136986</x:v>
      </x:c>
      <x:c r="P92" s="36" t="n">
        <x:f>IF(M92="per_token",N92*L92/'参数'!$B$8,N92)</x:f>
        <x:v>0.3972602739726027</x:v>
      </x:c>
      <x:c r="Q92" s="36" t="n">
        <x:f>IFERROR(O92*D92,"")</x:f>
        <x:v>3.013698630136986</x:v>
      </x:c>
      <x:c r="R92" s="36" t="n">
        <x:f>IFERROR(Q92-P92,"")</x:f>
        <x:v>2.6164383561643834</x:v>
      </x:c>
      <x:c r="S92" s="41" t="n">
        <x:f>IFERROR(R92/Q92,"")</x:f>
        <x:v>0.8681818181818183</x:v>
      </x:c>
      <x:c r="T92" s="33" t="s">
        <x:v>224</x:v>
      </x:c>
      <x:c r="U92" s="17" t="s">
        <x:v>1162</x:v>
      </x:c>
    </x:row>
    <x:row r="93" ht="26.350000381469727" customHeight="1">
      <x:c r="A93" s="29" t="s">
        <x:v>1250</x:v>
      </x:c>
      <x:c r="B93" s="29" t="s">
        <x:v>293</x:v>
      </x:c>
      <x:c r="C93" s="29" t="s">
        <x:v>494</x:v>
      </x:c>
      <x:c r="D93" s="40" t="s">
        <x:v>151</x:v>
      </x:c>
      <x:c r="E93" s="40">
        <x:v>4</x:v>
      </x:c>
      <x:c r="F93" s="40">
        <x:v>4</x:v>
      </x:c>
      <x:c r="G93" s="33" t="s">
        <x:v>240</x:v>
      </x:c>
      <x:c r="H93" s="33" t="s">
        <x:v>258</x:v>
      </x:c>
      <x:c r="I93" s="33" t="n">
        <x:f>IFERROR(XLOOKUP(G93,'模型SKU'!$A$5:$A$504,'模型SKU'!$E$5:$E$504),"")</x:f>
        <x:v>864</x:v>
      </x:c>
      <x:c r="J93" s="33" t="n">
        <x:f>IFERROR(XLOOKUP(G93,'模型SKU'!$A$5:$A$504,'模型SKU'!$F$5:$F$504),"")</x:f>
        <x:v>496</x:v>
      </x:c>
      <x:c r="K93" s="33" t="n">
        <x:f>IFERROR(XLOOKUP(G93,'模型SKU'!$A$5:$A$504,'模型SKU'!$G$5:$G$504),"")</x:f>
        <x:v>24</x:v>
      </x:c>
      <x:c r="L93" s="35" t="n">
        <x:f>IFERROR((E93+F93)*I93*J93*K93/'参数'!$B$7,0)</x:f>
        <x:v>80352</x:v>
      </x:c>
      <x:c r="M93" s="33" t="s">
        <x:v>331</x:v>
      </x:c>
      <x:c r="N93" s="36" t="n">
        <x:f>IFERROR(XLOOKUP(C93,'渠道成本'!$A$5:$A$1004,'渠道成本'!$U$5:$U$1004),"")</x:f>
        <x:v>0.3287671232876712</x:v>
      </x:c>
      <x:c r="O93" s="36" t="n">
        <x:f>IFERROR(XLOOKUP(B93,'官方售价'!$A$5:$A$504,'官方售价'!$M$5:$M$504),"")</x:f>
        <x:v>3.150684931506849</x:v>
      </x:c>
      <x:c r="P93" s="36" t="n">
        <x:f>IF(M93="per_token",N93*L93/'参数'!$B$8,N93)</x:f>
        <x:v>0.3287671232876712</x:v>
      </x:c>
      <x:c r="Q93" s="36" t="n">
        <x:f>IFERROR(O93*D93,"")</x:f>
        <x:v>3.150684931506849</x:v>
      </x:c>
      <x:c r="R93" s="36" t="n">
        <x:f>IFERROR(Q93-P93,"")</x:f>
        <x:v>2.821917808219178</x:v>
      </x:c>
      <x:c r="S93" s="41" t="n">
        <x:f>IFERROR(R93/Q93,"")</x:f>
        <x:v>0.8956521739130435</x:v>
      </x:c>
      <x:c r="T93" s="33" t="s">
        <x:v>224</x:v>
      </x:c>
      <x:c r="U93" s="17" t="s">
        <x:v>1162</x:v>
      </x:c>
    </x:row>
    <x:row r="94" ht="26.350000381469727" customHeight="1">
      <x:c r="A94" s="29" t="s">
        <x:v>1251</x:v>
      </x:c>
      <x:c r="B94" s="29" t="s">
        <x:v>296</x:v>
      </x:c>
      <x:c r="C94" s="29" t="s">
        <x:v>497</x:v>
      </x:c>
      <x:c r="D94" s="40" t="s">
        <x:v>151</x:v>
      </x:c>
      <x:c r="E94" s="40">
        <x:v>4</x:v>
      </x:c>
      <x:c r="F94" s="40">
        <x:v>4</x:v>
      </x:c>
      <x:c r="G94" s="33" t="s">
        <x:v>240</x:v>
      </x:c>
      <x:c r="H94" s="33" t="s">
        <x:v>264</x:v>
      </x:c>
      <x:c r="I94" s="33" t="n">
        <x:f>IFERROR(XLOOKUP(G94,'模型SKU'!$A$5:$A$504,'模型SKU'!$E$5:$E$504),"")</x:f>
        <x:v>864</x:v>
      </x:c>
      <x:c r="J94" s="33" t="n">
        <x:f>IFERROR(XLOOKUP(G94,'模型SKU'!$A$5:$A$504,'模型SKU'!$F$5:$F$504),"")</x:f>
        <x:v>496</x:v>
      </x:c>
      <x:c r="K94" s="33" t="n">
        <x:f>IFERROR(XLOOKUP(G94,'模型SKU'!$A$5:$A$504,'模型SKU'!$G$5:$G$504),"")</x:f>
        <x:v>24</x:v>
      </x:c>
      <x:c r="L94" s="35" t="n">
        <x:f>IFERROR((E94+F94)*I94*J94*K94/'参数'!$B$7,0)</x:f>
        <x:v>80352</x:v>
      </x:c>
      <x:c r="M94" s="33" t="s">
        <x:v>331</x:v>
      </x:c>
      <x:c r="N94" s="36" t="n">
        <x:f>IFERROR(XLOOKUP(C94,'渠道成本'!$A$5:$A$1004,'渠道成本'!$U$5:$U$1004),"")</x:f>
        <x:v>0.3287671232876712</x:v>
      </x:c>
      <x:c r="O94" s="36" t="n">
        <x:f>IFERROR(XLOOKUP(B94,'官方售价'!$A$5:$A$504,'官方售价'!$M$5:$M$504),"")</x:f>
        <x:v>1.917808219178082</x:v>
      </x:c>
      <x:c r="P94" s="36" t="n">
        <x:f>IF(M94="per_token",N94*L94/'参数'!$B$8,N94)</x:f>
        <x:v>0.3287671232876712</x:v>
      </x:c>
      <x:c r="Q94" s="36" t="n">
        <x:f>IFERROR(O94*D94,"")</x:f>
        <x:v>1.917808219178082</x:v>
      </x:c>
      <x:c r="R94" s="36" t="n">
        <x:f>IFERROR(Q94-P94,"")</x:f>
        <x:v>1.5890410958904109</x:v>
      </x:c>
      <x:c r="S94" s="41" t="n">
        <x:f>IFERROR(R94/Q94,"")</x:f>
        <x:v>0.8285714285714286</x:v>
      </x:c>
      <x:c r="T94" s="33" t="s">
        <x:v>224</x:v>
      </x:c>
      <x:c r="U94" s="17" t="s">
        <x:v>1162</x:v>
      </x:c>
    </x:row>
    <x:row r="95" ht="26.350000381469727" customHeight="1">
      <x:c r="A95" s="29" t="s">
        <x:v>1252</x:v>
      </x:c>
      <x:c r="B95" s="29" t="s">
        <x:v>299</x:v>
      </x:c>
      <x:c r="C95" s="29" t="s">
        <x:v>498</x:v>
      </x:c>
      <x:c r="D95" s="40" t="s">
        <x:v>151</x:v>
      </x:c>
      <x:c r="E95" s="40">
        <x:v>4</x:v>
      </x:c>
      <x:c r="F95" s="40">
        <x:v>4</x:v>
      </x:c>
      <x:c r="G95" s="33" t="s">
        <x:v>244</x:v>
      </x:c>
      <x:c r="H95" s="33" t="s">
        <x:v>258</x:v>
      </x:c>
      <x:c r="I95" s="33" t="n">
        <x:f>IFERROR(XLOOKUP(G95,'模型SKU'!$A$5:$A$504,'模型SKU'!$E$5:$E$504),"")</x:f>
        <x:v>1280</x:v>
      </x:c>
      <x:c r="J95" s="33" t="n">
        <x:f>IFERROR(XLOOKUP(G95,'模型SKU'!$A$5:$A$504,'模型SKU'!$F$5:$F$504),"")</x:f>
        <x:v>720</x:v>
      </x:c>
      <x:c r="K95" s="33" t="n">
        <x:f>IFERROR(XLOOKUP(G95,'模型SKU'!$A$5:$A$504,'模型SKU'!$G$5:$G$504),"")</x:f>
        <x:v>24</x:v>
      </x:c>
      <x:c r="L95" s="35" t="n">
        <x:f>IFERROR((E95+F95)*I95*J95*K95/'参数'!$B$7,0)</x:f>
        <x:v>172800</x:v>
      </x:c>
      <x:c r="M95" s="33" t="s">
        <x:v>331</x:v>
      </x:c>
      <x:c r="N95" s="36" t="n">
        <x:f>IFERROR(XLOOKUP(C95,'渠道成本'!$A$5:$A$1004,'渠道成本'!$U$5:$U$1004),"")</x:f>
        <x:v>0.3287671232876712</x:v>
      </x:c>
      <x:c r="O95" s="36" t="n">
        <x:f>IFERROR(XLOOKUP(B95,'官方售价'!$A$5:$A$504,'官方售价'!$M$5:$M$504),"")</x:f>
        <x:v>3.150684931506849</x:v>
      </x:c>
      <x:c r="P95" s="36" t="n">
        <x:f>IF(M95="per_token",N95*L95/'参数'!$B$8,N95)</x:f>
        <x:v>0.3287671232876712</x:v>
      </x:c>
      <x:c r="Q95" s="36" t="n">
        <x:f>IFERROR(O95*D95,"")</x:f>
        <x:v>3.150684931506849</x:v>
      </x:c>
      <x:c r="R95" s="36" t="n">
        <x:f>IFERROR(Q95-P95,"")</x:f>
        <x:v>2.821917808219178</x:v>
      </x:c>
      <x:c r="S95" s="41" t="n">
        <x:f>IFERROR(R95/Q95,"")</x:f>
        <x:v>0.8956521739130435</x:v>
      </x:c>
      <x:c r="T95" s="33" t="s">
        <x:v>224</x:v>
      </x:c>
      <x:c r="U95" s="17" t="s">
        <x:v>1162</x:v>
      </x:c>
    </x:row>
    <x:row r="96" ht="26.350000381469727" customHeight="1">
      <x:c r="A96" s="29" t="s">
        <x:v>1253</x:v>
      </x:c>
      <x:c r="B96" s="29" t="s">
        <x:v>301</x:v>
      </x:c>
      <x:c r="C96" s="29" t="s">
        <x:v>499</x:v>
      </x:c>
      <x:c r="D96" s="40" t="s">
        <x:v>151</x:v>
      </x:c>
      <x:c r="E96" s="40">
        <x:v>4</x:v>
      </x:c>
      <x:c r="F96" s="40">
        <x:v>4</x:v>
      </x:c>
      <x:c r="G96" s="33" t="s">
        <x:v>244</x:v>
      </x:c>
      <x:c r="H96" s="33" t="s">
        <x:v>264</x:v>
      </x:c>
      <x:c r="I96" s="33" t="n">
        <x:f>IFERROR(XLOOKUP(G96,'模型SKU'!$A$5:$A$504,'模型SKU'!$E$5:$E$504),"")</x:f>
        <x:v>1280</x:v>
      </x:c>
      <x:c r="J96" s="33" t="n">
        <x:f>IFERROR(XLOOKUP(G96,'模型SKU'!$A$5:$A$504,'模型SKU'!$F$5:$F$504),"")</x:f>
        <x:v>720</x:v>
      </x:c>
      <x:c r="K96" s="33" t="n">
        <x:f>IFERROR(XLOOKUP(G96,'模型SKU'!$A$5:$A$504,'模型SKU'!$G$5:$G$504),"")</x:f>
        <x:v>24</x:v>
      </x:c>
      <x:c r="L96" s="35" t="n">
        <x:f>IFERROR((E96+F96)*I96*J96*K96/'参数'!$B$7,0)</x:f>
        <x:v>172800</x:v>
      </x:c>
      <x:c r="M96" s="33" t="s">
        <x:v>331</x:v>
      </x:c>
      <x:c r="N96" s="36" t="n">
        <x:f>IFERROR(XLOOKUP(C96,'渠道成本'!$A$5:$A$1004,'渠道成本'!$U$5:$U$1004),"")</x:f>
        <x:v>0.3287671232876712</x:v>
      </x:c>
      <x:c r="O96" s="36" t="n">
        <x:f>IFERROR(XLOOKUP(B96,'官方售价'!$A$5:$A$504,'官方售价'!$M$5:$M$504),"")</x:f>
        <x:v>1.917808219178082</x:v>
      </x:c>
      <x:c r="P96" s="36" t="n">
        <x:f>IF(M96="per_token",N96*L96/'参数'!$B$8,N96)</x:f>
        <x:v>0.3287671232876712</x:v>
      </x:c>
      <x:c r="Q96" s="36" t="n">
        <x:f>IFERROR(O96*D96,"")</x:f>
        <x:v>1.917808219178082</x:v>
      </x:c>
      <x:c r="R96" s="36" t="n">
        <x:f>IFERROR(Q96-P96,"")</x:f>
        <x:v>1.5890410958904109</x:v>
      </x:c>
      <x:c r="S96" s="41" t="n">
        <x:f>IFERROR(R96/Q96,"")</x:f>
        <x:v>0.8285714285714286</x:v>
      </x:c>
      <x:c r="T96" s="33" t="s">
        <x:v>224</x:v>
      </x:c>
      <x:c r="U96" s="17" t="s">
        <x:v>1162</x:v>
      </x:c>
    </x:row>
    <x:row r="97" ht="26.350000381469727" customHeight="1">
      <x:c r="A97" s="29" t="s">
        <x:v>1254</x:v>
      </x:c>
      <x:c r="B97" s="29" t="s">
        <x:v>283</x:v>
      </x:c>
      <x:c r="C97" s="29" t="s">
        <x:v>500</x:v>
      </x:c>
      <x:c r="D97" s="40" t="s">
        <x:v>151</x:v>
      </x:c>
      <x:c r="E97" s="40">
        <x:v>4</x:v>
      </x:c>
      <x:c r="F97" s="40">
        <x:v>4</x:v>
      </x:c>
      <x:c r="G97" s="33" t="s">
        <x:v>234</x:v>
      </x:c>
      <x:c r="H97" s="33" t="s">
        <x:v>258</x:v>
      </x:c>
      <x:c r="I97" s="33" t="n">
        <x:f>IFERROR(XLOOKUP(G97,'模型SKU'!$A$5:$A$504,'模型SKU'!$E$5:$E$504),"")</x:f>
        <x:v>864</x:v>
      </x:c>
      <x:c r="J97" s="33" t="n">
        <x:f>IFERROR(XLOOKUP(G97,'模型SKU'!$A$5:$A$504,'模型SKU'!$F$5:$F$504),"")</x:f>
        <x:v>496</x:v>
      </x:c>
      <x:c r="K97" s="33" t="n">
        <x:f>IFERROR(XLOOKUP(G97,'模型SKU'!$A$5:$A$504,'模型SKU'!$G$5:$G$504),"")</x:f>
        <x:v>24</x:v>
      </x:c>
      <x:c r="L97" s="35" t="n">
        <x:f>IFERROR((E97+F97)*I97*J97*K97/'参数'!$B$7,0)</x:f>
        <x:v>80352</x:v>
      </x:c>
      <x:c r="M97" s="33" t="s">
        <x:v>318</x:v>
      </x:c>
      <x:c r="N97" s="36" t="n">
        <x:f>IFERROR(XLOOKUP(C97,'渠道成本'!$A$5:$A$1004,'渠道成本'!$U$5:$U$1004),"")</x:f>
        <x:v>0.03424657534246575</x:v>
      </x:c>
      <x:c r="O97" s="36" t="n">
        <x:f>IFERROR(XLOOKUP(B97,'官方售价'!$A$5:$A$504,'官方售价'!$M$5:$M$504),"")</x:f>
        <x:v>5.068493150684931</x:v>
      </x:c>
      <x:c r="P97" s="36" t="n">
        <x:f>IF(M97="per_token",N97*L97/'参数'!$B$8,N97)</x:f>
        <x:v>0.03424657534246575</x:v>
      </x:c>
      <x:c r="Q97" s="36" t="n">
        <x:f>IFERROR(O97*D97,"")</x:f>
        <x:v>5.068493150684931</x:v>
      </x:c>
      <x:c r="R97" s="36" t="n">
        <x:f>IFERROR(Q97-P97,"")</x:f>
        <x:v>5.034246575342466</x:v>
      </x:c>
      <x:c r="S97" s="41" t="n">
        <x:f>IFERROR(R97/Q97,"")</x:f>
        <x:v>0.9932432432432433</x:v>
      </x:c>
      <x:c r="T97" s="33" t="s">
        <x:v>224</x:v>
      </x:c>
      <x:c r="U97" s="17" t="s">
        <x:v>1162</x:v>
      </x:c>
    </x:row>
    <x:row r="98" ht="26.350000381469727" customHeight="1">
      <x:c r="A98" s="29" t="s">
        <x:v>1255</x:v>
      </x:c>
      <x:c r="B98" s="29" t="s">
        <x:v>286</x:v>
      </x:c>
      <x:c r="C98" s="29" t="s">
        <x:v>504</x:v>
      </x:c>
      <x:c r="D98" s="40" t="s">
        <x:v>151</x:v>
      </x:c>
      <x:c r="E98" s="40">
        <x:v>4</x:v>
      </x:c>
      <x:c r="F98" s="40">
        <x:v>4</x:v>
      </x:c>
      <x:c r="G98" s="33" t="s">
        <x:v>234</x:v>
      </x:c>
      <x:c r="H98" s="33" t="s">
        <x:v>264</x:v>
      </x:c>
      <x:c r="I98" s="33" t="n">
        <x:f>IFERROR(XLOOKUP(G98,'模型SKU'!$A$5:$A$504,'模型SKU'!$E$5:$E$504),"")</x:f>
        <x:v>864</x:v>
      </x:c>
      <x:c r="J98" s="33" t="n">
        <x:f>IFERROR(XLOOKUP(G98,'模型SKU'!$A$5:$A$504,'模型SKU'!$F$5:$F$504),"")</x:f>
        <x:v>496</x:v>
      </x:c>
      <x:c r="K98" s="33" t="n">
        <x:f>IFERROR(XLOOKUP(G98,'模型SKU'!$A$5:$A$504,'模型SKU'!$G$5:$G$504),"")</x:f>
        <x:v>24</x:v>
      </x:c>
      <x:c r="L98" s="35" t="n">
        <x:f>IFERROR((E98+F98)*I98*J98*K98/'参数'!$B$7,0)</x:f>
        <x:v>80352</x:v>
      </x:c>
      <x:c r="M98" s="33" t="s">
        <x:v>318</x:v>
      </x:c>
      <x:c r="N98" s="36" t="n">
        <x:f>IFERROR(XLOOKUP(C98,'渠道成本'!$A$5:$A$1004,'渠道成本'!$U$5:$U$1004),"")</x:f>
        <x:v>0.03424657534246575</x:v>
      </x:c>
      <x:c r="O98" s="36" t="n">
        <x:f>IFERROR(XLOOKUP(B98,'官方售价'!$A$5:$A$504,'官方售价'!$M$5:$M$504),"")</x:f>
        <x:v>3.013698630136986</x:v>
      </x:c>
      <x:c r="P98" s="36" t="n">
        <x:f>IF(M98="per_token",N98*L98/'参数'!$B$8,N98)</x:f>
        <x:v>0.03424657534246575</x:v>
      </x:c>
      <x:c r="Q98" s="36" t="n">
        <x:f>IFERROR(O98*D98,"")</x:f>
        <x:v>3.013698630136986</x:v>
      </x:c>
      <x:c r="R98" s="36" t="n">
        <x:f>IFERROR(Q98-P98,"")</x:f>
        <x:v>2.9794520547945202</x:v>
      </x:c>
      <x:c r="S98" s="41" t="n">
        <x:f>IFERROR(R98/Q98,"")</x:f>
        <x:v>0.9886363636363636</x:v>
      </x:c>
      <x:c r="T98" s="33" t="s">
        <x:v>224</x:v>
      </x:c>
      <x:c r="U98" s="17" t="s">
        <x:v>1162</x:v>
      </x:c>
    </x:row>
    <x:row r="99" ht="26.350000381469727" customHeight="1">
      <x:c r="A99" s="29" t="s">
        <x:v>1256</x:v>
      </x:c>
      <x:c r="B99" s="29" t="s">
        <x:v>289</x:v>
      </x:c>
      <x:c r="C99" s="29" t="s">
        <x:v>505</x:v>
      </x:c>
      <x:c r="D99" s="40" t="s">
        <x:v>151</x:v>
      </x:c>
      <x:c r="E99" s="40">
        <x:v>4</x:v>
      </x:c>
      <x:c r="F99" s="40">
        <x:v>4</x:v>
      </x:c>
      <x:c r="G99" s="33" t="s">
        <x:v>238</x:v>
      </x:c>
      <x:c r="H99" s="33" t="s">
        <x:v>258</x:v>
      </x:c>
      <x:c r="I99" s="33" t="n">
        <x:f>IFERROR(XLOOKUP(G99,'模型SKU'!$A$5:$A$504,'模型SKU'!$E$5:$E$504),"")</x:f>
        <x:v>1280</x:v>
      </x:c>
      <x:c r="J99" s="33" t="n">
        <x:f>IFERROR(XLOOKUP(G99,'模型SKU'!$A$5:$A$504,'模型SKU'!$F$5:$F$504),"")</x:f>
        <x:v>720</x:v>
      </x:c>
      <x:c r="K99" s="33" t="n">
        <x:f>IFERROR(XLOOKUP(G99,'模型SKU'!$A$5:$A$504,'模型SKU'!$G$5:$G$504),"")</x:f>
        <x:v>24</x:v>
      </x:c>
      <x:c r="L99" s="35" t="n">
        <x:f>IFERROR((E99+F99)*I99*J99*K99/'参数'!$B$7,0)</x:f>
        <x:v>172800</x:v>
      </x:c>
      <x:c r="M99" s="33" t="s">
        <x:v>318</x:v>
      </x:c>
      <x:c r="N99" s="36" t="n">
        <x:f>IFERROR(XLOOKUP(C99,'渠道成本'!$A$5:$A$1004,'渠道成本'!$U$5:$U$1004),"")</x:f>
        <x:v>0.10273972602739725</x:v>
      </x:c>
      <x:c r="O99" s="36" t="n">
        <x:f>IFERROR(XLOOKUP(B99,'官方售价'!$A$5:$A$504,'官方售价'!$M$5:$M$504),"")</x:f>
        <x:v>5.068493150684931</x:v>
      </x:c>
      <x:c r="P99" s="36" t="n">
        <x:f>IF(M99="per_token",N99*L99/'参数'!$B$8,N99)</x:f>
        <x:v>0.10273972602739725</x:v>
      </x:c>
      <x:c r="Q99" s="36" t="n">
        <x:f>IFERROR(O99*D99,"")</x:f>
        <x:v>5.068493150684931</x:v>
      </x:c>
      <x:c r="R99" s="36" t="n">
        <x:f>IFERROR(Q99-P99,"")</x:f>
        <x:v>4.965753424657534</x:v>
      </x:c>
      <x:c r="S99" s="41" t="n">
        <x:f>IFERROR(R99/Q99,"")</x:f>
        <x:v>0.9797297297297298</x:v>
      </x:c>
      <x:c r="T99" s="33" t="s">
        <x:v>224</x:v>
      </x:c>
      <x:c r="U99" s="17" t="s">
        <x:v>1162</x:v>
      </x:c>
    </x:row>
    <x:row r="100" ht="26.350000381469727" customHeight="1">
      <x:c r="A100" s="29" t="s">
        <x:v>1257</x:v>
      </x:c>
      <x:c r="B100" s="29" t="s">
        <x:v>291</x:v>
      </x:c>
      <x:c r="C100" s="29" t="s">
        <x:v>509</x:v>
      </x:c>
      <x:c r="D100" s="40" t="s">
        <x:v>151</x:v>
      </x:c>
      <x:c r="E100" s="40">
        <x:v>4</x:v>
      </x:c>
      <x:c r="F100" s="40">
        <x:v>4</x:v>
      </x:c>
      <x:c r="G100" s="33" t="s">
        <x:v>238</x:v>
      </x:c>
      <x:c r="H100" s="33" t="s">
        <x:v>264</x:v>
      </x:c>
      <x:c r="I100" s="33" t="n">
        <x:f>IFERROR(XLOOKUP(G100,'模型SKU'!$A$5:$A$504,'模型SKU'!$E$5:$E$504),"")</x:f>
        <x:v>1280</x:v>
      </x:c>
      <x:c r="J100" s="33" t="n">
        <x:f>IFERROR(XLOOKUP(G100,'模型SKU'!$A$5:$A$504,'模型SKU'!$F$5:$F$504),"")</x:f>
        <x:v>720</x:v>
      </x:c>
      <x:c r="K100" s="33" t="n">
        <x:f>IFERROR(XLOOKUP(G100,'模型SKU'!$A$5:$A$504,'模型SKU'!$G$5:$G$504),"")</x:f>
        <x:v>24</x:v>
      </x:c>
      <x:c r="L100" s="35" t="n">
        <x:f>IFERROR((E100+F100)*I100*J100*K100/'参数'!$B$7,0)</x:f>
        <x:v>172800</x:v>
      </x:c>
      <x:c r="M100" s="33" t="s">
        <x:v>318</x:v>
      </x:c>
      <x:c r="N100" s="36" t="n">
        <x:f>IFERROR(XLOOKUP(C100,'渠道成本'!$A$5:$A$1004,'渠道成本'!$U$5:$U$1004),"")</x:f>
        <x:v>0.10273972602739725</x:v>
      </x:c>
      <x:c r="O100" s="36" t="n">
        <x:f>IFERROR(XLOOKUP(B100,'官方售价'!$A$5:$A$504,'官方售价'!$M$5:$M$504),"")</x:f>
        <x:v>3.013698630136986</x:v>
      </x:c>
      <x:c r="P100" s="36" t="n">
        <x:f>IF(M100="per_token",N100*L100/'参数'!$B$8,N100)</x:f>
        <x:v>0.10273972602739725</x:v>
      </x:c>
      <x:c r="Q100" s="36" t="n">
        <x:f>IFERROR(O100*D100,"")</x:f>
        <x:v>3.013698630136986</x:v>
      </x:c>
      <x:c r="R100" s="36" t="n">
        <x:f>IFERROR(Q100-P100,"")</x:f>
        <x:v>2.9109589041095885</x:v>
      </x:c>
      <x:c r="S100" s="41" t="n">
        <x:f>IFERROR(R100/Q100,"")</x:f>
        <x:v>0.9659090909090908</x:v>
      </x:c>
      <x:c r="T100" s="33" t="s">
        <x:v>224</x:v>
      </x:c>
      <x:c r="U100" s="17" t="s">
        <x:v>1162</x:v>
      </x:c>
    </x:row>
    <x:row r="101" ht="26.350000381469727" customHeight="1">
      <x:c r="A101" s="29" t="s">
        <x:v>1258</x:v>
      </x:c>
      <x:c r="B101" s="29" t="s">
        <x:v>293</x:v>
      </x:c>
      <x:c r="C101" s="29" t="s">
        <x:v>510</x:v>
      </x:c>
      <x:c r="D101" s="40" t="s">
        <x:v>151</x:v>
      </x:c>
      <x:c r="E101" s="40">
        <x:v>4</x:v>
      </x:c>
      <x:c r="F101" s="40">
        <x:v>4</x:v>
      </x:c>
      <x:c r="G101" s="33" t="s">
        <x:v>240</x:v>
      </x:c>
      <x:c r="H101" s="33" t="s">
        <x:v>258</x:v>
      </x:c>
      <x:c r="I101" s="33" t="n">
        <x:f>IFERROR(XLOOKUP(G101,'模型SKU'!$A$5:$A$504,'模型SKU'!$E$5:$E$504),"")</x:f>
        <x:v>864</x:v>
      </x:c>
      <x:c r="J101" s="33" t="n">
        <x:f>IFERROR(XLOOKUP(G101,'模型SKU'!$A$5:$A$504,'模型SKU'!$F$5:$F$504),"")</x:f>
        <x:v>496</x:v>
      </x:c>
      <x:c r="K101" s="33" t="n">
        <x:f>IFERROR(XLOOKUP(G101,'模型SKU'!$A$5:$A$504,'模型SKU'!$G$5:$G$504),"")</x:f>
        <x:v>24</x:v>
      </x:c>
      <x:c r="L101" s="35" t="n">
        <x:f>IFERROR((E101+F101)*I101*J101*K101/'参数'!$B$7,0)</x:f>
        <x:v>80352</x:v>
      </x:c>
      <x:c r="M101" s="33" t="s">
        <x:v>318</x:v>
      </x:c>
      <x:c r="N101" s="36" t="n">
        <x:f>IFERROR(XLOOKUP(C101,'渠道成本'!$A$5:$A$1004,'渠道成本'!$U$5:$U$1004),"")</x:f>
        <x:v>0.0410958904109589</x:v>
      </x:c>
      <x:c r="O101" s="36" t="n">
        <x:f>IFERROR(XLOOKUP(B101,'官方售价'!$A$5:$A$504,'官方售价'!$M$5:$M$504),"")</x:f>
        <x:v>3.150684931506849</x:v>
      </x:c>
      <x:c r="P101" s="36" t="n">
        <x:f>IF(M101="per_token",N101*L101/'参数'!$B$8,N101)</x:f>
        <x:v>0.0410958904109589</x:v>
      </x:c>
      <x:c r="Q101" s="36" t="n">
        <x:f>IFERROR(O101*D101,"")</x:f>
        <x:v>3.150684931506849</x:v>
      </x:c>
      <x:c r="R101" s="36" t="n">
        <x:f>IFERROR(Q101-P101,"")</x:f>
        <x:v>3.10958904109589</x:v>
      </x:c>
      <x:c r="S101" s="41" t="n">
        <x:f>IFERROR(R101/Q101,"")</x:f>
        <x:v>0.9869565217391304</x:v>
      </x:c>
      <x:c r="T101" s="33" t="s">
        <x:v>224</x:v>
      </x:c>
      <x:c r="U101" s="17" t="s">
        <x:v>1162</x:v>
      </x:c>
    </x:row>
    <x:row r="102" ht="26.350000381469727" customHeight="1">
      <x:c r="A102" s="29" t="s">
        <x:v>1259</x:v>
      </x:c>
      <x:c r="B102" s="29" t="s">
        <x:v>296</x:v>
      </x:c>
      <x:c r="C102" s="29" t="s">
        <x:v>514</x:v>
      </x:c>
      <x:c r="D102" s="40" t="s">
        <x:v>151</x:v>
      </x:c>
      <x:c r="E102" s="40">
        <x:v>4</x:v>
      </x:c>
      <x:c r="F102" s="40">
        <x:v>4</x:v>
      </x:c>
      <x:c r="G102" s="33" t="s">
        <x:v>240</x:v>
      </x:c>
      <x:c r="H102" s="33" t="s">
        <x:v>264</x:v>
      </x:c>
      <x:c r="I102" s="33" t="n">
        <x:f>IFERROR(XLOOKUP(G102,'模型SKU'!$A$5:$A$504,'模型SKU'!$E$5:$E$504),"")</x:f>
        <x:v>864</x:v>
      </x:c>
      <x:c r="J102" s="33" t="n">
        <x:f>IFERROR(XLOOKUP(G102,'模型SKU'!$A$5:$A$504,'模型SKU'!$F$5:$F$504),"")</x:f>
        <x:v>496</x:v>
      </x:c>
      <x:c r="K102" s="33" t="n">
        <x:f>IFERROR(XLOOKUP(G102,'模型SKU'!$A$5:$A$504,'模型SKU'!$G$5:$G$504),"")</x:f>
        <x:v>24</x:v>
      </x:c>
      <x:c r="L102" s="35" t="n">
        <x:f>IFERROR((E102+F102)*I102*J102*K102/'参数'!$B$7,0)</x:f>
        <x:v>80352</x:v>
      </x:c>
      <x:c r="M102" s="33" t="s">
        <x:v>318</x:v>
      </x:c>
      <x:c r="N102" s="36" t="n">
        <x:f>IFERROR(XLOOKUP(C102,'渠道成本'!$A$5:$A$1004,'渠道成本'!$U$5:$U$1004),"")</x:f>
        <x:v>0.0410958904109589</x:v>
      </x:c>
      <x:c r="O102" s="36" t="n">
        <x:f>IFERROR(XLOOKUP(B102,'官方售价'!$A$5:$A$504,'官方售价'!$M$5:$M$504),"")</x:f>
        <x:v>1.917808219178082</x:v>
      </x:c>
      <x:c r="P102" s="36" t="n">
        <x:f>IF(M102="per_token",N102*L102/'参数'!$B$8,N102)</x:f>
        <x:v>0.0410958904109589</x:v>
      </x:c>
      <x:c r="Q102" s="36" t="n">
        <x:f>IFERROR(O102*D102,"")</x:f>
        <x:v>1.917808219178082</x:v>
      </x:c>
      <x:c r="R102" s="36" t="n">
        <x:f>IFERROR(Q102-P102,"")</x:f>
        <x:v>1.8767123287671232</x:v>
      </x:c>
      <x:c r="S102" s="41" t="n">
        <x:f>IFERROR(R102/Q102,"")</x:f>
        <x:v>0.9785714285714286</x:v>
      </x:c>
      <x:c r="T102" s="33" t="s">
        <x:v>224</x:v>
      </x:c>
      <x:c r="U102" s="17" t="s">
        <x:v>1162</x:v>
      </x:c>
    </x:row>
    <x:row r="103" ht="26.350000381469727" customHeight="1">
      <x:c r="A103" s="29" t="s">
        <x:v>1260</x:v>
      </x:c>
      <x:c r="B103" s="29" t="s">
        <x:v>299</x:v>
      </x:c>
      <x:c r="C103" s="29" t="s">
        <x:v>515</x:v>
      </x:c>
      <x:c r="D103" s="40" t="s">
        <x:v>151</x:v>
      </x:c>
      <x:c r="E103" s="40">
        <x:v>4</x:v>
      </x:c>
      <x:c r="F103" s="40">
        <x:v>4</x:v>
      </x:c>
      <x:c r="G103" s="33" t="s">
        <x:v>244</x:v>
      </x:c>
      <x:c r="H103" s="33" t="s">
        <x:v>258</x:v>
      </x:c>
      <x:c r="I103" s="33" t="n">
        <x:f>IFERROR(XLOOKUP(G103,'模型SKU'!$A$5:$A$504,'模型SKU'!$E$5:$E$504),"")</x:f>
        <x:v>1280</x:v>
      </x:c>
      <x:c r="J103" s="33" t="n">
        <x:f>IFERROR(XLOOKUP(G103,'模型SKU'!$A$5:$A$504,'模型SKU'!$F$5:$F$504),"")</x:f>
        <x:v>720</x:v>
      </x:c>
      <x:c r="K103" s="33" t="n">
        <x:f>IFERROR(XLOOKUP(G103,'模型SKU'!$A$5:$A$504,'模型SKU'!$G$5:$G$504),"")</x:f>
        <x:v>24</x:v>
      </x:c>
      <x:c r="L103" s="35" t="n">
        <x:f>IFERROR((E103+F103)*I103*J103*K103/'参数'!$B$7,0)</x:f>
        <x:v>172800</x:v>
      </x:c>
      <x:c r="M103" s="33" t="s">
        <x:v>318</x:v>
      </x:c>
      <x:c r="N103" s="36" t="n">
        <x:f>IFERROR(XLOOKUP(C103,'渠道成本'!$A$5:$A$1004,'渠道成本'!$U$5:$U$1004),"")</x:f>
        <x:v>0.07191780821917808</x:v>
      </x:c>
      <x:c r="O103" s="36" t="n">
        <x:f>IFERROR(XLOOKUP(B103,'官方售价'!$A$5:$A$504,'官方售价'!$M$5:$M$504),"")</x:f>
        <x:v>3.150684931506849</x:v>
      </x:c>
      <x:c r="P103" s="36" t="n">
        <x:f>IF(M103="per_token",N103*L103/'参数'!$B$8,N103)</x:f>
        <x:v>0.07191780821917808</x:v>
      </x:c>
      <x:c r="Q103" s="36" t="n">
        <x:f>IFERROR(O103*D103,"")</x:f>
        <x:v>3.150684931506849</x:v>
      </x:c>
      <x:c r="R103" s="36" t="n">
        <x:f>IFERROR(Q103-P103,"")</x:f>
        <x:v>3.0787671232876708</x:v>
      </x:c>
      <x:c r="S103" s="41" t="n">
        <x:f>IFERROR(R103/Q103,"")</x:f>
        <x:v>0.9771739130434782</x:v>
      </x:c>
      <x:c r="T103" s="33" t="s">
        <x:v>224</x:v>
      </x:c>
      <x:c r="U103" s="17" t="s">
        <x:v>1162</x:v>
      </x:c>
    </x:row>
    <x:row r="104" ht="26.350000381469727" customHeight="1">
      <x:c r="A104" s="29" t="s">
        <x:v>1261</x:v>
      </x:c>
      <x:c r="B104" s="29" t="s">
        <x:v>301</x:v>
      </x:c>
      <x:c r="C104" s="29" t="s">
        <x:v>519</x:v>
      </x:c>
      <x:c r="D104" s="40" t="s">
        <x:v>151</x:v>
      </x:c>
      <x:c r="E104" s="40">
        <x:v>4</x:v>
      </x:c>
      <x:c r="F104" s="40">
        <x:v>4</x:v>
      </x:c>
      <x:c r="G104" s="33" t="s">
        <x:v>244</x:v>
      </x:c>
      <x:c r="H104" s="33" t="s">
        <x:v>264</x:v>
      </x:c>
      <x:c r="I104" s="33" t="n">
        <x:f>IFERROR(XLOOKUP(G104,'模型SKU'!$A$5:$A$504,'模型SKU'!$E$5:$E$504),"")</x:f>
        <x:v>1280</x:v>
      </x:c>
      <x:c r="J104" s="33" t="n">
        <x:f>IFERROR(XLOOKUP(G104,'模型SKU'!$A$5:$A$504,'模型SKU'!$F$5:$F$504),"")</x:f>
        <x:v>720</x:v>
      </x:c>
      <x:c r="K104" s="33" t="n">
        <x:f>IFERROR(XLOOKUP(G104,'模型SKU'!$A$5:$A$504,'模型SKU'!$G$5:$G$504),"")</x:f>
        <x:v>24</x:v>
      </x:c>
      <x:c r="L104" s="35" t="n">
        <x:f>IFERROR((E104+F104)*I104*J104*K104/'参数'!$B$7,0)</x:f>
        <x:v>172800</x:v>
      </x:c>
      <x:c r="M104" s="33" t="s">
        <x:v>318</x:v>
      </x:c>
      <x:c r="N104" s="36" t="n">
        <x:f>IFERROR(XLOOKUP(C104,'渠道成本'!$A$5:$A$1004,'渠道成本'!$U$5:$U$1004),"")</x:f>
        <x:v>0.07191780821917808</x:v>
      </x:c>
      <x:c r="O104" s="36" t="n">
        <x:f>IFERROR(XLOOKUP(B104,'官方售价'!$A$5:$A$504,'官方售价'!$M$5:$M$504),"")</x:f>
        <x:v>1.917808219178082</x:v>
      </x:c>
      <x:c r="P104" s="36" t="n">
        <x:f>IF(M104="per_token",N104*L104/'参数'!$B$8,N104)</x:f>
        <x:v>0.07191780821917808</x:v>
      </x:c>
      <x:c r="Q104" s="36" t="n">
        <x:f>IFERROR(O104*D104,"")</x:f>
        <x:v>1.917808219178082</x:v>
      </x:c>
      <x:c r="R104" s="36" t="n">
        <x:f>IFERROR(Q104-P104,"")</x:f>
        <x:v>1.845890410958904</x:v>
      </x:c>
      <x:c r="S104" s="41" t="n">
        <x:f>IFERROR(R104/Q104,"")</x:f>
        <x:v>0.9625</x:v>
      </x:c>
      <x:c r="T104" s="33" t="s">
        <x:v>224</x:v>
      </x:c>
      <x:c r="U104" s="17" t="s">
        <x:v>1162</x:v>
      </x:c>
    </x:row>
    <x:row r="105" ht="26.350000381469727" customHeight="1">
      <x:c r="A105" s="29" t="s">
        <x:v>1262</x:v>
      </x:c>
      <x:c r="B105" s="29" t="s">
        <x:v>283</x:v>
      </x:c>
      <x:c r="C105" s="29" t="s">
        <x:v>520</x:v>
      </x:c>
      <x:c r="D105" s="40" t="s">
        <x:v>151</x:v>
      </x:c>
      <x:c r="E105" s="40">
        <x:v>4</x:v>
      </x:c>
      <x:c r="F105" s="40">
        <x:v>4</x:v>
      </x:c>
      <x:c r="G105" s="33" t="s">
        <x:v>234</x:v>
      </x:c>
      <x:c r="H105" s="33" t="s">
        <x:v>258</x:v>
      </x:c>
      <x:c r="I105" s="33" t="n">
        <x:f>IFERROR(XLOOKUP(G105,'模型SKU'!$A$5:$A$504,'模型SKU'!$E$5:$E$504),"")</x:f>
        <x:v>864</x:v>
      </x:c>
      <x:c r="J105" s="33" t="n">
        <x:f>IFERROR(XLOOKUP(G105,'模型SKU'!$A$5:$A$504,'模型SKU'!$F$5:$F$504),"")</x:f>
        <x:v>496</x:v>
      </x:c>
      <x:c r="K105" s="33" t="n">
        <x:f>IFERROR(XLOOKUP(G105,'模型SKU'!$A$5:$A$504,'模型SKU'!$G$5:$G$504),"")</x:f>
        <x:v>24</x:v>
      </x:c>
      <x:c r="L105" s="35" t="n">
        <x:f>IFERROR((E105+F105)*I105*J105*K105/'参数'!$B$7,0)</x:f>
        <x:v>80352</x:v>
      </x:c>
      <x:c r="M105" s="33" t="s">
        <x:v>331</x:v>
      </x:c>
      <x:c r="N105" s="36" t="n">
        <x:f>IFERROR(XLOOKUP(C105,'渠道成本'!$A$5:$A$1004,'渠道成本'!$U$5:$U$1004),"")</x:f>
        <x:v>0.6136986301369863</x:v>
      </x:c>
      <x:c r="O105" s="36" t="n">
        <x:f>IFERROR(XLOOKUP(B105,'官方售价'!$A$5:$A$504,'官方售价'!$M$5:$M$504),"")</x:f>
        <x:v>5.068493150684931</x:v>
      </x:c>
      <x:c r="P105" s="36" t="n">
        <x:f>IF(M105="per_token",N105*L105/'参数'!$B$8,N105)</x:f>
        <x:v>0.6136986301369863</x:v>
      </x:c>
      <x:c r="Q105" s="36" t="n">
        <x:f>IFERROR(O105*D105,"")</x:f>
        <x:v>5.068493150684931</x:v>
      </x:c>
      <x:c r="R105" s="36" t="n">
        <x:f>IFERROR(Q105-P105,"")</x:f>
        <x:v>4.454794520547945</x:v>
      </x:c>
      <x:c r="S105" s="41" t="n">
        <x:f>IFERROR(R105/Q105,"")</x:f>
        <x:v>0.8789189189189189</x:v>
      </x:c>
      <x:c r="T105" s="33" t="s">
        <x:v>224</x:v>
      </x:c>
      <x:c r="U105" s="17" t="s">
        <x:v>1162</x:v>
      </x:c>
    </x:row>
    <x:row r="106" ht="26.350000381469727" customHeight="1">
      <x:c r="A106" s="29" t="s">
        <x:v>1263</x:v>
      </x:c>
      <x:c r="B106" s="29" t="s">
        <x:v>286</x:v>
      </x:c>
      <x:c r="C106" s="29" t="s">
        <x:v>524</x:v>
      </x:c>
      <x:c r="D106" s="40" t="s">
        <x:v>151</x:v>
      </x:c>
      <x:c r="E106" s="40">
        <x:v>4</x:v>
      </x:c>
      <x:c r="F106" s="40">
        <x:v>4</x:v>
      </x:c>
      <x:c r="G106" s="33" t="s">
        <x:v>234</x:v>
      </x:c>
      <x:c r="H106" s="33" t="s">
        <x:v>264</x:v>
      </x:c>
      <x:c r="I106" s="33" t="n">
        <x:f>IFERROR(XLOOKUP(G106,'模型SKU'!$A$5:$A$504,'模型SKU'!$E$5:$E$504),"")</x:f>
        <x:v>864</x:v>
      </x:c>
      <x:c r="J106" s="33" t="n">
        <x:f>IFERROR(XLOOKUP(G106,'模型SKU'!$A$5:$A$504,'模型SKU'!$F$5:$F$504),"")</x:f>
        <x:v>496</x:v>
      </x:c>
      <x:c r="K106" s="33" t="n">
        <x:f>IFERROR(XLOOKUP(G106,'模型SKU'!$A$5:$A$504,'模型SKU'!$G$5:$G$504),"")</x:f>
        <x:v>24</x:v>
      </x:c>
      <x:c r="L106" s="35" t="n">
        <x:f>IFERROR((E106+F106)*I106*J106*K106/'参数'!$B$7,0)</x:f>
        <x:v>80352</x:v>
      </x:c>
      <x:c r="M106" s="33" t="s">
        <x:v>331</x:v>
      </x:c>
      <x:c r="N106" s="36" t="n">
        <x:f>IFERROR(XLOOKUP(C106,'渠道成本'!$A$5:$A$1004,'渠道成本'!$U$5:$U$1004),"")</x:f>
        <x:v>0.6136986301369863</x:v>
      </x:c>
      <x:c r="O106" s="36" t="n">
        <x:f>IFERROR(XLOOKUP(B106,'官方售价'!$A$5:$A$504,'官方售价'!$M$5:$M$504),"")</x:f>
        <x:v>3.013698630136986</x:v>
      </x:c>
      <x:c r="P106" s="36" t="n">
        <x:f>IF(M106="per_token",N106*L106/'参数'!$B$8,N106)</x:f>
        <x:v>0.6136986301369863</x:v>
      </x:c>
      <x:c r="Q106" s="36" t="n">
        <x:f>IFERROR(O106*D106,"")</x:f>
        <x:v>3.013698630136986</x:v>
      </x:c>
      <x:c r="R106" s="36" t="n">
        <x:f>IFERROR(Q106-P106,"")</x:f>
        <x:v>2.3999999999999995</x:v>
      </x:c>
      <x:c r="S106" s="41" t="n">
        <x:f>IFERROR(R106/Q106,"")</x:f>
        <x:v>0.7963636363636363</x:v>
      </x:c>
      <x:c r="T106" s="33" t="s">
        <x:v>224</x:v>
      </x:c>
      <x:c r="U106" s="17" t="s">
        <x:v>1162</x:v>
      </x:c>
    </x:row>
    <x:row r="107" ht="26.350000381469727" customHeight="1">
      <x:c r="A107" s="29" t="s">
        <x:v>1264</x:v>
      </x:c>
      <x:c r="B107" s="29" t="s">
        <x:v>267</x:v>
      </x:c>
      <x:c r="C107" s="29" t="s">
        <x:v>525</x:v>
      </x:c>
      <x:c r="D107" s="40" t="s">
        <x:v>151</x:v>
      </x:c>
      <x:c r="E107" s="40">
        <x:v>4</x:v>
      </x:c>
      <x:c r="F107" s="40">
        <x:v>4</x:v>
      </x:c>
      <x:c r="G107" s="33" t="s">
        <x:v>227</x:v>
      </x:c>
      <x:c r="H107" s="33" t="s">
        <x:v>258</x:v>
      </x:c>
      <x:c r="I107" s="33" t="n">
        <x:f>IFERROR(XLOOKUP(G107,'模型SKU'!$A$5:$A$504,'模型SKU'!$E$5:$E$504),"")</x:f>
        <x:v>864</x:v>
      </x:c>
      <x:c r="J107" s="33" t="n">
        <x:f>IFERROR(XLOOKUP(G107,'模型SKU'!$A$5:$A$504,'模型SKU'!$F$5:$F$504),"")</x:f>
        <x:v>496</x:v>
      </x:c>
      <x:c r="K107" s="33" t="n">
        <x:f>IFERROR(XLOOKUP(G107,'模型SKU'!$A$5:$A$504,'模型SKU'!$G$5:$G$504),"")</x:f>
        <x:v>24</x:v>
      </x:c>
      <x:c r="L107" s="35" t="n">
        <x:f>IFERROR((E107+F107)*I107*J107*K107/'参数'!$B$7,0)</x:f>
        <x:v>80352</x:v>
      </x:c>
      <x:c r="M107" s="33" t="s">
        <x:v>331</x:v>
      </x:c>
      <x:c r="N107" s="36" t="n">
        <x:f>IFERROR(XLOOKUP(C107,'渠道成本'!$A$5:$A$1004,'渠道成本'!$U$5:$U$1004),"")</x:f>
        <x:v>0.6821917808219178</x:v>
      </x:c>
      <x:c r="O107" s="36" t="n">
        <x:f>IFERROR(XLOOKUP(B107,'官方售价'!$A$5:$A$504,'官方售价'!$M$5:$M$504),"")</x:f>
        <x:v>6.301369863013698</x:v>
      </x:c>
      <x:c r="P107" s="36" t="n">
        <x:f>IF(M107="per_token",N107*L107/'参数'!$B$8,N107)</x:f>
        <x:v>0.6821917808219178</x:v>
      </x:c>
      <x:c r="Q107" s="36" t="n">
        <x:f>IFERROR(O107*D107,"")</x:f>
        <x:v>6.301369863013698</x:v>
      </x:c>
      <x:c r="R107" s="36" t="n">
        <x:f>IFERROR(Q107-P107,"")</x:f>
        <x:v>5.61917808219178</x:v>
      </x:c>
      <x:c r="S107" s="41" t="n">
        <x:f>IFERROR(R107/Q107,"")</x:f>
        <x:v>0.8917391304347826</x:v>
      </x:c>
      <x:c r="T107" s="33" t="s">
        <x:v>224</x:v>
      </x:c>
      <x:c r="U107" s="17" t="s">
        <x:v>1162</x:v>
      </x:c>
    </x:row>
    <x:row r="108" ht="26.350000381469727" customHeight="1">
      <x:c r="A108" s="29" t="s">
        <x:v>1265</x:v>
      </x:c>
      <x:c r="B108" s="29" t="s">
        <x:v>270</x:v>
      </x:c>
      <x:c r="C108" s="29" t="s">
        <x:v>529</x:v>
      </x:c>
      <x:c r="D108" s="40" t="s">
        <x:v>151</x:v>
      </x:c>
      <x:c r="E108" s="40">
        <x:v>4</x:v>
      </x:c>
      <x:c r="F108" s="40">
        <x:v>4</x:v>
      </x:c>
      <x:c r="G108" s="33" t="s">
        <x:v>227</x:v>
      </x:c>
      <x:c r="H108" s="33" t="s">
        <x:v>264</x:v>
      </x:c>
      <x:c r="I108" s="33" t="n">
        <x:f>IFERROR(XLOOKUP(G108,'模型SKU'!$A$5:$A$504,'模型SKU'!$E$5:$E$504),"")</x:f>
        <x:v>864</x:v>
      </x:c>
      <x:c r="J108" s="33" t="n">
        <x:f>IFERROR(XLOOKUP(G108,'模型SKU'!$A$5:$A$504,'模型SKU'!$F$5:$F$504),"")</x:f>
        <x:v>496</x:v>
      </x:c>
      <x:c r="K108" s="33" t="n">
        <x:f>IFERROR(XLOOKUP(G108,'模型SKU'!$A$5:$A$504,'模型SKU'!$G$5:$G$504),"")</x:f>
        <x:v>24</x:v>
      </x:c>
      <x:c r="L108" s="35" t="n">
        <x:f>IFERROR((E108+F108)*I108*J108*K108/'参数'!$B$7,0)</x:f>
        <x:v>80352</x:v>
      </x:c>
      <x:c r="M108" s="33" t="s">
        <x:v>331</x:v>
      </x:c>
      <x:c r="N108" s="36" t="n">
        <x:f>IFERROR(XLOOKUP(C108,'渠道成本'!$A$5:$A$1004,'渠道成本'!$U$5:$U$1004),"")</x:f>
        <x:v>0.6821917808219178</x:v>
      </x:c>
      <x:c r="O108" s="36" t="n">
        <x:f>IFERROR(XLOOKUP(B108,'官方售价'!$A$5:$A$504,'官方售价'!$M$5:$M$504),"")</x:f>
        <x:v>3.835616438356164</x:v>
      </x:c>
      <x:c r="P108" s="36" t="n">
        <x:f>IF(M108="per_token",N108*L108/'参数'!$B$8,N108)</x:f>
        <x:v>0.6821917808219178</x:v>
      </x:c>
      <x:c r="Q108" s="36" t="n">
        <x:f>IFERROR(O108*D108,"")</x:f>
        <x:v>3.835616438356164</x:v>
      </x:c>
      <x:c r="R108" s="36" t="n">
        <x:f>IFERROR(Q108-P108,"")</x:f>
        <x:v>3.1534246575342464</x:v>
      </x:c>
      <x:c r="S108" s="41" t="n">
        <x:f>IFERROR(R108/Q108,"")</x:f>
        <x:v>0.8221428571428572</x:v>
      </x:c>
      <x:c r="T108" s="33" t="s">
        <x:v>224</x:v>
      </x:c>
      <x:c r="U108" s="17" t="s">
        <x:v>1162</x:v>
      </x:c>
    </x:row>
    <x:row r="109" ht="26.350000381469727" customHeight="1">
      <x:c r="A109" s="29" t="s">
        <x:v>1266</x:v>
      </x:c>
      <x:c r="B109" s="29" t="s">
        <x:v>289</x:v>
      </x:c>
      <x:c r="C109" s="29" t="s">
        <x:v>530</x:v>
      </x:c>
      <x:c r="D109" s="40" t="s">
        <x:v>151</x:v>
      </x:c>
      <x:c r="E109" s="40">
        <x:v>4</x:v>
      </x:c>
      <x:c r="F109" s="40">
        <x:v>4</x:v>
      </x:c>
      <x:c r="G109" s="33" t="s">
        <x:v>238</x:v>
      </x:c>
      <x:c r="H109" s="33" t="s">
        <x:v>258</x:v>
      </x:c>
      <x:c r="I109" s="33" t="n">
        <x:f>IFERROR(XLOOKUP(G109,'模型SKU'!$A$5:$A$504,'模型SKU'!$E$5:$E$504),"")</x:f>
        <x:v>1280</x:v>
      </x:c>
      <x:c r="J109" s="33" t="n">
        <x:f>IFERROR(XLOOKUP(G109,'模型SKU'!$A$5:$A$504,'模型SKU'!$F$5:$F$504),"")</x:f>
        <x:v>720</x:v>
      </x:c>
      <x:c r="K109" s="33" t="n">
        <x:f>IFERROR(XLOOKUP(G109,'模型SKU'!$A$5:$A$504,'模型SKU'!$G$5:$G$504),"")</x:f>
        <x:v>24</x:v>
      </x:c>
      <x:c r="L109" s="35" t="n">
        <x:f>IFERROR((E109+F109)*I109*J109*K109/'参数'!$B$7,0)</x:f>
        <x:v>172800</x:v>
      </x:c>
      <x:c r="M109" s="33" t="s">
        <x:v>331</x:v>
      </x:c>
      <x:c r="N109" s="36" t="n">
        <x:f>IFERROR(XLOOKUP(C109,'渠道成本'!$A$5:$A$1004,'渠道成本'!$U$5:$U$1004),"")</x:f>
        <x:v>0.6410958904109588</x:v>
      </x:c>
      <x:c r="O109" s="36" t="n">
        <x:f>IFERROR(XLOOKUP(B109,'官方售价'!$A$5:$A$504,'官方售价'!$M$5:$M$504),"")</x:f>
        <x:v>5.068493150684931</x:v>
      </x:c>
      <x:c r="P109" s="36" t="n">
        <x:f>IF(M109="per_token",N109*L109/'参数'!$B$8,N109)</x:f>
        <x:v>0.6410958904109588</x:v>
      </x:c>
      <x:c r="Q109" s="36" t="n">
        <x:f>IFERROR(O109*D109,"")</x:f>
        <x:v>5.068493150684931</x:v>
      </x:c>
      <x:c r="R109" s="36" t="n">
        <x:f>IFERROR(Q109-P109,"")</x:f>
        <x:v>4.427397260273972</x:v>
      </x:c>
      <x:c r="S109" s="41" t="n">
        <x:f>IFERROR(R109/Q109,"")</x:f>
        <x:v>0.8735135135135135</x:v>
      </x:c>
      <x:c r="T109" s="33" t="s">
        <x:v>224</x:v>
      </x:c>
      <x:c r="U109" s="17" t="s">
        <x:v>1162</x:v>
      </x:c>
    </x:row>
    <x:row r="110" ht="26.350000381469727" customHeight="1">
      <x:c r="A110" s="29" t="s">
        <x:v>1267</x:v>
      </x:c>
      <x:c r="B110" s="29" t="s">
        <x:v>291</x:v>
      </x:c>
      <x:c r="C110" s="29" t="s">
        <x:v>534</x:v>
      </x:c>
      <x:c r="D110" s="40" t="s">
        <x:v>151</x:v>
      </x:c>
      <x:c r="E110" s="40">
        <x:v>4</x:v>
      </x:c>
      <x:c r="F110" s="40">
        <x:v>4</x:v>
      </x:c>
      <x:c r="G110" s="33" t="s">
        <x:v>238</x:v>
      </x:c>
      <x:c r="H110" s="33" t="s">
        <x:v>264</x:v>
      </x:c>
      <x:c r="I110" s="33" t="n">
        <x:f>IFERROR(XLOOKUP(G110,'模型SKU'!$A$5:$A$504,'模型SKU'!$E$5:$E$504),"")</x:f>
        <x:v>1280</x:v>
      </x:c>
      <x:c r="J110" s="33" t="n">
        <x:f>IFERROR(XLOOKUP(G110,'模型SKU'!$A$5:$A$504,'模型SKU'!$F$5:$F$504),"")</x:f>
        <x:v>720</x:v>
      </x:c>
      <x:c r="K110" s="33" t="n">
        <x:f>IFERROR(XLOOKUP(G110,'模型SKU'!$A$5:$A$504,'模型SKU'!$G$5:$G$504),"")</x:f>
        <x:v>24</x:v>
      </x:c>
      <x:c r="L110" s="35" t="n">
        <x:f>IFERROR((E110+F110)*I110*J110*K110/'参数'!$B$7,0)</x:f>
        <x:v>172800</x:v>
      </x:c>
      <x:c r="M110" s="33" t="s">
        <x:v>331</x:v>
      </x:c>
      <x:c r="N110" s="36" t="n">
        <x:f>IFERROR(XLOOKUP(C110,'渠道成本'!$A$5:$A$1004,'渠道成本'!$U$5:$U$1004),"")</x:f>
        <x:v>0.6410958904109588</x:v>
      </x:c>
      <x:c r="O110" s="36" t="n">
        <x:f>IFERROR(XLOOKUP(B110,'官方售价'!$A$5:$A$504,'官方售价'!$M$5:$M$504),"")</x:f>
        <x:v>3.013698630136986</x:v>
      </x:c>
      <x:c r="P110" s="36" t="n">
        <x:f>IF(M110="per_token",N110*L110/'参数'!$B$8,N110)</x:f>
        <x:v>0.6410958904109588</x:v>
      </x:c>
      <x:c r="Q110" s="36" t="n">
        <x:f>IFERROR(O110*D110,"")</x:f>
        <x:v>3.013698630136986</x:v>
      </x:c>
      <x:c r="R110" s="36" t="n">
        <x:f>IFERROR(Q110-P110,"")</x:f>
        <x:v>2.372602739726027</x:v>
      </x:c>
      <x:c r="S110" s="41" t="n">
        <x:f>IFERROR(R110/Q110,"")</x:f>
        <x:v>0.7872727272727273</x:v>
      </x:c>
      <x:c r="T110" s="33" t="s">
        <x:v>224</x:v>
      </x:c>
      <x:c r="U110" s="17" t="s">
        <x:v>1162</x:v>
      </x:c>
    </x:row>
    <x:row r="111" ht="26.350000381469727" customHeight="1">
      <x:c r="A111" s="29" t="s">
        <x:v>1268</x:v>
      </x:c>
      <x:c r="B111" s="29" t="s">
        <x:v>299</x:v>
      </x:c>
      <x:c r="C111" s="29" t="s">
        <x:v>535</x:v>
      </x:c>
      <x:c r="D111" s="40" t="s">
        <x:v>151</x:v>
      </x:c>
      <x:c r="E111" s="40">
        <x:v>4</x:v>
      </x:c>
      <x:c r="F111" s="40">
        <x:v>4</x:v>
      </x:c>
      <x:c r="G111" s="33" t="s">
        <x:v>244</x:v>
      </x:c>
      <x:c r="H111" s="33" t="s">
        <x:v>258</x:v>
      </x:c>
      <x:c r="I111" s="33" t="n">
        <x:f>IFERROR(XLOOKUP(G111,'模型SKU'!$A$5:$A$504,'模型SKU'!$E$5:$E$504),"")</x:f>
        <x:v>1280</x:v>
      </x:c>
      <x:c r="J111" s="33" t="n">
        <x:f>IFERROR(XLOOKUP(G111,'模型SKU'!$A$5:$A$504,'模型SKU'!$F$5:$F$504),"")</x:f>
        <x:v>720</x:v>
      </x:c>
      <x:c r="K111" s="33" t="n">
        <x:f>IFERROR(XLOOKUP(G111,'模型SKU'!$A$5:$A$504,'模型SKU'!$G$5:$G$504),"")</x:f>
        <x:v>24</x:v>
      </x:c>
      <x:c r="L111" s="35" t="n">
        <x:f>IFERROR((E111+F111)*I111*J111*K111/'参数'!$B$7,0)</x:f>
        <x:v>172800</x:v>
      </x:c>
      <x:c r="M111" s="33" t="s">
        <x:v>331</x:v>
      </x:c>
      <x:c r="N111" s="36" t="n">
        <x:f>IFERROR(XLOOKUP(C111,'渠道成本'!$A$5:$A$1004,'渠道成本'!$U$5:$U$1004),"")</x:f>
        <x:v>0.5452054794520548</x:v>
      </x:c>
      <x:c r="O111" s="36" t="n">
        <x:f>IFERROR(XLOOKUP(B111,'官方售价'!$A$5:$A$504,'官方售价'!$M$5:$M$504),"")</x:f>
        <x:v>3.150684931506849</x:v>
      </x:c>
      <x:c r="P111" s="36" t="n">
        <x:f>IF(M111="per_token",N111*L111/'参数'!$B$8,N111)</x:f>
        <x:v>0.5452054794520548</x:v>
      </x:c>
      <x:c r="Q111" s="36" t="n">
        <x:f>IFERROR(O111*D111,"")</x:f>
        <x:v>3.150684931506849</x:v>
      </x:c>
      <x:c r="R111" s="36" t="n">
        <x:f>IFERROR(Q111-P111,"")</x:f>
        <x:v>2.6054794520547944</x:v>
      </x:c>
      <x:c r="S111" s="41" t="n">
        <x:f>IFERROR(R111/Q111,"")</x:f>
        <x:v>0.8269565217391305</x:v>
      </x:c>
      <x:c r="T111" s="33" t="s">
        <x:v>224</x:v>
      </x:c>
      <x:c r="U111" s="17" t="s">
        <x:v>1162</x:v>
      </x:c>
    </x:row>
    <x:row r="112" ht="26.350000381469727" customHeight="1">
      <x:c r="A112" s="29" t="s">
        <x:v>1269</x:v>
      </x:c>
      <x:c r="B112" s="29" t="s">
        <x:v>301</x:v>
      </x:c>
      <x:c r="C112" s="29" t="s">
        <x:v>539</x:v>
      </x:c>
      <x:c r="D112" s="40" t="s">
        <x:v>151</x:v>
      </x:c>
      <x:c r="E112" s="40">
        <x:v>4</x:v>
      </x:c>
      <x:c r="F112" s="40">
        <x:v>4</x:v>
      </x:c>
      <x:c r="G112" s="33" t="s">
        <x:v>244</x:v>
      </x:c>
      <x:c r="H112" s="33" t="s">
        <x:v>264</x:v>
      </x:c>
      <x:c r="I112" s="33" t="n">
        <x:f>IFERROR(XLOOKUP(G112,'模型SKU'!$A$5:$A$504,'模型SKU'!$E$5:$E$504),"")</x:f>
        <x:v>1280</x:v>
      </x:c>
      <x:c r="J112" s="33" t="n">
        <x:f>IFERROR(XLOOKUP(G112,'模型SKU'!$A$5:$A$504,'模型SKU'!$F$5:$F$504),"")</x:f>
        <x:v>720</x:v>
      </x:c>
      <x:c r="K112" s="33" t="n">
        <x:f>IFERROR(XLOOKUP(G112,'模型SKU'!$A$5:$A$504,'模型SKU'!$G$5:$G$504),"")</x:f>
        <x:v>24</x:v>
      </x:c>
      <x:c r="L112" s="35" t="n">
        <x:f>IFERROR((E112+F112)*I112*J112*K112/'参数'!$B$7,0)</x:f>
        <x:v>172800</x:v>
      </x:c>
      <x:c r="M112" s="33" t="s">
        <x:v>331</x:v>
      </x:c>
      <x:c r="N112" s="36" t="n">
        <x:f>IFERROR(XLOOKUP(C112,'渠道成本'!$A$5:$A$1004,'渠道成本'!$U$5:$U$1004),"")</x:f>
        <x:v>0.5452054794520548</x:v>
      </x:c>
      <x:c r="O112" s="36" t="n">
        <x:f>IFERROR(XLOOKUP(B112,'官方售价'!$A$5:$A$504,'官方售价'!$M$5:$M$504),"")</x:f>
        <x:v>1.917808219178082</x:v>
      </x:c>
      <x:c r="P112" s="36" t="n">
        <x:f>IF(M112="per_token",N112*L112/'参数'!$B$8,N112)</x:f>
        <x:v>0.5452054794520548</x:v>
      </x:c>
      <x:c r="Q112" s="36" t="n">
        <x:f>IFERROR(O112*D112,"")</x:f>
        <x:v>1.917808219178082</x:v>
      </x:c>
      <x:c r="R112" s="36" t="n">
        <x:f>IFERROR(Q112-P112,"")</x:f>
        <x:v>1.3726027397260272</x:v>
      </x:c>
      <x:c r="S112" s="41" t="n">
        <x:f>IFERROR(R112/Q112,"")</x:f>
        <x:v>0.7157142857142856</x:v>
      </x:c>
      <x:c r="T112" s="33" t="s">
        <x:v>224</x:v>
      </x:c>
      <x:c r="U112" s="17" t="s">
        <x:v>1162</x:v>
      </x:c>
    </x:row>
    <x:row r="113" ht="26.350000381469727" customHeight="1">
      <x:c r="A113" s="29" t="s">
        <x:v>1270</x:v>
      </x:c>
      <x:c r="B113" s="29" t="s">
        <x:v>289</x:v>
      </x:c>
      <x:c r="C113" s="29" t="s">
        <x:v>540</x:v>
      </x:c>
      <x:c r="D113" s="40" t="s">
        <x:v>151</x:v>
      </x:c>
      <x:c r="E113" s="40">
        <x:v>4</x:v>
      </x:c>
      <x:c r="F113" s="40">
        <x:v>4</x:v>
      </x:c>
      <x:c r="G113" s="33" t="s">
        <x:v>238</x:v>
      </x:c>
      <x:c r="H113" s="33" t="s">
        <x:v>258</x:v>
      </x:c>
      <x:c r="I113" s="33" t="n">
        <x:f>IFERROR(XLOOKUP(G113,'模型SKU'!$A$5:$A$504,'模型SKU'!$E$5:$E$504),"")</x:f>
        <x:v>1280</x:v>
      </x:c>
      <x:c r="J113" s="33" t="n">
        <x:f>IFERROR(XLOOKUP(G113,'模型SKU'!$A$5:$A$504,'模型SKU'!$F$5:$F$504),"")</x:f>
        <x:v>720</x:v>
      </x:c>
      <x:c r="K113" s="33" t="n">
        <x:f>IFERROR(XLOOKUP(G113,'模型SKU'!$A$5:$A$504,'模型SKU'!$G$5:$G$504),"")</x:f>
        <x:v>24</x:v>
      </x:c>
      <x:c r="L113" s="35" t="n">
        <x:f>IFERROR((E113+F113)*I113*J113*K113/'参数'!$B$7,0)</x:f>
        <x:v>172800</x:v>
      </x:c>
      <x:c r="M113" s="33" t="s">
        <x:v>331</x:v>
      </x:c>
      <x:c r="N113" s="36" t="n">
        <x:f>IFERROR(XLOOKUP(C113,'渠道成本'!$A$5:$A$1004,'渠道成本'!$U$5:$U$1004),"")</x:f>
        <x:v>0.5452054794520548</x:v>
      </x:c>
      <x:c r="O113" s="36" t="n">
        <x:f>IFERROR(XLOOKUP(B113,'官方售价'!$A$5:$A$504,'官方售价'!$M$5:$M$504),"")</x:f>
        <x:v>5.068493150684931</x:v>
      </x:c>
      <x:c r="P113" s="36" t="n">
        <x:f>IF(M113="per_token",N113*L113/'参数'!$B$8,N113)</x:f>
        <x:v>0.5452054794520548</x:v>
      </x:c>
      <x:c r="Q113" s="36" t="n">
        <x:f>IFERROR(O113*D113,"")</x:f>
        <x:v>5.068493150684931</x:v>
      </x:c>
      <x:c r="R113" s="36" t="n">
        <x:f>IFERROR(Q113-P113,"")</x:f>
        <x:v>4.523287671232876</x:v>
      </x:c>
      <x:c r="S113" s="41" t="n">
        <x:f>IFERROR(R113/Q113,"")</x:f>
        <x:v>0.8924324324324324</x:v>
      </x:c>
      <x:c r="T113" s="33" t="s">
        <x:v>224</x:v>
      </x:c>
      <x:c r="U113" s="17" t="s">
        <x:v>1162</x:v>
      </x:c>
    </x:row>
    <x:row r="114" ht="26.350000381469727" customHeight="1">
      <x:c r="A114" s="29" t="s">
        <x:v>1271</x:v>
      </x:c>
      <x:c r="B114" s="29" t="s">
        <x:v>291</x:v>
      </x:c>
      <x:c r="C114" s="29" t="s">
        <x:v>543</x:v>
      </x:c>
      <x:c r="D114" s="40" t="s">
        <x:v>151</x:v>
      </x:c>
      <x:c r="E114" s="40">
        <x:v>4</x:v>
      </x:c>
      <x:c r="F114" s="40">
        <x:v>4</x:v>
      </x:c>
      <x:c r="G114" s="33" t="s">
        <x:v>238</x:v>
      </x:c>
      <x:c r="H114" s="33" t="s">
        <x:v>264</x:v>
      </x:c>
      <x:c r="I114" s="33" t="n">
        <x:f>IFERROR(XLOOKUP(G114,'模型SKU'!$A$5:$A$504,'模型SKU'!$E$5:$E$504),"")</x:f>
        <x:v>1280</x:v>
      </x:c>
      <x:c r="J114" s="33" t="n">
        <x:f>IFERROR(XLOOKUP(G114,'模型SKU'!$A$5:$A$504,'模型SKU'!$F$5:$F$504),"")</x:f>
        <x:v>720</x:v>
      </x:c>
      <x:c r="K114" s="33" t="n">
        <x:f>IFERROR(XLOOKUP(G114,'模型SKU'!$A$5:$A$504,'模型SKU'!$G$5:$G$504),"")</x:f>
        <x:v>24</x:v>
      </x:c>
      <x:c r="L114" s="35" t="n">
        <x:f>IFERROR((E114+F114)*I114*J114*K114/'参数'!$B$7,0)</x:f>
        <x:v>172800</x:v>
      </x:c>
      <x:c r="M114" s="33" t="s">
        <x:v>331</x:v>
      </x:c>
      <x:c r="N114" s="36" t="n">
        <x:f>IFERROR(XLOOKUP(C114,'渠道成本'!$A$5:$A$1004,'渠道成本'!$U$5:$U$1004),"")</x:f>
        <x:v>0.5452054794520548</x:v>
      </x:c>
      <x:c r="O114" s="36" t="n">
        <x:f>IFERROR(XLOOKUP(B114,'官方售价'!$A$5:$A$504,'官方售价'!$M$5:$M$504),"")</x:f>
        <x:v>3.013698630136986</x:v>
      </x:c>
      <x:c r="P114" s="36" t="n">
        <x:f>IF(M114="per_token",N114*L114/'参数'!$B$8,N114)</x:f>
        <x:v>0.5452054794520548</x:v>
      </x:c>
      <x:c r="Q114" s="36" t="n">
        <x:f>IFERROR(O114*D114,"")</x:f>
        <x:v>3.013698630136986</x:v>
      </x:c>
      <x:c r="R114" s="36" t="n">
        <x:f>IFERROR(Q114-P114,"")</x:f>
        <x:v>2.4684931506849312</x:v>
      </x:c>
      <x:c r="S114" s="41" t="n">
        <x:f>IFERROR(R114/Q114,"")</x:f>
        <x:v>0.8190909090909091</x:v>
      </x:c>
      <x:c r="T114" s="33" t="s">
        <x:v>224</x:v>
      </x:c>
      <x:c r="U114" s="17" t="s">
        <x:v>1162</x:v>
      </x:c>
    </x:row>
    <x:row r="115" ht="26.350000381469727" customHeight="1">
      <x:c r="A115" s="29" t="s">
        <x:v>1272</x:v>
      </x:c>
      <x:c r="B115" s="29" t="s">
        <x:v>279</x:v>
      </x:c>
      <x:c r="C115" s="29" t="s">
        <x:v>544</x:v>
      </x:c>
      <x:c r="D115" s="40" t="s">
        <x:v>151</x:v>
      </x:c>
      <x:c r="E115" s="40">
        <x:v>4</x:v>
      </x:c>
      <x:c r="F115" s="40">
        <x:v>4</x:v>
      </x:c>
      <x:c r="G115" s="33" t="s">
        <x:v>232</x:v>
      </x:c>
      <x:c r="H115" s="33" t="s">
        <x:v>258</x:v>
      </x:c>
      <x:c r="I115" s="33" t="n">
        <x:f>IFERROR(XLOOKUP(G115,'模型SKU'!$A$5:$A$504,'模型SKU'!$E$5:$E$504),"")</x:f>
        <x:v>1280</x:v>
      </x:c>
      <x:c r="J115" s="33" t="n">
        <x:f>IFERROR(XLOOKUP(G115,'模型SKU'!$A$5:$A$504,'模型SKU'!$F$5:$F$504),"")</x:f>
        <x:v>720</x:v>
      </x:c>
      <x:c r="K115" s="33" t="n">
        <x:f>IFERROR(XLOOKUP(G115,'模型SKU'!$A$5:$A$504,'模型SKU'!$G$5:$G$504),"")</x:f>
        <x:v>24</x:v>
      </x:c>
      <x:c r="L115" s="35" t="n">
        <x:f>IFERROR((E115+F115)*I115*J115*K115/'参数'!$B$7,0)</x:f>
        <x:v>172800</x:v>
      </x:c>
      <x:c r="M115" s="33" t="s">
        <x:v>331</x:v>
      </x:c>
      <x:c r="N115" s="36" t="n">
        <x:f>IFERROR(XLOOKUP(C115,'渠道成本'!$A$5:$A$1004,'渠道成本'!$U$5:$U$1004),"")</x:f>
        <x:v>0.6821917808219178</x:v>
      </x:c>
      <x:c r="O115" s="36" t="n">
        <x:f>IFERROR(XLOOKUP(B115,'官方售价'!$A$5:$A$504,'官方售价'!$M$5:$M$504),"")</x:f>
        <x:v>6.301369863013698</x:v>
      </x:c>
      <x:c r="P115" s="36" t="n">
        <x:f>IF(M115="per_token",N115*L115/'参数'!$B$8,N115)</x:f>
        <x:v>0.6821917808219178</x:v>
      </x:c>
      <x:c r="Q115" s="36" t="n">
        <x:f>IFERROR(O115*D115,"")</x:f>
        <x:v>6.301369863013698</x:v>
      </x:c>
      <x:c r="R115" s="36" t="n">
        <x:f>IFERROR(Q115-P115,"")</x:f>
        <x:v>5.61917808219178</x:v>
      </x:c>
      <x:c r="S115" s="41" t="n">
        <x:f>IFERROR(R115/Q115,"")</x:f>
        <x:v>0.8917391304347826</x:v>
      </x:c>
      <x:c r="T115" s="33" t="s">
        <x:v>224</x:v>
      </x:c>
      <x:c r="U115" s="17" t="s">
        <x:v>1162</x:v>
      </x:c>
    </x:row>
    <x:row r="116" ht="26.350000381469727" customHeight="1">
      <x:c r="A116" s="29" t="s">
        <x:v>1273</x:v>
      </x:c>
      <x:c r="B116" s="29" t="s">
        <x:v>281</x:v>
      </x:c>
      <x:c r="C116" s="29" t="s">
        <x:v>547</x:v>
      </x:c>
      <x:c r="D116" s="40" t="s">
        <x:v>151</x:v>
      </x:c>
      <x:c r="E116" s="40">
        <x:v>4</x:v>
      </x:c>
      <x:c r="F116" s="40">
        <x:v>4</x:v>
      </x:c>
      <x:c r="G116" s="33" t="s">
        <x:v>232</x:v>
      </x:c>
      <x:c r="H116" s="33" t="s">
        <x:v>264</x:v>
      </x:c>
      <x:c r="I116" s="33" t="n">
        <x:f>IFERROR(XLOOKUP(G116,'模型SKU'!$A$5:$A$504,'模型SKU'!$E$5:$E$504),"")</x:f>
        <x:v>1280</x:v>
      </x:c>
      <x:c r="J116" s="33" t="n">
        <x:f>IFERROR(XLOOKUP(G116,'模型SKU'!$A$5:$A$504,'模型SKU'!$F$5:$F$504),"")</x:f>
        <x:v>720</x:v>
      </x:c>
      <x:c r="K116" s="33" t="n">
        <x:f>IFERROR(XLOOKUP(G116,'模型SKU'!$A$5:$A$504,'模型SKU'!$G$5:$G$504),"")</x:f>
        <x:v>24</x:v>
      </x:c>
      <x:c r="L116" s="35" t="n">
        <x:f>IFERROR((E116+F116)*I116*J116*K116/'参数'!$B$7,0)</x:f>
        <x:v>172800</x:v>
      </x:c>
      <x:c r="M116" s="33" t="s">
        <x:v>331</x:v>
      </x:c>
      <x:c r="N116" s="36" t="n">
        <x:f>IFERROR(XLOOKUP(C116,'渠道成本'!$A$5:$A$1004,'渠道成本'!$U$5:$U$1004),"")</x:f>
        <x:v>0.6821917808219178</x:v>
      </x:c>
      <x:c r="O116" s="36" t="n">
        <x:f>IFERROR(XLOOKUP(B116,'官方售价'!$A$5:$A$504,'官方售价'!$M$5:$M$504),"")</x:f>
        <x:v>3.835616438356164</x:v>
      </x:c>
      <x:c r="P116" s="36" t="n">
        <x:f>IF(M116="per_token",N116*L116/'参数'!$B$8,N116)</x:f>
        <x:v>0.6821917808219178</x:v>
      </x:c>
      <x:c r="Q116" s="36" t="n">
        <x:f>IFERROR(O116*D116,"")</x:f>
        <x:v>3.835616438356164</x:v>
      </x:c>
      <x:c r="R116" s="36" t="n">
        <x:f>IFERROR(Q116-P116,"")</x:f>
        <x:v>3.1534246575342464</x:v>
      </x:c>
      <x:c r="S116" s="41" t="n">
        <x:f>IFERROR(R116/Q116,"")</x:f>
        <x:v>0.8221428571428572</x:v>
      </x:c>
      <x:c r="T116" s="33" t="s">
        <x:v>224</x:v>
      </x:c>
      <x:c r="U116" s="17" t="s">
        <x:v>1162</x:v>
      </x:c>
    </x:row>
    <x:row r="117" ht="26.350000381469727" customHeight="1">
      <x:c r="A117" s="29" t="s">
        <x:v>1274</x:v>
      </x:c>
      <x:c r="B117" s="29" t="s">
        <x:v>283</x:v>
      </x:c>
      <x:c r="C117" s="29" t="s">
        <x:v>548</x:v>
      </x:c>
      <x:c r="D117" s="40" t="s">
        <x:v>151</x:v>
      </x:c>
      <x:c r="E117" s="40">
        <x:v>4</x:v>
      </x:c>
      <x:c r="F117" s="40">
        <x:v>4</x:v>
      </x:c>
      <x:c r="G117" s="33" t="s">
        <x:v>234</x:v>
      </x:c>
      <x:c r="H117" s="33" t="s">
        <x:v>258</x:v>
      </x:c>
      <x:c r="I117" s="33" t="n">
        <x:f>IFERROR(XLOOKUP(G117,'模型SKU'!$A$5:$A$504,'模型SKU'!$E$5:$E$504),"")</x:f>
        <x:v>864</x:v>
      </x:c>
      <x:c r="J117" s="33" t="n">
        <x:f>IFERROR(XLOOKUP(G117,'模型SKU'!$A$5:$A$504,'模型SKU'!$F$5:$F$504),"")</x:f>
        <x:v>496</x:v>
      </x:c>
      <x:c r="K117" s="33" t="n">
        <x:f>IFERROR(XLOOKUP(G117,'模型SKU'!$A$5:$A$504,'模型SKU'!$G$5:$G$504),"")</x:f>
        <x:v>24</x:v>
      </x:c>
      <x:c r="L117" s="35" t="n">
        <x:f>IFERROR((E117+F117)*I117*J117*K117/'参数'!$B$7,0)</x:f>
        <x:v>80352</x:v>
      </x:c>
      <x:c r="M117" s="33" t="s">
        <x:v>318</x:v>
      </x:c>
      <x:c r="N117" s="36" t="n">
        <x:f>IFERROR(XLOOKUP(C117,'渠道成本'!$A$5:$A$1004,'渠道成本'!$U$5:$U$1004),"")</x:f>
        <x:v>0.04082191780821917</x:v>
      </x:c>
      <x:c r="O117" s="36" t="n">
        <x:f>IFERROR(XLOOKUP(B117,'官方售价'!$A$5:$A$504,'官方售价'!$M$5:$M$504),"")</x:f>
        <x:v>5.068493150684931</x:v>
      </x:c>
      <x:c r="P117" s="36" t="n">
        <x:f>IF(M117="per_token",N117*L117/'参数'!$B$8,N117)</x:f>
        <x:v>0.04082191780821917</x:v>
      </x:c>
      <x:c r="Q117" s="36" t="n">
        <x:f>IFERROR(O117*D117,"")</x:f>
        <x:v>5.068493150684931</x:v>
      </x:c>
      <x:c r="R117" s="36" t="n">
        <x:f>IFERROR(Q117-P117,"")</x:f>
        <x:v>5.027671232876712</x:v>
      </x:c>
      <x:c r="S117" s="41" t="n">
        <x:f>IFERROR(R117/Q117,"")</x:f>
        <x:v>0.991945945945946</x:v>
      </x:c>
      <x:c r="T117" s="33" t="s">
        <x:v>224</x:v>
      </x:c>
      <x:c r="U117" s="17" t="s">
        <x:v>1162</x:v>
      </x:c>
    </x:row>
    <x:row r="118" ht="26.350000381469727" customHeight="1">
      <x:c r="A118" s="29" t="s">
        <x:v>1275</x:v>
      </x:c>
      <x:c r="B118" s="29" t="s">
        <x:v>286</x:v>
      </x:c>
      <x:c r="C118" s="29" t="s">
        <x:v>552</x:v>
      </x:c>
      <x:c r="D118" s="40" t="s">
        <x:v>151</x:v>
      </x:c>
      <x:c r="E118" s="40">
        <x:v>4</x:v>
      </x:c>
      <x:c r="F118" s="40">
        <x:v>4</x:v>
      </x:c>
      <x:c r="G118" s="33" t="s">
        <x:v>234</x:v>
      </x:c>
      <x:c r="H118" s="33" t="s">
        <x:v>264</x:v>
      </x:c>
      <x:c r="I118" s="33" t="n">
        <x:f>IFERROR(XLOOKUP(G118,'模型SKU'!$A$5:$A$504,'模型SKU'!$E$5:$E$504),"")</x:f>
        <x:v>864</x:v>
      </x:c>
      <x:c r="J118" s="33" t="n">
        <x:f>IFERROR(XLOOKUP(G118,'模型SKU'!$A$5:$A$504,'模型SKU'!$F$5:$F$504),"")</x:f>
        <x:v>496</x:v>
      </x:c>
      <x:c r="K118" s="33" t="n">
        <x:f>IFERROR(XLOOKUP(G118,'模型SKU'!$A$5:$A$504,'模型SKU'!$G$5:$G$504),"")</x:f>
        <x:v>24</x:v>
      </x:c>
      <x:c r="L118" s="35" t="n">
        <x:f>IFERROR((E118+F118)*I118*J118*K118/'参数'!$B$7,0)</x:f>
        <x:v>80352</x:v>
      </x:c>
      <x:c r="M118" s="33" t="s">
        <x:v>318</x:v>
      </x:c>
      <x:c r="N118" s="36" t="n">
        <x:f>IFERROR(XLOOKUP(C118,'渠道成本'!$A$5:$A$1004,'渠道成本'!$U$5:$U$1004),"")</x:f>
        <x:v>0.04082191780821917</x:v>
      </x:c>
      <x:c r="O118" s="36" t="n">
        <x:f>IFERROR(XLOOKUP(B118,'官方售价'!$A$5:$A$504,'官方售价'!$M$5:$M$504),"")</x:f>
        <x:v>3.013698630136986</x:v>
      </x:c>
      <x:c r="P118" s="36" t="n">
        <x:f>IF(M118="per_token",N118*L118/'参数'!$B$8,N118)</x:f>
        <x:v>0.04082191780821917</x:v>
      </x:c>
      <x:c r="Q118" s="36" t="n">
        <x:f>IFERROR(O118*D118,"")</x:f>
        <x:v>3.013698630136986</x:v>
      </x:c>
      <x:c r="R118" s="36" t="n">
        <x:f>IFERROR(Q118-P118,"")</x:f>
        <x:v>2.972876712328767</x:v>
      </x:c>
      <x:c r="S118" s="41" t="n">
        <x:f>IFERROR(R118/Q118,"")</x:f>
        <x:v>0.9864545454545455</x:v>
      </x:c>
      <x:c r="T118" s="33" t="s">
        <x:v>224</x:v>
      </x:c>
      <x:c r="U118" s="17" t="s">
        <x:v>1162</x:v>
      </x:c>
    </x:row>
    <x:row r="119" ht="26.350000381469727" customHeight="1">
      <x:c r="A119" s="29" t="s">
        <x:v>1276</x:v>
      </x:c>
      <x:c r="B119" s="29" t="s">
        <x:v>267</x:v>
      </x:c>
      <x:c r="C119" s="29" t="s">
        <x:v>553</x:v>
      </x:c>
      <x:c r="D119" s="40" t="s">
        <x:v>151</x:v>
      </x:c>
      <x:c r="E119" s="40">
        <x:v>4</x:v>
      </x:c>
      <x:c r="F119" s="40">
        <x:v>4</x:v>
      </x:c>
      <x:c r="G119" s="33" t="s">
        <x:v>227</x:v>
      </x:c>
      <x:c r="H119" s="33" t="s">
        <x:v>258</x:v>
      </x:c>
      <x:c r="I119" s="33" t="n">
        <x:f>IFERROR(XLOOKUP(G119,'模型SKU'!$A$5:$A$504,'模型SKU'!$E$5:$E$504),"")</x:f>
        <x:v>864</x:v>
      </x:c>
      <x:c r="J119" s="33" t="n">
        <x:f>IFERROR(XLOOKUP(G119,'模型SKU'!$A$5:$A$504,'模型SKU'!$F$5:$F$504),"")</x:f>
        <x:v>496</x:v>
      </x:c>
      <x:c r="K119" s="33" t="n">
        <x:f>IFERROR(XLOOKUP(G119,'模型SKU'!$A$5:$A$504,'模型SKU'!$G$5:$G$504),"")</x:f>
        <x:v>24</x:v>
      </x:c>
      <x:c r="L119" s="35" t="n">
        <x:f>IFERROR((E119+F119)*I119*J119*K119/'参数'!$B$7,0)</x:f>
        <x:v>80352</x:v>
      </x:c>
      <x:c r="M119" s="33" t="s">
        <x:v>318</x:v>
      </x:c>
      <x:c r="N119" s="36" t="n">
        <x:f>IFERROR(XLOOKUP(C119,'渠道成本'!$A$5:$A$1004,'渠道成本'!$U$5:$U$1004),"")</x:f>
        <x:v>0.0463013698630137</x:v>
      </x:c>
      <x:c r="O119" s="36" t="n">
        <x:f>IFERROR(XLOOKUP(B119,'官方售价'!$A$5:$A$504,'官方售价'!$M$5:$M$504),"")</x:f>
        <x:v>6.301369863013698</x:v>
      </x:c>
      <x:c r="P119" s="36" t="n">
        <x:f>IF(M119="per_token",N119*L119/'参数'!$B$8,N119)</x:f>
        <x:v>0.0463013698630137</x:v>
      </x:c>
      <x:c r="Q119" s="36" t="n">
        <x:f>IFERROR(O119*D119,"")</x:f>
        <x:v>6.301369863013698</x:v>
      </x:c>
      <x:c r="R119" s="36" t="n">
        <x:f>IFERROR(Q119-P119,"")</x:f>
        <x:v>6.255068493150684</x:v>
      </x:c>
      <x:c r="S119" s="41" t="n">
        <x:f>IFERROR(R119/Q119,"")</x:f>
        <x:v>0.9926521739130435</x:v>
      </x:c>
      <x:c r="T119" s="33" t="s">
        <x:v>224</x:v>
      </x:c>
      <x:c r="U119" s="17" t="s">
        <x:v>1162</x:v>
      </x:c>
    </x:row>
    <x:row r="120" ht="26.350000381469727" customHeight="1">
      <x:c r="A120" s="29" t="s">
        <x:v>1277</x:v>
      </x:c>
      <x:c r="B120" s="29" t="s">
        <x:v>270</x:v>
      </x:c>
      <x:c r="C120" s="29" t="s">
        <x:v>557</x:v>
      </x:c>
      <x:c r="D120" s="40" t="s">
        <x:v>151</x:v>
      </x:c>
      <x:c r="E120" s="40">
        <x:v>4</x:v>
      </x:c>
      <x:c r="F120" s="40">
        <x:v>4</x:v>
      </x:c>
      <x:c r="G120" s="33" t="s">
        <x:v>227</x:v>
      </x:c>
      <x:c r="H120" s="33" t="s">
        <x:v>264</x:v>
      </x:c>
      <x:c r="I120" s="33" t="n">
        <x:f>IFERROR(XLOOKUP(G120,'模型SKU'!$A$5:$A$504,'模型SKU'!$E$5:$E$504),"")</x:f>
        <x:v>864</x:v>
      </x:c>
      <x:c r="J120" s="33" t="n">
        <x:f>IFERROR(XLOOKUP(G120,'模型SKU'!$A$5:$A$504,'模型SKU'!$F$5:$F$504),"")</x:f>
        <x:v>496</x:v>
      </x:c>
      <x:c r="K120" s="33" t="n">
        <x:f>IFERROR(XLOOKUP(G120,'模型SKU'!$A$5:$A$504,'模型SKU'!$G$5:$G$504),"")</x:f>
        <x:v>24</x:v>
      </x:c>
      <x:c r="L120" s="35" t="n">
        <x:f>IFERROR((E120+F120)*I120*J120*K120/'参数'!$B$7,0)</x:f>
        <x:v>80352</x:v>
      </x:c>
      <x:c r="M120" s="33" t="s">
        <x:v>318</x:v>
      </x:c>
      <x:c r="N120" s="36" t="n">
        <x:f>IFERROR(XLOOKUP(C120,'渠道成本'!$A$5:$A$1004,'渠道成本'!$U$5:$U$1004),"")</x:f>
        <x:v>0.0463013698630137</x:v>
      </x:c>
      <x:c r="O120" s="36" t="n">
        <x:f>IFERROR(XLOOKUP(B120,'官方售价'!$A$5:$A$504,'官方售价'!$M$5:$M$504),"")</x:f>
        <x:v>3.835616438356164</x:v>
      </x:c>
      <x:c r="P120" s="36" t="n">
        <x:f>IF(M120="per_token",N120*L120/'参数'!$B$8,N120)</x:f>
        <x:v>0.0463013698630137</x:v>
      </x:c>
      <x:c r="Q120" s="36" t="n">
        <x:f>IFERROR(O120*D120,"")</x:f>
        <x:v>3.835616438356164</x:v>
      </x:c>
      <x:c r="R120" s="36" t="n">
        <x:f>IFERROR(Q120-P120,"")</x:f>
        <x:v>3.7893150684931505</x:v>
      </x:c>
      <x:c r="S120" s="41" t="n">
        <x:f>IFERROR(R120/Q120,"")</x:f>
        <x:v>0.9879285714285714</x:v>
      </x:c>
      <x:c r="T120" s="33" t="s">
        <x:v>224</x:v>
      </x:c>
      <x:c r="U120" s="17" t="s">
        <x:v>1162</x:v>
      </x:c>
    </x:row>
    <x:row r="121" ht="26.350000381469727" customHeight="1">
      <x:c r="A121" s="29" t="s">
        <x:v>1278</x:v>
      </x:c>
      <x:c r="B121" s="29" t="s">
        <x:v>289</x:v>
      </x:c>
      <x:c r="C121" s="29" t="s">
        <x:v>558</x:v>
      </x:c>
      <x:c r="D121" s="40" t="s">
        <x:v>151</x:v>
      </x:c>
      <x:c r="E121" s="40">
        <x:v>4</x:v>
      </x:c>
      <x:c r="F121" s="40">
        <x:v>4</x:v>
      </x:c>
      <x:c r="G121" s="33" t="s">
        <x:v>238</x:v>
      </x:c>
      <x:c r="H121" s="33" t="s">
        <x:v>258</x:v>
      </x:c>
      <x:c r="I121" s="33" t="n">
        <x:f>IFERROR(XLOOKUP(G121,'模型SKU'!$A$5:$A$504,'模型SKU'!$E$5:$E$504),"")</x:f>
        <x:v>1280</x:v>
      </x:c>
      <x:c r="J121" s="33" t="n">
        <x:f>IFERROR(XLOOKUP(G121,'模型SKU'!$A$5:$A$504,'模型SKU'!$F$5:$F$504),"")</x:f>
        <x:v>720</x:v>
      </x:c>
      <x:c r="K121" s="33" t="n">
        <x:f>IFERROR(XLOOKUP(G121,'模型SKU'!$A$5:$A$504,'模型SKU'!$G$5:$G$504),"")</x:f>
        <x:v>24</x:v>
      </x:c>
      <x:c r="L121" s="35" t="n">
        <x:f>IFERROR((E121+F121)*I121*J121*K121/'参数'!$B$7,0)</x:f>
        <x:v>172800</x:v>
      </x:c>
      <x:c r="M121" s="33" t="s">
        <x:v>318</x:v>
      </x:c>
      <x:c r="N121" s="36" t="n">
        <x:f>IFERROR(XLOOKUP(C121,'渠道成本'!$A$5:$A$1004,'渠道成本'!$U$5:$U$1004),"")</x:f>
        <x:v>0.07643835616438356</x:v>
      </x:c>
      <x:c r="O121" s="36" t="n">
        <x:f>IFERROR(XLOOKUP(B121,'官方售价'!$A$5:$A$504,'官方售价'!$M$5:$M$504),"")</x:f>
        <x:v>5.068493150684931</x:v>
      </x:c>
      <x:c r="P121" s="36" t="n">
        <x:f>IF(M121="per_token",N121*L121/'参数'!$B$8,N121)</x:f>
        <x:v>0.07643835616438356</x:v>
      </x:c>
      <x:c r="Q121" s="36" t="n">
        <x:f>IFERROR(O121*D121,"")</x:f>
        <x:v>5.068493150684931</x:v>
      </x:c>
      <x:c r="R121" s="36" t="n">
        <x:f>IFERROR(Q121-P121,"")</x:f>
        <x:v>4.992054794520548</x:v>
      </x:c>
      <x:c r="S121" s="41" t="n">
        <x:f>IFERROR(R121/Q121,"")</x:f>
        <x:v>0.9849189189189189</x:v>
      </x:c>
      <x:c r="T121" s="33" t="s">
        <x:v>224</x:v>
      </x:c>
      <x:c r="U121" s="17" t="s">
        <x:v>1162</x:v>
      </x:c>
    </x:row>
    <x:row r="122" ht="26.350000381469727" customHeight="1">
      <x:c r="A122" s="29" t="s">
        <x:v>1279</x:v>
      </x:c>
      <x:c r="B122" s="29" t="s">
        <x:v>291</x:v>
      </x:c>
      <x:c r="C122" s="29" t="s">
        <x:v>562</x:v>
      </x:c>
      <x:c r="D122" s="40" t="s">
        <x:v>151</x:v>
      </x:c>
      <x:c r="E122" s="40">
        <x:v>4</x:v>
      </x:c>
      <x:c r="F122" s="40">
        <x:v>4</x:v>
      </x:c>
      <x:c r="G122" s="33" t="s">
        <x:v>238</x:v>
      </x:c>
      <x:c r="H122" s="33" t="s">
        <x:v>264</x:v>
      </x:c>
      <x:c r="I122" s="33" t="n">
        <x:f>IFERROR(XLOOKUP(G122,'模型SKU'!$A$5:$A$504,'模型SKU'!$E$5:$E$504),"")</x:f>
        <x:v>1280</x:v>
      </x:c>
      <x:c r="J122" s="33" t="n">
        <x:f>IFERROR(XLOOKUP(G122,'模型SKU'!$A$5:$A$504,'模型SKU'!$F$5:$F$504),"")</x:f>
        <x:v>720</x:v>
      </x:c>
      <x:c r="K122" s="33" t="n">
        <x:f>IFERROR(XLOOKUP(G122,'模型SKU'!$A$5:$A$504,'模型SKU'!$G$5:$G$504),"")</x:f>
        <x:v>24</x:v>
      </x:c>
      <x:c r="L122" s="35" t="n">
        <x:f>IFERROR((E122+F122)*I122*J122*K122/'参数'!$B$7,0)</x:f>
        <x:v>172800</x:v>
      </x:c>
      <x:c r="M122" s="33" t="s">
        <x:v>318</x:v>
      </x:c>
      <x:c r="N122" s="36" t="n">
        <x:f>IFERROR(XLOOKUP(C122,'渠道成本'!$A$5:$A$1004,'渠道成本'!$U$5:$U$1004),"")</x:f>
        <x:v>0.07643835616438356</x:v>
      </x:c>
      <x:c r="O122" s="36" t="n">
        <x:f>IFERROR(XLOOKUP(B122,'官方售价'!$A$5:$A$504,'官方售价'!$M$5:$M$504),"")</x:f>
        <x:v>3.013698630136986</x:v>
      </x:c>
      <x:c r="P122" s="36" t="n">
        <x:f>IF(M122="per_token",N122*L122/'参数'!$B$8,N122)</x:f>
        <x:v>0.07643835616438356</x:v>
      </x:c>
      <x:c r="Q122" s="36" t="n">
        <x:f>IFERROR(O122*D122,"")</x:f>
        <x:v>3.013698630136986</x:v>
      </x:c>
      <x:c r="R122" s="36" t="n">
        <x:f>IFERROR(Q122-P122,"")</x:f>
        <x:v>2.937260273972602</x:v>
      </x:c>
      <x:c r="S122" s="41" t="n">
        <x:f>IFERROR(R122/Q122,"")</x:f>
        <x:v>0.9746363636363635</x:v>
      </x:c>
      <x:c r="T122" s="33" t="s">
        <x:v>224</x:v>
      </x:c>
      <x:c r="U122" s="17" t="s">
        <x:v>1162</x:v>
      </x:c>
    </x:row>
    <x:row r="123" ht="26.350000381469727" customHeight="1">
      <x:c r="A123" s="29" t="s">
        <x:v>1280</x:v>
      </x:c>
      <x:c r="B123" s="29" t="s">
        <x:v>289</x:v>
      </x:c>
      <x:c r="C123" s="29" t="s">
        <x:v>563</x:v>
      </x:c>
      <x:c r="D123" s="40" t="s">
        <x:v>151</x:v>
      </x:c>
      <x:c r="E123" s="40">
        <x:v>4</x:v>
      </x:c>
      <x:c r="F123" s="40">
        <x:v>4</x:v>
      </x:c>
      <x:c r="G123" s="33" t="s">
        <x:v>238</x:v>
      </x:c>
      <x:c r="H123" s="33" t="s">
        <x:v>258</x:v>
      </x:c>
      <x:c r="I123" s="33" t="n">
        <x:f>IFERROR(XLOOKUP(G123,'模型SKU'!$A$5:$A$504,'模型SKU'!$E$5:$E$504),"")</x:f>
        <x:v>1280</x:v>
      </x:c>
      <x:c r="J123" s="33" t="n">
        <x:f>IFERROR(XLOOKUP(G123,'模型SKU'!$A$5:$A$504,'模型SKU'!$F$5:$F$504),"")</x:f>
        <x:v>720</x:v>
      </x:c>
      <x:c r="K123" s="33" t="n">
        <x:f>IFERROR(XLOOKUP(G123,'模型SKU'!$A$5:$A$504,'模型SKU'!$G$5:$G$504),"")</x:f>
        <x:v>24</x:v>
      </x:c>
      <x:c r="L123" s="35" t="n">
        <x:f>IFERROR((E123+F123)*I123*J123*K123/'参数'!$B$7,0)</x:f>
        <x:v>172800</x:v>
      </x:c>
      <x:c r="M123" s="33" t="s">
        <x:v>318</x:v>
      </x:c>
      <x:c r="N123" s="36" t="n">
        <x:f>IFERROR(XLOOKUP(C123,'渠道成本'!$A$5:$A$1004,'渠道成本'!$U$5:$U$1004),"")</x:f>
        <x:v>0.08904109589041095</x:v>
      </x:c>
      <x:c r="O123" s="36" t="n">
        <x:f>IFERROR(XLOOKUP(B123,'官方售价'!$A$5:$A$504,'官方售价'!$M$5:$M$504),"")</x:f>
        <x:v>5.068493150684931</x:v>
      </x:c>
      <x:c r="P123" s="36" t="n">
        <x:f>IF(M123="per_token",N123*L123/'参数'!$B$8,N123)</x:f>
        <x:v>0.08904109589041095</x:v>
      </x:c>
      <x:c r="Q123" s="36" t="n">
        <x:f>IFERROR(O123*D123,"")</x:f>
        <x:v>5.068493150684931</x:v>
      </x:c>
      <x:c r="R123" s="36" t="n">
        <x:f>IFERROR(Q123-P123,"")</x:f>
        <x:v>4.97945205479452</x:v>
      </x:c>
      <x:c r="S123" s="41" t="n">
        <x:f>IFERROR(R123/Q123,"")</x:f>
        <x:v>0.9824324324324324</x:v>
      </x:c>
      <x:c r="T123" s="33" t="s">
        <x:v>224</x:v>
      </x:c>
      <x:c r="U123" s="17" t="s">
        <x:v>1162</x:v>
      </x:c>
    </x:row>
    <x:row r="124" ht="26.350000381469727" customHeight="1">
      <x:c r="A124" s="29" t="s">
        <x:v>1281</x:v>
      </x:c>
      <x:c r="B124" s="29" t="s">
        <x:v>291</x:v>
      </x:c>
      <x:c r="C124" s="29" t="s">
        <x:v>567</x:v>
      </x:c>
      <x:c r="D124" s="40" t="s">
        <x:v>151</x:v>
      </x:c>
      <x:c r="E124" s="40">
        <x:v>4</x:v>
      </x:c>
      <x:c r="F124" s="40">
        <x:v>4</x:v>
      </x:c>
      <x:c r="G124" s="33" t="s">
        <x:v>238</x:v>
      </x:c>
      <x:c r="H124" s="33" t="s">
        <x:v>264</x:v>
      </x:c>
      <x:c r="I124" s="33" t="n">
        <x:f>IFERROR(XLOOKUP(G124,'模型SKU'!$A$5:$A$504,'模型SKU'!$E$5:$E$504),"")</x:f>
        <x:v>1280</x:v>
      </x:c>
      <x:c r="J124" s="33" t="n">
        <x:f>IFERROR(XLOOKUP(G124,'模型SKU'!$A$5:$A$504,'模型SKU'!$F$5:$F$504),"")</x:f>
        <x:v>720</x:v>
      </x:c>
      <x:c r="K124" s="33" t="n">
        <x:f>IFERROR(XLOOKUP(G124,'模型SKU'!$A$5:$A$504,'模型SKU'!$G$5:$G$504),"")</x:f>
        <x:v>24</x:v>
      </x:c>
      <x:c r="L124" s="35" t="n">
        <x:f>IFERROR((E124+F124)*I124*J124*K124/'参数'!$B$7,0)</x:f>
        <x:v>172800</x:v>
      </x:c>
      <x:c r="M124" s="33" t="s">
        <x:v>318</x:v>
      </x:c>
      <x:c r="N124" s="36" t="n">
        <x:f>IFERROR(XLOOKUP(C124,'渠道成本'!$A$5:$A$1004,'渠道成本'!$U$5:$U$1004),"")</x:f>
        <x:v>0.08904109589041095</x:v>
      </x:c>
      <x:c r="O124" s="36" t="n">
        <x:f>IFERROR(XLOOKUP(B124,'官方售价'!$A$5:$A$504,'官方售价'!$M$5:$M$504),"")</x:f>
        <x:v>3.013698630136986</x:v>
      </x:c>
      <x:c r="P124" s="36" t="n">
        <x:f>IF(M124="per_token",N124*L124/'参数'!$B$8,N124)</x:f>
        <x:v>0.08904109589041095</x:v>
      </x:c>
      <x:c r="Q124" s="36" t="n">
        <x:f>IFERROR(O124*D124,"")</x:f>
        <x:v>3.013698630136986</x:v>
      </x:c>
      <x:c r="R124" s="36" t="n">
        <x:f>IFERROR(Q124-P124,"")</x:f>
        <x:v>2.924657534246575</x:v>
      </x:c>
      <x:c r="S124" s="41" t="n">
        <x:f>IFERROR(R124/Q124,"")</x:f>
        <x:v>0.9704545454545455</x:v>
      </x:c>
      <x:c r="T124" s="33" t="s">
        <x:v>224</x:v>
      </x:c>
      <x:c r="U124" s="17" t="s">
        <x:v>1162</x:v>
      </x:c>
    </x:row>
    <x:row r="125" ht="26.350000381469727" customHeight="1">
      <x:c r="A125" s="29" t="s">
        <x:v>1282</x:v>
      </x:c>
      <x:c r="B125" s="29" t="s">
        <x:v>279</x:v>
      </x:c>
      <x:c r="C125" s="29" t="s">
        <x:v>568</x:v>
      </x:c>
      <x:c r="D125" s="40" t="s">
        <x:v>151</x:v>
      </x:c>
      <x:c r="E125" s="40">
        <x:v>4</x:v>
      </x:c>
      <x:c r="F125" s="40">
        <x:v>4</x:v>
      </x:c>
      <x:c r="G125" s="33" t="s">
        <x:v>232</x:v>
      </x:c>
      <x:c r="H125" s="33" t="s">
        <x:v>258</x:v>
      </x:c>
      <x:c r="I125" s="33" t="n">
        <x:f>IFERROR(XLOOKUP(G125,'模型SKU'!$A$5:$A$504,'模型SKU'!$E$5:$E$504),"")</x:f>
        <x:v>1280</x:v>
      </x:c>
      <x:c r="J125" s="33" t="n">
        <x:f>IFERROR(XLOOKUP(G125,'模型SKU'!$A$5:$A$504,'模型SKU'!$F$5:$F$504),"")</x:f>
        <x:v>720</x:v>
      </x:c>
      <x:c r="K125" s="33" t="n">
        <x:f>IFERROR(XLOOKUP(G125,'模型SKU'!$A$5:$A$504,'模型SKU'!$G$5:$G$504),"")</x:f>
        <x:v>24</x:v>
      </x:c>
      <x:c r="L125" s="35" t="n">
        <x:f>IFERROR((E125+F125)*I125*J125*K125/'参数'!$B$7,0)</x:f>
        <x:v>172800</x:v>
      </x:c>
      <x:c r="M125" s="33" t="s">
        <x:v>318</x:v>
      </x:c>
      <x:c r="N125" s="36" t="n">
        <x:f>IFERROR(XLOOKUP(C125,'渠道成本'!$A$5:$A$1004,'渠道成本'!$U$5:$U$1004),"")</x:f>
        <x:v>0.10273972602739725</x:v>
      </x:c>
      <x:c r="O125" s="36" t="n">
        <x:f>IFERROR(XLOOKUP(B125,'官方售价'!$A$5:$A$504,'官方售价'!$M$5:$M$504),"")</x:f>
        <x:v>6.301369863013698</x:v>
      </x:c>
      <x:c r="P125" s="36" t="n">
        <x:f>IF(M125="per_token",N125*L125/'参数'!$B$8,N125)</x:f>
        <x:v>0.10273972602739725</x:v>
      </x:c>
      <x:c r="Q125" s="36" t="n">
        <x:f>IFERROR(O125*D125,"")</x:f>
        <x:v>6.301369863013698</x:v>
      </x:c>
      <x:c r="R125" s="36" t="n">
        <x:f>IFERROR(Q125-P125,"")</x:f>
        <x:v>6.198630136986301</x:v>
      </x:c>
      <x:c r="S125" s="41" t="n">
        <x:f>IFERROR(R125/Q125,"")</x:f>
        <x:v>0.9836956521739131</x:v>
      </x:c>
      <x:c r="T125" s="33" t="s">
        <x:v>224</x:v>
      </x:c>
      <x:c r="U125" s="17" t="s">
        <x:v>1162</x:v>
      </x:c>
    </x:row>
    <x:row r="126" ht="26.350000381469727" customHeight="1">
      <x:c r="A126" s="29" t="s">
        <x:v>1283</x:v>
      </x:c>
      <x:c r="B126" s="29" t="s">
        <x:v>281</x:v>
      </x:c>
      <x:c r="C126" s="29" t="s">
        <x:v>571</x:v>
      </x:c>
      <x:c r="D126" s="40" t="s">
        <x:v>151</x:v>
      </x:c>
      <x:c r="E126" s="40">
        <x:v>4</x:v>
      </x:c>
      <x:c r="F126" s="40">
        <x:v>4</x:v>
      </x:c>
      <x:c r="G126" s="33" t="s">
        <x:v>232</x:v>
      </x:c>
      <x:c r="H126" s="33" t="s">
        <x:v>264</x:v>
      </x:c>
      <x:c r="I126" s="33" t="n">
        <x:f>IFERROR(XLOOKUP(G126,'模型SKU'!$A$5:$A$504,'模型SKU'!$E$5:$E$504),"")</x:f>
        <x:v>1280</x:v>
      </x:c>
      <x:c r="J126" s="33" t="n">
        <x:f>IFERROR(XLOOKUP(G126,'模型SKU'!$A$5:$A$504,'模型SKU'!$F$5:$F$504),"")</x:f>
        <x:v>720</x:v>
      </x:c>
      <x:c r="K126" s="33" t="n">
        <x:f>IFERROR(XLOOKUP(G126,'模型SKU'!$A$5:$A$504,'模型SKU'!$G$5:$G$504),"")</x:f>
        <x:v>24</x:v>
      </x:c>
      <x:c r="L126" s="35" t="n">
        <x:f>IFERROR((E126+F126)*I126*J126*K126/'参数'!$B$7,0)</x:f>
        <x:v>172800</x:v>
      </x:c>
      <x:c r="M126" s="33" t="s">
        <x:v>318</x:v>
      </x:c>
      <x:c r="N126" s="36" t="n">
        <x:f>IFERROR(XLOOKUP(C126,'渠道成本'!$A$5:$A$1004,'渠道成本'!$U$5:$U$1004),"")</x:f>
        <x:v>0.10273972602739725</x:v>
      </x:c>
      <x:c r="O126" s="36" t="n">
        <x:f>IFERROR(XLOOKUP(B126,'官方售价'!$A$5:$A$504,'官方售价'!$M$5:$M$504),"")</x:f>
        <x:v>3.835616438356164</x:v>
      </x:c>
      <x:c r="P126" s="36" t="n">
        <x:f>IF(M126="per_token",N126*L126/'参数'!$B$8,N126)</x:f>
        <x:v>0.10273972602739725</x:v>
      </x:c>
      <x:c r="Q126" s="36" t="n">
        <x:f>IFERROR(O126*D126,"")</x:f>
        <x:v>3.835616438356164</x:v>
      </x:c>
      <x:c r="R126" s="36" t="n">
        <x:f>IFERROR(Q126-P126,"")</x:f>
        <x:v>3.7328767123287667</x:v>
      </x:c>
      <x:c r="S126" s="41" t="n">
        <x:f>IFERROR(R126/Q126,"")</x:f>
        <x:v>0.9732142857142857</x:v>
      </x:c>
      <x:c r="T126" s="33" t="s">
        <x:v>224</x:v>
      </x:c>
      <x:c r="U126" s="17" t="s">
        <x:v>1162</x:v>
      </x:c>
    </x:row>
    <x:row r="127" ht="26.350000381469727" customHeight="1">
      <x:c r="A127" s="29" t="s">
        <x:v>1284</x:v>
      </x:c>
      <x:c r="B127" s="29" t="s">
        <x:v>289</x:v>
      </x:c>
      <x:c r="C127" s="29" t="s">
        <x:v>572</x:v>
      </x:c>
      <x:c r="D127" s="40" t="s">
        <x:v>151</x:v>
      </x:c>
      <x:c r="E127" s="40">
        <x:v>4</x:v>
      </x:c>
      <x:c r="F127" s="40">
        <x:v>4</x:v>
      </x:c>
      <x:c r="G127" s="33" t="s">
        <x:v>238</x:v>
      </x:c>
      <x:c r="H127" s="33" t="s">
        <x:v>258</x:v>
      </x:c>
      <x:c r="I127" s="33" t="n">
        <x:f>IFERROR(XLOOKUP(G127,'模型SKU'!$A$5:$A$504,'模型SKU'!$E$5:$E$504),"")</x:f>
        <x:v>1280</x:v>
      </x:c>
      <x:c r="J127" s="33" t="n">
        <x:f>IFERROR(XLOOKUP(G127,'模型SKU'!$A$5:$A$504,'模型SKU'!$F$5:$F$504),"")</x:f>
        <x:v>720</x:v>
      </x:c>
      <x:c r="K127" s="33" t="n">
        <x:f>IFERROR(XLOOKUP(G127,'模型SKU'!$A$5:$A$504,'模型SKU'!$G$5:$G$504),"")</x:f>
        <x:v>24</x:v>
      </x:c>
      <x:c r="L127" s="35" t="n">
        <x:f>IFERROR((E127+F127)*I127*J127*K127/'参数'!$B$7,0)</x:f>
        <x:v>172800</x:v>
      </x:c>
      <x:c r="M127" s="33" t="s">
        <x:v>318</x:v>
      </x:c>
      <x:c r="N127" s="36" t="n">
        <x:f>IFERROR(XLOOKUP(C127,'渠道成本'!$A$5:$A$1004,'渠道成本'!$U$5:$U$1004),"")</x:f>
        <x:v>0.18904109589041093</x:v>
      </x:c>
      <x:c r="O127" s="36" t="n">
        <x:f>IFERROR(XLOOKUP(B127,'官方售价'!$A$5:$A$504,'官方售价'!$M$5:$M$504),"")</x:f>
        <x:v>5.068493150684931</x:v>
      </x:c>
      <x:c r="P127" s="36" t="n">
        <x:f>IF(M127="per_token",N127*L127/'参数'!$B$8,N127)</x:f>
        <x:v>0.18904109589041093</x:v>
      </x:c>
      <x:c r="Q127" s="36" t="n">
        <x:f>IFERROR(O127*D127,"")</x:f>
        <x:v>5.068493150684931</x:v>
      </x:c>
      <x:c r="R127" s="36" t="n">
        <x:f>IFERROR(Q127-P127,"")</x:f>
        <x:v>4.879452054794521</x:v>
      </x:c>
      <x:c r="S127" s="41" t="n">
        <x:f>IFERROR(R127/Q127,"")</x:f>
        <x:v>0.9627027027027028</x:v>
      </x:c>
      <x:c r="T127" s="33" t="s">
        <x:v>224</x:v>
      </x:c>
      <x:c r="U127" s="17" t="s">
        <x:v>1162</x:v>
      </x:c>
    </x:row>
    <x:row r="128" ht="26.350000381469727" customHeight="1">
      <x:c r="A128" s="29" t="s">
        <x:v>1285</x:v>
      </x:c>
      <x:c r="B128" s="29" t="s">
        <x:v>291</x:v>
      </x:c>
      <x:c r="C128" s="29" t="s">
        <x:v>576</x:v>
      </x:c>
      <x:c r="D128" s="40" t="s">
        <x:v>151</x:v>
      </x:c>
      <x:c r="E128" s="40">
        <x:v>4</x:v>
      </x:c>
      <x:c r="F128" s="40">
        <x:v>4</x:v>
      </x:c>
      <x:c r="G128" s="33" t="s">
        <x:v>238</x:v>
      </x:c>
      <x:c r="H128" s="33" t="s">
        <x:v>264</x:v>
      </x:c>
      <x:c r="I128" s="33" t="n">
        <x:f>IFERROR(XLOOKUP(G128,'模型SKU'!$A$5:$A$504,'模型SKU'!$E$5:$E$504),"")</x:f>
        <x:v>1280</x:v>
      </x:c>
      <x:c r="J128" s="33" t="n">
        <x:f>IFERROR(XLOOKUP(G128,'模型SKU'!$A$5:$A$504,'模型SKU'!$F$5:$F$504),"")</x:f>
        <x:v>720</x:v>
      </x:c>
      <x:c r="K128" s="33" t="n">
        <x:f>IFERROR(XLOOKUP(G128,'模型SKU'!$A$5:$A$504,'模型SKU'!$G$5:$G$504),"")</x:f>
        <x:v>24</x:v>
      </x:c>
      <x:c r="L128" s="35" t="n">
        <x:f>IFERROR((E128+F128)*I128*J128*K128/'参数'!$B$7,0)</x:f>
        <x:v>172800</x:v>
      </x:c>
      <x:c r="M128" s="33" t="s">
        <x:v>318</x:v>
      </x:c>
      <x:c r="N128" s="36" t="n">
        <x:f>IFERROR(XLOOKUP(C128,'渠道成本'!$A$5:$A$1004,'渠道成本'!$U$5:$U$1004),"")</x:f>
        <x:v>0.18904109589041093</x:v>
      </x:c>
      <x:c r="O128" s="36" t="n">
        <x:f>IFERROR(XLOOKUP(B128,'官方售价'!$A$5:$A$504,'官方售价'!$M$5:$M$504),"")</x:f>
        <x:v>3.013698630136986</x:v>
      </x:c>
      <x:c r="P128" s="36" t="n">
        <x:f>IF(M128="per_token",N128*L128/'参数'!$B$8,N128)</x:f>
        <x:v>0.18904109589041093</x:v>
      </x:c>
      <x:c r="Q128" s="36" t="n">
        <x:f>IFERROR(O128*D128,"")</x:f>
        <x:v>3.013698630136986</x:v>
      </x:c>
      <x:c r="R128" s="36" t="n">
        <x:f>IFERROR(Q128-P128,"")</x:f>
        <x:v>2.824657534246575</x:v>
      </x:c>
      <x:c r="S128" s="41" t="n">
        <x:f>IFERROR(R128/Q128,"")</x:f>
        <x:v>0.9372727272727274</x:v>
      </x:c>
      <x:c r="T128" s="33" t="s">
        <x:v>224</x:v>
      </x:c>
      <x:c r="U128" s="17" t="s">
        <x:v>1162</x:v>
      </x:c>
    </x:row>
    <x:row r="129" ht="26.350000381469727" customHeight="1">
      <x:c r="A129" s="29" t="s">
        <x:v>1286</x:v>
      </x:c>
      <x:c r="B129" s="29" t="s">
        <x:v>267</x:v>
      </x:c>
      <x:c r="C129" s="29" t="s">
        <x:v>577</x:v>
      </x:c>
      <x:c r="D129" s="40" t="s">
        <x:v>151</x:v>
      </x:c>
      <x:c r="E129" s="40">
        <x:v>4</x:v>
      </x:c>
      <x:c r="F129" s="40">
        <x:v>4</x:v>
      </x:c>
      <x:c r="G129" s="33" t="s">
        <x:v>227</x:v>
      </x:c>
      <x:c r="H129" s="33" t="s">
        <x:v>258</x:v>
      </x:c>
      <x:c r="I129" s="33" t="n">
        <x:f>IFERROR(XLOOKUP(G129,'模型SKU'!$A$5:$A$504,'模型SKU'!$E$5:$E$504),"")</x:f>
        <x:v>864</x:v>
      </x:c>
      <x:c r="J129" s="33" t="n">
        <x:f>IFERROR(XLOOKUP(G129,'模型SKU'!$A$5:$A$504,'模型SKU'!$F$5:$F$504),"")</x:f>
        <x:v>496</x:v>
      </x:c>
      <x:c r="K129" s="33" t="n">
        <x:f>IFERROR(XLOOKUP(G129,'模型SKU'!$A$5:$A$504,'模型SKU'!$G$5:$G$504),"")</x:f>
        <x:v>24</x:v>
      </x:c>
      <x:c r="L129" s="35" t="n">
        <x:f>IFERROR((E129+F129)*I129*J129*K129/'参数'!$B$7,0)</x:f>
        <x:v>80352</x:v>
      </x:c>
      <x:c r="M129" s="33" t="s">
        <x:v>318</x:v>
      </x:c>
      <x:c r="N129" s="36" t="n">
        <x:f>IFERROR(XLOOKUP(C129,'渠道成本'!$A$5:$A$1004,'渠道成本'!$U$5:$U$1004),"")</x:f>
        <x:v>0.03671232876712329</x:v>
      </x:c>
      <x:c r="O129" s="36" t="n">
        <x:f>IFERROR(XLOOKUP(B129,'官方售价'!$A$5:$A$504,'官方售价'!$M$5:$M$504),"")</x:f>
        <x:v>6.301369863013698</x:v>
      </x:c>
      <x:c r="P129" s="36" t="n">
        <x:f>IF(M129="per_token",N129*L129/'参数'!$B$8,N129)</x:f>
        <x:v>0.03671232876712329</x:v>
      </x:c>
      <x:c r="Q129" s="36" t="n">
        <x:f>IFERROR(O129*D129,"")</x:f>
        <x:v>6.301369863013698</x:v>
      </x:c>
      <x:c r="R129" s="36" t="n">
        <x:f>IFERROR(Q129-P129,"")</x:f>
        <x:v>6.264657534246575</x:v>
      </x:c>
      <x:c r="S129" s="41" t="n">
        <x:f>IFERROR(R129/Q129,"")</x:f>
        <x:v>0.9941739130434782</x:v>
      </x:c>
      <x:c r="T129" s="33" t="s">
        <x:v>224</x:v>
      </x:c>
      <x:c r="U129" s="17" t="s">
        <x:v>1162</x:v>
      </x:c>
    </x:row>
    <x:row r="130" ht="26.350000381469727" customHeight="1">
      <x:c r="A130" s="29" t="s">
        <x:v>1287</x:v>
      </x:c>
      <x:c r="B130" s="29" t="s">
        <x:v>270</x:v>
      </x:c>
      <x:c r="C130" s="29" t="s">
        <x:v>581</x:v>
      </x:c>
      <x:c r="D130" s="40" t="s">
        <x:v>151</x:v>
      </x:c>
      <x:c r="E130" s="40">
        <x:v>4</x:v>
      </x:c>
      <x:c r="F130" s="40">
        <x:v>4</x:v>
      </x:c>
      <x:c r="G130" s="33" t="s">
        <x:v>227</x:v>
      </x:c>
      <x:c r="H130" s="33" t="s">
        <x:v>264</x:v>
      </x:c>
      <x:c r="I130" s="33" t="n">
        <x:f>IFERROR(XLOOKUP(G130,'模型SKU'!$A$5:$A$504,'模型SKU'!$E$5:$E$504),"")</x:f>
        <x:v>864</x:v>
      </x:c>
      <x:c r="J130" s="33" t="n">
        <x:f>IFERROR(XLOOKUP(G130,'模型SKU'!$A$5:$A$504,'模型SKU'!$F$5:$F$504),"")</x:f>
        <x:v>496</x:v>
      </x:c>
      <x:c r="K130" s="33" t="n">
        <x:f>IFERROR(XLOOKUP(G130,'模型SKU'!$A$5:$A$504,'模型SKU'!$G$5:$G$504),"")</x:f>
        <x:v>24</x:v>
      </x:c>
      <x:c r="L130" s="35" t="n">
        <x:f>IFERROR((E130+F130)*I130*J130*K130/'参数'!$B$7,0)</x:f>
        <x:v>80352</x:v>
      </x:c>
      <x:c r="M130" s="33" t="s">
        <x:v>318</x:v>
      </x:c>
      <x:c r="N130" s="36" t="n">
        <x:f>IFERROR(XLOOKUP(C130,'渠道成本'!$A$5:$A$1004,'渠道成本'!$U$5:$U$1004),"")</x:f>
        <x:v>0.03671232876712329</x:v>
      </x:c>
      <x:c r="O130" s="36" t="n">
        <x:f>IFERROR(XLOOKUP(B130,'官方售价'!$A$5:$A$504,'官方售价'!$M$5:$M$504),"")</x:f>
        <x:v>3.835616438356164</x:v>
      </x:c>
      <x:c r="P130" s="36" t="n">
        <x:f>IF(M130="per_token",N130*L130/'参数'!$B$8,N130)</x:f>
        <x:v>0.03671232876712329</x:v>
      </x:c>
      <x:c r="Q130" s="36" t="n">
        <x:f>IFERROR(O130*D130,"")</x:f>
        <x:v>3.835616438356164</x:v>
      </x:c>
      <x:c r="R130" s="36" t="n">
        <x:f>IFERROR(Q130-P130,"")</x:f>
        <x:v>3.798904109589041</x:v>
      </x:c>
      <x:c r="S130" s="41" t="n">
        <x:f>IFERROR(R130/Q130,"")</x:f>
        <x:v>0.9904285714285714</x:v>
      </x:c>
      <x:c r="T130" s="33" t="s">
        <x:v>224</x:v>
      </x:c>
      <x:c r="U130" s="17" t="s">
        <x:v>1162</x:v>
      </x:c>
    </x:row>
    <x:row r="131" ht="26.350000381469727" customHeight="1">
      <x:c r="A131" s="29" t="s">
        <x:v>1288</x:v>
      </x:c>
      <x:c r="B131" s="29" t="s">
        <x:v>283</x:v>
      </x:c>
      <x:c r="C131" s="29" t="s">
        <x:v>582</x:v>
      </x:c>
      <x:c r="D131" s="40" t="s">
        <x:v>151</x:v>
      </x:c>
      <x:c r="E131" s="40">
        <x:v>4</x:v>
      </x:c>
      <x:c r="F131" s="40">
        <x:v>4</x:v>
      </x:c>
      <x:c r="G131" s="33" t="s">
        <x:v>234</x:v>
      </x:c>
      <x:c r="H131" s="33" t="s">
        <x:v>258</x:v>
      </x:c>
      <x:c r="I131" s="33" t="n">
        <x:f>IFERROR(XLOOKUP(G131,'模型SKU'!$A$5:$A$504,'模型SKU'!$E$5:$E$504),"")</x:f>
        <x:v>864</x:v>
      </x:c>
      <x:c r="J131" s="33" t="n">
        <x:f>IFERROR(XLOOKUP(G131,'模型SKU'!$A$5:$A$504,'模型SKU'!$F$5:$F$504),"")</x:f>
        <x:v>496</x:v>
      </x:c>
      <x:c r="K131" s="33" t="n">
        <x:f>IFERROR(XLOOKUP(G131,'模型SKU'!$A$5:$A$504,'模型SKU'!$G$5:$G$504),"")</x:f>
        <x:v>24</x:v>
      </x:c>
      <x:c r="L131" s="35" t="n">
        <x:f>IFERROR((E131+F131)*I131*J131*K131/'参数'!$B$7,0)</x:f>
        <x:v>80352</x:v>
      </x:c>
      <x:c r="M131" s="33" t="s">
        <x:v>318</x:v>
      </x:c>
      <x:c r="N131" s="36" t="n">
        <x:f>IFERROR(XLOOKUP(C131,'渠道成本'!$A$5:$A$1004,'渠道成本'!$U$5:$U$1004),"")</x:f>
        <x:v>0.022602739726027398</x:v>
      </x:c>
      <x:c r="O131" s="36" t="n">
        <x:f>IFERROR(XLOOKUP(B131,'官方售价'!$A$5:$A$504,'官方售价'!$M$5:$M$504),"")</x:f>
        <x:v>5.068493150684931</x:v>
      </x:c>
      <x:c r="P131" s="36" t="n">
        <x:f>IF(M131="per_token",N131*L131/'参数'!$B$8,N131)</x:f>
        <x:v>0.022602739726027398</x:v>
      </x:c>
      <x:c r="Q131" s="36" t="n">
        <x:f>IFERROR(O131*D131,"")</x:f>
        <x:v>5.068493150684931</x:v>
      </x:c>
      <x:c r="R131" s="36" t="n">
        <x:f>IFERROR(Q131-P131,"")</x:f>
        <x:v>5.045890410958904</x:v>
      </x:c>
      <x:c r="S131" s="41" t="n">
        <x:f>IFERROR(R131/Q131,"")</x:f>
        <x:v>0.9955405405405406</x:v>
      </x:c>
      <x:c r="T131" s="33" t="s">
        <x:v>224</x:v>
      </x:c>
      <x:c r="U131" s="17" t="s">
        <x:v>1162</x:v>
      </x:c>
    </x:row>
    <x:row r="132" ht="26.350000381469727" customHeight="1">
      <x:c r="A132" s="29" t="s">
        <x:v>1289</x:v>
      </x:c>
      <x:c r="B132" s="29" t="s">
        <x:v>286</x:v>
      </x:c>
      <x:c r="C132" s="29" t="s">
        <x:v>586</x:v>
      </x:c>
      <x:c r="D132" s="40" t="s">
        <x:v>151</x:v>
      </x:c>
      <x:c r="E132" s="40">
        <x:v>4</x:v>
      </x:c>
      <x:c r="F132" s="40">
        <x:v>4</x:v>
      </x:c>
      <x:c r="G132" s="33" t="s">
        <x:v>234</x:v>
      </x:c>
      <x:c r="H132" s="33" t="s">
        <x:v>264</x:v>
      </x:c>
      <x:c r="I132" s="33" t="n">
        <x:f>IFERROR(XLOOKUP(G132,'模型SKU'!$A$5:$A$504,'模型SKU'!$E$5:$E$504),"")</x:f>
        <x:v>864</x:v>
      </x:c>
      <x:c r="J132" s="33" t="n">
        <x:f>IFERROR(XLOOKUP(G132,'模型SKU'!$A$5:$A$504,'模型SKU'!$F$5:$F$504),"")</x:f>
        <x:v>496</x:v>
      </x:c>
      <x:c r="K132" s="33" t="n">
        <x:f>IFERROR(XLOOKUP(G132,'模型SKU'!$A$5:$A$504,'模型SKU'!$G$5:$G$504),"")</x:f>
        <x:v>24</x:v>
      </x:c>
      <x:c r="L132" s="35" t="n">
        <x:f>IFERROR((E132+F132)*I132*J132*K132/'参数'!$B$7,0)</x:f>
        <x:v>80352</x:v>
      </x:c>
      <x:c r="M132" s="33" t="s">
        <x:v>318</x:v>
      </x:c>
      <x:c r="N132" s="36" t="n">
        <x:f>IFERROR(XLOOKUP(C132,'渠道成本'!$A$5:$A$1004,'渠道成本'!$U$5:$U$1004),"")</x:f>
        <x:v>0.022602739726027398</x:v>
      </x:c>
      <x:c r="O132" s="36" t="n">
        <x:f>IFERROR(XLOOKUP(B132,'官方售价'!$A$5:$A$504,'官方售价'!$M$5:$M$504),"")</x:f>
        <x:v>3.013698630136986</x:v>
      </x:c>
      <x:c r="P132" s="36" t="n">
        <x:f>IF(M132="per_token",N132*L132/'参数'!$B$8,N132)</x:f>
        <x:v>0.022602739726027398</x:v>
      </x:c>
      <x:c r="Q132" s="36" t="n">
        <x:f>IFERROR(O132*D132,"")</x:f>
        <x:v>3.013698630136986</x:v>
      </x:c>
      <x:c r="R132" s="36" t="n">
        <x:f>IFERROR(Q132-P132,"")</x:f>
        <x:v>2.9910958904109584</x:v>
      </x:c>
      <x:c r="S132" s="41" t="n">
        <x:f>IFERROR(R132/Q132,"")</x:f>
        <x:v>0.9924999999999999</x:v>
      </x:c>
      <x:c r="T132" s="33" t="s">
        <x:v>224</x:v>
      </x:c>
      <x:c r="U132" s="17" t="s">
        <x:v>1162</x:v>
      </x:c>
    </x:row>
    <x:row r="133" ht="26.350000381469727" customHeight="1">
      <x:c r="A133" s="29" t="s">
        <x:v>1290</x:v>
      </x:c>
      <x:c r="B133" s="29" t="s">
        <x:v>293</x:v>
      </x:c>
      <x:c r="C133" s="29" t="s">
        <x:v>587</x:v>
      </x:c>
      <x:c r="D133" s="40" t="s">
        <x:v>151</x:v>
      </x:c>
      <x:c r="E133" s="40">
        <x:v>4</x:v>
      </x:c>
      <x:c r="F133" s="40">
        <x:v>4</x:v>
      </x:c>
      <x:c r="G133" s="33" t="s">
        <x:v>240</x:v>
      </x:c>
      <x:c r="H133" s="33" t="s">
        <x:v>258</x:v>
      </x:c>
      <x:c r="I133" s="33" t="n">
        <x:f>IFERROR(XLOOKUP(G133,'模型SKU'!$A$5:$A$504,'模型SKU'!$E$5:$E$504),"")</x:f>
        <x:v>864</x:v>
      </x:c>
      <x:c r="J133" s="33" t="n">
        <x:f>IFERROR(XLOOKUP(G133,'模型SKU'!$A$5:$A$504,'模型SKU'!$F$5:$F$504),"")</x:f>
        <x:v>496</x:v>
      </x:c>
      <x:c r="K133" s="33" t="n">
        <x:f>IFERROR(XLOOKUP(G133,'模型SKU'!$A$5:$A$504,'模型SKU'!$G$5:$G$504),"")</x:f>
        <x:v>24</x:v>
      </x:c>
      <x:c r="L133" s="35" t="n">
        <x:f>IFERROR((E133+F133)*I133*J133*K133/'参数'!$B$7,0)</x:f>
        <x:v>80352</x:v>
      </x:c>
      <x:c r="M133" s="33" t="s">
        <x:v>318</x:v>
      </x:c>
      <x:c r="N133" s="36" t="n">
        <x:f>IFERROR(XLOOKUP(C133,'渠道成本'!$A$5:$A$1004,'渠道成本'!$U$5:$U$1004),"")</x:f>
        <x:v>0.017534246575342465</x:v>
      </x:c>
      <x:c r="O133" s="36" t="n">
        <x:f>IFERROR(XLOOKUP(B133,'官方售价'!$A$5:$A$504,'官方售价'!$M$5:$M$504),"")</x:f>
        <x:v>3.150684931506849</x:v>
      </x:c>
      <x:c r="P133" s="36" t="n">
        <x:f>IF(M133="per_token",N133*L133/'参数'!$B$8,N133)</x:f>
        <x:v>0.017534246575342465</x:v>
      </x:c>
      <x:c r="Q133" s="36" t="n">
        <x:f>IFERROR(O133*D133,"")</x:f>
        <x:v>3.150684931506849</x:v>
      </x:c>
      <x:c r="R133" s="36" t="n">
        <x:f>IFERROR(Q133-P133,"")</x:f>
        <x:v>3.1331506849315067</x:v>
      </x:c>
      <x:c r="S133" s="41" t="n">
        <x:f>IFERROR(R133/Q133,"")</x:f>
        <x:v>0.9944347826086957</x:v>
      </x:c>
      <x:c r="T133" s="33" t="s">
        <x:v>224</x:v>
      </x:c>
      <x:c r="U133" s="17" t="s">
        <x:v>1162</x:v>
      </x:c>
    </x:row>
    <x:row r="134" ht="26.350000381469727" customHeight="1">
      <x:c r="A134" s="29" t="s">
        <x:v>1291</x:v>
      </x:c>
      <x:c r="B134" s="29" t="s">
        <x:v>296</x:v>
      </x:c>
      <x:c r="C134" s="29" t="s">
        <x:v>591</x:v>
      </x:c>
      <x:c r="D134" s="40" t="s">
        <x:v>151</x:v>
      </x:c>
      <x:c r="E134" s="40">
        <x:v>4</x:v>
      </x:c>
      <x:c r="F134" s="40">
        <x:v>4</x:v>
      </x:c>
      <x:c r="G134" s="33" t="s">
        <x:v>240</x:v>
      </x:c>
      <x:c r="H134" s="33" t="s">
        <x:v>264</x:v>
      </x:c>
      <x:c r="I134" s="33" t="n">
        <x:f>IFERROR(XLOOKUP(G134,'模型SKU'!$A$5:$A$504,'模型SKU'!$E$5:$E$504),"")</x:f>
        <x:v>864</x:v>
      </x:c>
      <x:c r="J134" s="33" t="n">
        <x:f>IFERROR(XLOOKUP(G134,'模型SKU'!$A$5:$A$504,'模型SKU'!$F$5:$F$504),"")</x:f>
        <x:v>496</x:v>
      </x:c>
      <x:c r="K134" s="33" t="n">
        <x:f>IFERROR(XLOOKUP(G134,'模型SKU'!$A$5:$A$504,'模型SKU'!$G$5:$G$504),"")</x:f>
        <x:v>24</x:v>
      </x:c>
      <x:c r="L134" s="35" t="n">
        <x:f>IFERROR((E134+F134)*I134*J134*K134/'参数'!$B$7,0)</x:f>
        <x:v>80352</x:v>
      </x:c>
      <x:c r="M134" s="33" t="s">
        <x:v>318</x:v>
      </x:c>
      <x:c r="N134" s="36" t="n">
        <x:f>IFERROR(XLOOKUP(C134,'渠道成本'!$A$5:$A$1004,'渠道成本'!$U$5:$U$1004),"")</x:f>
        <x:v>0.017534246575342465</x:v>
      </x:c>
      <x:c r="O134" s="36" t="n">
        <x:f>IFERROR(XLOOKUP(B134,'官方售价'!$A$5:$A$504,'官方售价'!$M$5:$M$504),"")</x:f>
        <x:v>1.917808219178082</x:v>
      </x:c>
      <x:c r="P134" s="36" t="n">
        <x:f>IF(M134="per_token",N134*L134/'参数'!$B$8,N134)</x:f>
        <x:v>0.017534246575342465</x:v>
      </x:c>
      <x:c r="Q134" s="36" t="n">
        <x:f>IFERROR(O134*D134,"")</x:f>
        <x:v>1.917808219178082</x:v>
      </x:c>
      <x:c r="R134" s="36" t="n">
        <x:f>IFERROR(Q134-P134,"")</x:f>
        <x:v>1.9002739726027396</x:v>
      </x:c>
      <x:c r="S134" s="41" t="n">
        <x:f>IFERROR(R134/Q134,"")</x:f>
        <x:v>0.9908571428571428</x:v>
      </x:c>
      <x:c r="T134" s="33" t="s">
        <x:v>224</x:v>
      </x:c>
      <x:c r="U134" s="17" t="s">
        <x:v>1162</x:v>
      </x:c>
    </x:row>
    <x:row r="135" ht="26.350000381469727" customHeight="1">
      <x:c r="A135" s="29" t="s">
        <x:v>1292</x:v>
      </x:c>
      <x:c r="B135" s="29" t="s">
        <x:v>289</x:v>
      </x:c>
      <x:c r="C135" s="29" t="s">
        <x:v>592</x:v>
      </x:c>
      <x:c r="D135" s="40" t="s">
        <x:v>151</x:v>
      </x:c>
      <x:c r="E135" s="40">
        <x:v>4</x:v>
      </x:c>
      <x:c r="F135" s="40">
        <x:v>4</x:v>
      </x:c>
      <x:c r="G135" s="33" t="s">
        <x:v>238</x:v>
      </x:c>
      <x:c r="H135" s="33" t="s">
        <x:v>258</x:v>
      </x:c>
      <x:c r="I135" s="33" t="n">
        <x:f>IFERROR(XLOOKUP(G135,'模型SKU'!$A$5:$A$504,'模型SKU'!$E$5:$E$504),"")</x:f>
        <x:v>1280</x:v>
      </x:c>
      <x:c r="J135" s="33" t="n">
        <x:f>IFERROR(XLOOKUP(G135,'模型SKU'!$A$5:$A$504,'模型SKU'!$F$5:$F$504),"")</x:f>
        <x:v>720</x:v>
      </x:c>
      <x:c r="K135" s="33" t="n">
        <x:f>IFERROR(XLOOKUP(G135,'模型SKU'!$A$5:$A$504,'模型SKU'!$G$5:$G$504),"")</x:f>
        <x:v>24</x:v>
      </x:c>
      <x:c r="L135" s="35" t="n">
        <x:f>IFERROR((E135+F135)*I135*J135*K135/'参数'!$B$7,0)</x:f>
        <x:v>172800</x:v>
      </x:c>
      <x:c r="M135" s="33" t="s">
        <x:v>318</x:v>
      </x:c>
      <x:c r="N135" s="36" t="n">
        <x:f>IFERROR(XLOOKUP(C135,'渠道成本'!$A$5:$A$1004,'渠道成本'!$U$5:$U$1004),"")</x:f>
        <x:v>0.03671232876712329</x:v>
      </x:c>
      <x:c r="O135" s="36" t="n">
        <x:f>IFERROR(XLOOKUP(B135,'官方售价'!$A$5:$A$504,'官方售价'!$M$5:$M$504),"")</x:f>
        <x:v>5.068493150684931</x:v>
      </x:c>
      <x:c r="P135" s="36" t="n">
        <x:f>IF(M135="per_token",N135*L135/'参数'!$B$8,N135)</x:f>
        <x:v>0.03671232876712329</x:v>
      </x:c>
      <x:c r="Q135" s="36" t="n">
        <x:f>IFERROR(O135*D135,"")</x:f>
        <x:v>5.068493150684931</x:v>
      </x:c>
      <x:c r="R135" s="36" t="n">
        <x:f>IFERROR(Q135-P135,"")</x:f>
        <x:v>5.031780821917808</x:v>
      </x:c>
      <x:c r="S135" s="41" t="n">
        <x:f>IFERROR(R135/Q135,"")</x:f>
        <x:v>0.9927567567567568</x:v>
      </x:c>
      <x:c r="T135" s="33" t="s">
        <x:v>224</x:v>
      </x:c>
      <x:c r="U135" s="17" t="s">
        <x:v>1162</x:v>
      </x:c>
    </x:row>
    <x:row r="136" ht="26.350000381469727" customHeight="1">
      <x:c r="A136" s="29" t="s">
        <x:v>1293</x:v>
      </x:c>
      <x:c r="B136" s="29" t="s">
        <x:v>291</x:v>
      </x:c>
      <x:c r="C136" s="29" t="s">
        <x:v>595</x:v>
      </x:c>
      <x:c r="D136" s="40" t="s">
        <x:v>151</x:v>
      </x:c>
      <x:c r="E136" s="40">
        <x:v>4</x:v>
      </x:c>
      <x:c r="F136" s="40">
        <x:v>4</x:v>
      </x:c>
      <x:c r="G136" s="33" t="s">
        <x:v>238</x:v>
      </x:c>
      <x:c r="H136" s="33" t="s">
        <x:v>264</x:v>
      </x:c>
      <x:c r="I136" s="33" t="n">
        <x:f>IFERROR(XLOOKUP(G136,'模型SKU'!$A$5:$A$504,'模型SKU'!$E$5:$E$504),"")</x:f>
        <x:v>1280</x:v>
      </x:c>
      <x:c r="J136" s="33" t="n">
        <x:f>IFERROR(XLOOKUP(G136,'模型SKU'!$A$5:$A$504,'模型SKU'!$F$5:$F$504),"")</x:f>
        <x:v>720</x:v>
      </x:c>
      <x:c r="K136" s="33" t="n">
        <x:f>IFERROR(XLOOKUP(G136,'模型SKU'!$A$5:$A$504,'模型SKU'!$G$5:$G$504),"")</x:f>
        <x:v>24</x:v>
      </x:c>
      <x:c r="L136" s="35" t="n">
        <x:f>IFERROR((E136+F136)*I136*J136*K136/'参数'!$B$7,0)</x:f>
        <x:v>172800</x:v>
      </x:c>
      <x:c r="M136" s="33" t="s">
        <x:v>318</x:v>
      </x:c>
      <x:c r="N136" s="36" t="n">
        <x:f>IFERROR(XLOOKUP(C136,'渠道成本'!$A$5:$A$1004,'渠道成本'!$U$5:$U$1004),"")</x:f>
        <x:v>0.03671232876712329</x:v>
      </x:c>
      <x:c r="O136" s="36" t="n">
        <x:f>IFERROR(XLOOKUP(B136,'官方售价'!$A$5:$A$504,'官方售价'!$M$5:$M$504),"")</x:f>
        <x:v>3.013698630136986</x:v>
      </x:c>
      <x:c r="P136" s="36" t="n">
        <x:f>IF(M136="per_token",N136*L136/'参数'!$B$8,N136)</x:f>
        <x:v>0.03671232876712329</x:v>
      </x:c>
      <x:c r="Q136" s="36" t="n">
        <x:f>IFERROR(O136*D136,"")</x:f>
        <x:v>3.013698630136986</x:v>
      </x:c>
      <x:c r="R136" s="36" t="n">
        <x:f>IFERROR(Q136-P136,"")</x:f>
        <x:v>2.9769863013698625</x:v>
      </x:c>
      <x:c r="S136" s="41" t="n">
        <x:f>IFERROR(R136/Q136,"")</x:f>
        <x:v>0.9878181818181818</x:v>
      </x:c>
      <x:c r="T136" s="33" t="s">
        <x:v>224</x:v>
      </x:c>
      <x:c r="U136" s="17" t="s">
        <x:v>1162</x:v>
      </x:c>
    </x:row>
    <x:row r="137" ht="26.350000381469727" customHeight="1">
      <x:c r="A137" s="29" t="s">
        <x:v>1294</x:v>
      </x:c>
      <x:c r="B137" s="29" t="s">
        <x:v>299</x:v>
      </x:c>
      <x:c r="C137" s="29" t="s">
        <x:v>596</x:v>
      </x:c>
      <x:c r="D137" s="40" t="s">
        <x:v>151</x:v>
      </x:c>
      <x:c r="E137" s="40">
        <x:v>4</x:v>
      </x:c>
      <x:c r="F137" s="40">
        <x:v>4</x:v>
      </x:c>
      <x:c r="G137" s="33" t="s">
        <x:v>244</x:v>
      </x:c>
      <x:c r="H137" s="33" t="s">
        <x:v>258</x:v>
      </x:c>
      <x:c r="I137" s="33" t="n">
        <x:f>IFERROR(XLOOKUP(G137,'模型SKU'!$A$5:$A$504,'模型SKU'!$E$5:$E$504),"")</x:f>
        <x:v>1280</x:v>
      </x:c>
      <x:c r="J137" s="33" t="n">
        <x:f>IFERROR(XLOOKUP(G137,'模型SKU'!$A$5:$A$504,'模型SKU'!$F$5:$F$504),"")</x:f>
        <x:v>720</x:v>
      </x:c>
      <x:c r="K137" s="33" t="n">
        <x:f>IFERROR(XLOOKUP(G137,'模型SKU'!$A$5:$A$504,'模型SKU'!$G$5:$G$504),"")</x:f>
        <x:v>24</x:v>
      </x:c>
      <x:c r="L137" s="35" t="n">
        <x:f>IFERROR((E137+F137)*I137*J137*K137/'参数'!$B$7,0)</x:f>
        <x:v>172800</x:v>
      </x:c>
      <x:c r="M137" s="33" t="s">
        <x:v>318</x:v>
      </x:c>
      <x:c r="N137" s="36" t="n">
        <x:f>IFERROR(XLOOKUP(C137,'渠道成本'!$A$5:$A$1004,'渠道成本'!$U$5:$U$1004),"")</x:f>
        <x:v>0.027123287671232878</x:v>
      </x:c>
      <x:c r="O137" s="36" t="n">
        <x:f>IFERROR(XLOOKUP(B137,'官方售价'!$A$5:$A$504,'官方售价'!$M$5:$M$504),"")</x:f>
        <x:v>3.150684931506849</x:v>
      </x:c>
      <x:c r="P137" s="36" t="n">
        <x:f>IF(M137="per_token",N137*L137/'参数'!$B$8,N137)</x:f>
        <x:v>0.027123287671232878</x:v>
      </x:c>
      <x:c r="Q137" s="36" t="n">
        <x:f>IFERROR(O137*D137,"")</x:f>
        <x:v>3.150684931506849</x:v>
      </x:c>
      <x:c r="R137" s="36" t="n">
        <x:f>IFERROR(Q137-P137,"")</x:f>
        <x:v>3.123561643835616</x:v>
      </x:c>
      <x:c r="S137" s="41" t="n">
        <x:f>IFERROR(R137/Q137,"")</x:f>
        <x:v>0.9913913043478261</x:v>
      </x:c>
      <x:c r="T137" s="33" t="s">
        <x:v>224</x:v>
      </x:c>
      <x:c r="U137" s="17" t="s">
        <x:v>1162</x:v>
      </x:c>
    </x:row>
    <x:row r="138" ht="26.350000381469727" customHeight="1">
      <x:c r="A138" s="29" t="s">
        <x:v>1295</x:v>
      </x:c>
      <x:c r="B138" s="29" t="s">
        <x:v>301</x:v>
      </x:c>
      <x:c r="C138" s="29" t="s">
        <x:v>600</x:v>
      </x:c>
      <x:c r="D138" s="40" t="s">
        <x:v>151</x:v>
      </x:c>
      <x:c r="E138" s="40">
        <x:v>4</x:v>
      </x:c>
      <x:c r="F138" s="40">
        <x:v>4</x:v>
      </x:c>
      <x:c r="G138" s="33" t="s">
        <x:v>244</x:v>
      </x:c>
      <x:c r="H138" s="33" t="s">
        <x:v>264</x:v>
      </x:c>
      <x:c r="I138" s="33" t="n">
        <x:f>IFERROR(XLOOKUP(G138,'模型SKU'!$A$5:$A$504,'模型SKU'!$E$5:$E$504),"")</x:f>
        <x:v>1280</x:v>
      </x:c>
      <x:c r="J138" s="33" t="n">
        <x:f>IFERROR(XLOOKUP(G138,'模型SKU'!$A$5:$A$504,'模型SKU'!$F$5:$F$504),"")</x:f>
        <x:v>720</x:v>
      </x:c>
      <x:c r="K138" s="33" t="n">
        <x:f>IFERROR(XLOOKUP(G138,'模型SKU'!$A$5:$A$504,'模型SKU'!$G$5:$G$504),"")</x:f>
        <x:v>24</x:v>
      </x:c>
      <x:c r="L138" s="35" t="n">
        <x:f>IFERROR((E138+F138)*I138*J138*K138/'参数'!$B$7,0)</x:f>
        <x:v>172800</x:v>
      </x:c>
      <x:c r="M138" s="33" t="s">
        <x:v>318</x:v>
      </x:c>
      <x:c r="N138" s="36" t="n">
        <x:f>IFERROR(XLOOKUP(C138,'渠道成本'!$A$5:$A$1004,'渠道成本'!$U$5:$U$1004),"")</x:f>
        <x:v>0.027123287671232878</x:v>
      </x:c>
      <x:c r="O138" s="36" t="n">
        <x:f>IFERROR(XLOOKUP(B138,'官方售价'!$A$5:$A$504,'官方售价'!$M$5:$M$504),"")</x:f>
        <x:v>1.917808219178082</x:v>
      </x:c>
      <x:c r="P138" s="36" t="n">
        <x:f>IF(M138="per_token",N138*L138/'参数'!$B$8,N138)</x:f>
        <x:v>0.027123287671232878</x:v>
      </x:c>
      <x:c r="Q138" s="36" t="n">
        <x:f>IFERROR(O138*D138,"")</x:f>
        <x:v>1.917808219178082</x:v>
      </x:c>
      <x:c r="R138" s="36" t="n">
        <x:f>IFERROR(Q138-P138,"")</x:f>
        <x:v>1.8906849315068492</x:v>
      </x:c>
      <x:c r="S138" s="41" t="n">
        <x:f>IFERROR(R138/Q138,"")</x:f>
        <x:v>0.9858571428571429</x:v>
      </x:c>
      <x:c r="T138" s="33" t="s">
        <x:v>224</x:v>
      </x:c>
      <x:c r="U138" s="17" t="s">
        <x:v>1162</x:v>
      </x:c>
    </x:row>
    <x:row r="139" ht="26.350000381469727" customHeight="1">
      <x:c r="A139" s="29" t="s">
        <x:v>1296</x:v>
      </x:c>
      <x:c r="B139" s="29" t="s">
        <x:v>279</x:v>
      </x:c>
      <x:c r="C139" s="29" t="s">
        <x:v>601</x:v>
      </x:c>
      <x:c r="D139" s="40" t="s">
        <x:v>151</x:v>
      </x:c>
      <x:c r="E139" s="40">
        <x:v>4</x:v>
      </x:c>
      <x:c r="F139" s="40">
        <x:v>4</x:v>
      </x:c>
      <x:c r="G139" s="33" t="s">
        <x:v>232</x:v>
      </x:c>
      <x:c r="H139" s="33" t="s">
        <x:v>258</x:v>
      </x:c>
      <x:c r="I139" s="33" t="n">
        <x:f>IFERROR(XLOOKUP(G139,'模型SKU'!$A$5:$A$504,'模型SKU'!$E$5:$E$504),"")</x:f>
        <x:v>1280</x:v>
      </x:c>
      <x:c r="J139" s="33" t="n">
        <x:f>IFERROR(XLOOKUP(G139,'模型SKU'!$A$5:$A$504,'模型SKU'!$F$5:$F$504),"")</x:f>
        <x:v>720</x:v>
      </x:c>
      <x:c r="K139" s="33" t="n">
        <x:f>IFERROR(XLOOKUP(G139,'模型SKU'!$A$5:$A$504,'模型SKU'!$G$5:$G$504),"")</x:f>
        <x:v>24</x:v>
      </x:c>
      <x:c r="L139" s="35" t="n">
        <x:f>IFERROR((E139+F139)*I139*J139*K139/'参数'!$B$7,0)</x:f>
        <x:v>172800</x:v>
      </x:c>
      <x:c r="M139" s="33" t="s">
        <x:v>318</x:v>
      </x:c>
      <x:c r="N139" s="36" t="n">
        <x:f>IFERROR(XLOOKUP(C139,'渠道成本'!$A$5:$A$1004,'渠道成本'!$U$5:$U$1004),"")</x:f>
        <x:v>0.050410958904109585</x:v>
      </x:c>
      <x:c r="O139" s="36" t="n">
        <x:f>IFERROR(XLOOKUP(B139,'官方售价'!$A$5:$A$504,'官方售价'!$M$5:$M$504),"")</x:f>
        <x:v>6.301369863013698</x:v>
      </x:c>
      <x:c r="P139" s="36" t="n">
        <x:f>IF(M139="per_token",N139*L139/'参数'!$B$8,N139)</x:f>
        <x:v>0.050410958904109585</x:v>
      </x:c>
      <x:c r="Q139" s="36" t="n">
        <x:f>IFERROR(O139*D139,"")</x:f>
        <x:v>6.301369863013698</x:v>
      </x:c>
      <x:c r="R139" s="36" t="n">
        <x:f>IFERROR(Q139-P139,"")</x:f>
        <x:v>6.250958904109589</x:v>
      </x:c>
      <x:c r="S139" s="41" t="n">
        <x:f>IFERROR(R139/Q139,"")</x:f>
        <x:v>0.992</x:v>
      </x:c>
      <x:c r="T139" s="33" t="s">
        <x:v>224</x:v>
      </x:c>
      <x:c r="U139" s="17" t="s">
        <x:v>1162</x:v>
      </x:c>
    </x:row>
    <x:row r="140" ht="26.350000381469727" customHeight="1">
      <x:c r="A140" s="29" t="s">
        <x:v>1297</x:v>
      </x:c>
      <x:c r="B140" s="29" t="s">
        <x:v>281</x:v>
      </x:c>
      <x:c r="C140" s="29" t="s">
        <x:v>605</x:v>
      </x:c>
      <x:c r="D140" s="40" t="s">
        <x:v>151</x:v>
      </x:c>
      <x:c r="E140" s="40">
        <x:v>4</x:v>
      </x:c>
      <x:c r="F140" s="40">
        <x:v>4</x:v>
      </x:c>
      <x:c r="G140" s="33" t="s">
        <x:v>232</x:v>
      </x:c>
      <x:c r="H140" s="33" t="s">
        <x:v>264</x:v>
      </x:c>
      <x:c r="I140" s="33" t="n">
        <x:f>IFERROR(XLOOKUP(G140,'模型SKU'!$A$5:$A$504,'模型SKU'!$E$5:$E$504),"")</x:f>
        <x:v>1280</x:v>
      </x:c>
      <x:c r="J140" s="33" t="n">
        <x:f>IFERROR(XLOOKUP(G140,'模型SKU'!$A$5:$A$504,'模型SKU'!$F$5:$F$504),"")</x:f>
        <x:v>720</x:v>
      </x:c>
      <x:c r="K140" s="33" t="n">
        <x:f>IFERROR(XLOOKUP(G140,'模型SKU'!$A$5:$A$504,'模型SKU'!$G$5:$G$504),"")</x:f>
        <x:v>24</x:v>
      </x:c>
      <x:c r="L140" s="35" t="n">
        <x:f>IFERROR((E140+F140)*I140*J140*K140/'参数'!$B$7,0)</x:f>
        <x:v>172800</x:v>
      </x:c>
      <x:c r="M140" s="33" t="s">
        <x:v>318</x:v>
      </x:c>
      <x:c r="N140" s="36" t="n">
        <x:f>IFERROR(XLOOKUP(C140,'渠道成本'!$A$5:$A$1004,'渠道成本'!$U$5:$U$1004),"")</x:f>
        <x:v>0.050410958904109585</x:v>
      </x:c>
      <x:c r="O140" s="36" t="n">
        <x:f>IFERROR(XLOOKUP(B140,'官方售价'!$A$5:$A$504,'官方售价'!$M$5:$M$504),"")</x:f>
        <x:v>3.835616438356164</x:v>
      </x:c>
      <x:c r="P140" s="36" t="n">
        <x:f>IF(M140="per_token",N140*L140/'参数'!$B$8,N140)</x:f>
        <x:v>0.050410958904109585</x:v>
      </x:c>
      <x:c r="Q140" s="36" t="n">
        <x:f>IFERROR(O140*D140,"")</x:f>
        <x:v>3.835616438356164</x:v>
      </x:c>
      <x:c r="R140" s="36" t="n">
        <x:f>IFERROR(Q140-P140,"")</x:f>
        <x:v>3.7852054794520544</x:v>
      </x:c>
      <x:c r="S140" s="41" t="n">
        <x:f>IFERROR(R140/Q140,"")</x:f>
        <x:v>0.9868571428571428</x:v>
      </x:c>
      <x:c r="T140" s="33" t="s">
        <x:v>224</x:v>
      </x:c>
      <x:c r="U140" s="17" t="s">
        <x:v>1162</x:v>
      </x:c>
    </x:row>
    <x:row r="141" ht="26.350000381469727" customHeight="1">
      <x:c r="A141" s="29" t="s">
        <x:v>1298</x:v>
      </x:c>
      <x:c r="B141" s="29" t="s">
        <x:v>299</x:v>
      </x:c>
      <x:c r="C141" s="29" t="s">
        <x:v>606</x:v>
      </x:c>
      <x:c r="D141" s="40" t="s">
        <x:v>151</x:v>
      </x:c>
      <x:c r="E141" s="40">
        <x:v>4</x:v>
      </x:c>
      <x:c r="F141" s="40">
        <x:v>4</x:v>
      </x:c>
      <x:c r="G141" s="33" t="s">
        <x:v>244</x:v>
      </x:c>
      <x:c r="H141" s="33" t="s">
        <x:v>258</x:v>
      </x:c>
      <x:c r="I141" s="33" t="n">
        <x:f>IFERROR(XLOOKUP(G141,'模型SKU'!$A$5:$A$504,'模型SKU'!$E$5:$E$504),"")</x:f>
        <x:v>1280</x:v>
      </x:c>
      <x:c r="J141" s="33" t="n">
        <x:f>IFERROR(XLOOKUP(G141,'模型SKU'!$A$5:$A$504,'模型SKU'!$F$5:$F$504),"")</x:f>
        <x:v>720</x:v>
      </x:c>
      <x:c r="K141" s="33" t="n">
        <x:f>IFERROR(XLOOKUP(G141,'模型SKU'!$A$5:$A$504,'模型SKU'!$G$5:$G$504),"")</x:f>
        <x:v>24</x:v>
      </x:c>
      <x:c r="L141" s="35" t="n">
        <x:f>IFERROR((E141+F141)*I141*J141*K141/'参数'!$B$7,0)</x:f>
        <x:v>172800</x:v>
      </x:c>
      <x:c r="M141" s="33" t="s">
        <x:v>318</x:v>
      </x:c>
      <x:c r="N141" s="36" t="n">
        <x:f>IFERROR(XLOOKUP(C141,'渠道成本'!$A$5:$A$1004,'渠道成本'!$U$5:$U$1004),"")</x:f>
        <x:v>0.04794520547945205</x:v>
      </x:c>
      <x:c r="O141" s="36" t="n">
        <x:f>IFERROR(XLOOKUP(B141,'官方售价'!$A$5:$A$504,'官方售价'!$M$5:$M$504),"")</x:f>
        <x:v>3.150684931506849</x:v>
      </x:c>
      <x:c r="P141" s="36" t="n">
        <x:f>IF(M141="per_token",N141*L141/'参数'!$B$8,N141)</x:f>
        <x:v>0.04794520547945205</x:v>
      </x:c>
      <x:c r="Q141" s="36" t="n">
        <x:f>IFERROR(O141*D141,"")</x:f>
        <x:v>3.150684931506849</x:v>
      </x:c>
      <x:c r="R141" s="36" t="n">
        <x:f>IFERROR(Q141-P141,"")</x:f>
        <x:v>3.102739726027397</x:v>
      </x:c>
      <x:c r="S141" s="41" t="n">
        <x:f>IFERROR(R141/Q141,"")</x:f>
        <x:v>0.9847826086956522</x:v>
      </x:c>
      <x:c r="T141" s="33" t="s">
        <x:v>224</x:v>
      </x:c>
      <x:c r="U141" s="17" t="s">
        <x:v>1162</x:v>
      </x:c>
    </x:row>
    <x:row r="142" ht="26.350000381469727" customHeight="1">
      <x:c r="A142" s="29" t="s">
        <x:v>1299</x:v>
      </x:c>
      <x:c r="B142" s="29" t="s">
        <x:v>301</x:v>
      </x:c>
      <x:c r="C142" s="29" t="s">
        <x:v>609</x:v>
      </x:c>
      <x:c r="D142" s="40" t="s">
        <x:v>151</x:v>
      </x:c>
      <x:c r="E142" s="40">
        <x:v>4</x:v>
      </x:c>
      <x:c r="F142" s="40">
        <x:v>4</x:v>
      </x:c>
      <x:c r="G142" s="33" t="s">
        <x:v>244</x:v>
      </x:c>
      <x:c r="H142" s="33" t="s">
        <x:v>264</x:v>
      </x:c>
      <x:c r="I142" s="33" t="n">
        <x:f>IFERROR(XLOOKUP(G142,'模型SKU'!$A$5:$A$504,'模型SKU'!$E$5:$E$504),"")</x:f>
        <x:v>1280</x:v>
      </x:c>
      <x:c r="J142" s="33" t="n">
        <x:f>IFERROR(XLOOKUP(G142,'模型SKU'!$A$5:$A$504,'模型SKU'!$F$5:$F$504),"")</x:f>
        <x:v>720</x:v>
      </x:c>
      <x:c r="K142" s="33" t="n">
        <x:f>IFERROR(XLOOKUP(G142,'模型SKU'!$A$5:$A$504,'模型SKU'!$G$5:$G$504),"")</x:f>
        <x:v>24</x:v>
      </x:c>
      <x:c r="L142" s="35" t="n">
        <x:f>IFERROR((E142+F142)*I142*J142*K142/'参数'!$B$7,0)</x:f>
        <x:v>172800</x:v>
      </x:c>
      <x:c r="M142" s="33" t="s">
        <x:v>318</x:v>
      </x:c>
      <x:c r="N142" s="36" t="n">
        <x:f>IFERROR(XLOOKUP(C142,'渠道成本'!$A$5:$A$1004,'渠道成本'!$U$5:$U$1004),"")</x:f>
        <x:v>0.04794520547945205</x:v>
      </x:c>
      <x:c r="O142" s="36" t="n">
        <x:f>IFERROR(XLOOKUP(B142,'官方售价'!$A$5:$A$504,'官方售价'!$M$5:$M$504),"")</x:f>
        <x:v>1.917808219178082</x:v>
      </x:c>
      <x:c r="P142" s="36" t="n">
        <x:f>IF(M142="per_token",N142*L142/'参数'!$B$8,N142)</x:f>
        <x:v>0.04794520547945205</x:v>
      </x:c>
      <x:c r="Q142" s="36" t="n">
        <x:f>IFERROR(O142*D142,"")</x:f>
        <x:v>1.917808219178082</x:v>
      </x:c>
      <x:c r="R142" s="36" t="n">
        <x:f>IFERROR(Q142-P142,"")</x:f>
        <x:v>1.86986301369863</x:v>
      </x:c>
      <x:c r="S142" s="41" t="n">
        <x:f>IFERROR(R142/Q142,"")</x:f>
        <x:v>0.975</x:v>
      </x:c>
      <x:c r="T142" s="33" t="s">
        <x:v>224</x:v>
      </x:c>
      <x:c r="U142" s="17" t="s">
        <x:v>1162</x:v>
      </x:c>
    </x:row>
    <x:row r="143" ht="26.350000381469727" customHeight="1">
      <x:c r="A143" s="29" t="s">
        <x:v>1300</x:v>
      </x:c>
      <x:c r="B143" s="29" t="s">
        <x:v>267</x:v>
      </x:c>
      <x:c r="C143" s="29" t="s">
        <x:v>610</x:v>
      </x:c>
      <x:c r="D143" s="40" t="s">
        <x:v>151</x:v>
      </x:c>
      <x:c r="E143" s="40">
        <x:v>4</x:v>
      </x:c>
      <x:c r="F143" s="40">
        <x:v>4</x:v>
      </x:c>
      <x:c r="G143" s="33" t="s">
        <x:v>227</x:v>
      </x:c>
      <x:c r="H143" s="33" t="s">
        <x:v>258</x:v>
      </x:c>
      <x:c r="I143" s="33" t="n">
        <x:f>IFERROR(XLOOKUP(G143,'模型SKU'!$A$5:$A$504,'模型SKU'!$E$5:$E$504),"")</x:f>
        <x:v>864</x:v>
      </x:c>
      <x:c r="J143" s="33" t="n">
        <x:f>IFERROR(XLOOKUP(G143,'模型SKU'!$A$5:$A$504,'模型SKU'!$F$5:$F$504),"")</x:f>
        <x:v>496</x:v>
      </x:c>
      <x:c r="K143" s="33" t="n">
        <x:f>IFERROR(XLOOKUP(G143,'模型SKU'!$A$5:$A$504,'模型SKU'!$G$5:$G$504),"")</x:f>
        <x:v>24</x:v>
      </x:c>
      <x:c r="L143" s="35" t="n">
        <x:f>IFERROR((E143+F143)*I143*J143*K143/'参数'!$B$7,0)</x:f>
        <x:v>80352</x:v>
      </x:c>
      <x:c r="M143" s="33" t="s">
        <x:v>318</x:v>
      </x:c>
      <x:c r="N143" s="36" t="n">
        <x:f>IFERROR(XLOOKUP(C143,'渠道成本'!$A$5:$A$1004,'渠道成本'!$U$5:$U$1004),"")</x:f>
        <x:v>0</x:v>
      </x:c>
      <x:c r="O143" s="36" t="n">
        <x:f>IFERROR(XLOOKUP(B143,'官方售价'!$A$5:$A$504,'官方售价'!$M$5:$M$504),"")</x:f>
        <x:v>6.301369863013698</x:v>
      </x:c>
      <x:c r="P143" s="36" t="n">
        <x:f>IF(M143="per_token",N143*L143/'参数'!$B$8,N143)</x:f>
        <x:v>0</x:v>
      </x:c>
      <x:c r="Q143" s="36" t="n">
        <x:f>IFERROR(O143*D143,"")</x:f>
        <x:v>6.301369863013698</x:v>
      </x:c>
      <x:c r="R143" s="36" t="n">
        <x:f>IFERROR(Q143-P143,"")</x:f>
        <x:v>6.301369863013698</x:v>
      </x:c>
      <x:c r="S143" s="41" t="n">
        <x:f>IFERROR(R143/Q143,"")</x:f>
        <x:v>1</x:v>
      </x:c>
      <x:c r="T143" s="33" t="s">
        <x:v>612</x:v>
      </x:c>
      <x:c r="U143" s="17" t="s">
        <x:v>1162</x:v>
      </x:c>
    </x:row>
    <x:row r="144" ht="26.350000381469727" customHeight="1">
      <x:c r="A144" s="29" t="s">
        <x:v>1301</x:v>
      </x:c>
      <x:c r="B144" s="29" t="s">
        <x:v>270</x:v>
      </x:c>
      <x:c r="C144" s="29" t="s">
        <x:v>614</x:v>
      </x:c>
      <x:c r="D144" s="40" t="s">
        <x:v>151</x:v>
      </x:c>
      <x:c r="E144" s="40">
        <x:v>4</x:v>
      </x:c>
      <x:c r="F144" s="40">
        <x:v>4</x:v>
      </x:c>
      <x:c r="G144" s="33" t="s">
        <x:v>227</x:v>
      </x:c>
      <x:c r="H144" s="33" t="s">
        <x:v>264</x:v>
      </x:c>
      <x:c r="I144" s="33" t="n">
        <x:f>IFERROR(XLOOKUP(G144,'模型SKU'!$A$5:$A$504,'模型SKU'!$E$5:$E$504),"")</x:f>
        <x:v>864</x:v>
      </x:c>
      <x:c r="J144" s="33" t="n">
        <x:f>IFERROR(XLOOKUP(G144,'模型SKU'!$A$5:$A$504,'模型SKU'!$F$5:$F$504),"")</x:f>
        <x:v>496</x:v>
      </x:c>
      <x:c r="K144" s="33" t="n">
        <x:f>IFERROR(XLOOKUP(G144,'模型SKU'!$A$5:$A$504,'模型SKU'!$G$5:$G$504),"")</x:f>
        <x:v>24</x:v>
      </x:c>
      <x:c r="L144" s="35" t="n">
        <x:f>IFERROR((E144+F144)*I144*J144*K144/'参数'!$B$7,0)</x:f>
        <x:v>80352</x:v>
      </x:c>
      <x:c r="M144" s="33" t="s">
        <x:v>318</x:v>
      </x:c>
      <x:c r="N144" s="36" t="n">
        <x:f>IFERROR(XLOOKUP(C144,'渠道成本'!$A$5:$A$1004,'渠道成本'!$U$5:$U$1004),"")</x:f>
        <x:v>0</x:v>
      </x:c>
      <x:c r="O144" s="36" t="n">
        <x:f>IFERROR(XLOOKUP(B144,'官方售价'!$A$5:$A$504,'官方售价'!$M$5:$M$504),"")</x:f>
        <x:v>3.835616438356164</x:v>
      </x:c>
      <x:c r="P144" s="36" t="n">
        <x:f>IF(M144="per_token",N144*L144/'参数'!$B$8,N144)</x:f>
        <x:v>0</x:v>
      </x:c>
      <x:c r="Q144" s="36" t="n">
        <x:f>IFERROR(O144*D144,"")</x:f>
        <x:v>3.835616438356164</x:v>
      </x:c>
      <x:c r="R144" s="36" t="n">
        <x:f>IFERROR(Q144-P144,"")</x:f>
        <x:v>3.835616438356164</x:v>
      </x:c>
      <x:c r="S144" s="41" t="n">
        <x:f>IFERROR(R144/Q144,"")</x:f>
        <x:v>1</x:v>
      </x:c>
      <x:c r="T144" s="33" t="s">
        <x:v>612</x:v>
      </x:c>
      <x:c r="U144" s="17" t="s">
        <x:v>1162</x:v>
      </x:c>
    </x:row>
    <x:row r="145" ht="26.350000381469727" customHeight="1">
      <x:c r="A145" s="29" t="s">
        <x:v>1302</x:v>
      </x:c>
      <x:c r="B145" s="29" t="s">
        <x:v>279</x:v>
      </x:c>
      <x:c r="C145" s="29" t="s">
        <x:v>615</x:v>
      </x:c>
      <x:c r="D145" s="40" t="s">
        <x:v>151</x:v>
      </x:c>
      <x:c r="E145" s="40">
        <x:v>4</x:v>
      </x:c>
      <x:c r="F145" s="40">
        <x:v>4</x:v>
      </x:c>
      <x:c r="G145" s="33" t="s">
        <x:v>232</x:v>
      </x:c>
      <x:c r="H145" s="33" t="s">
        <x:v>258</x:v>
      </x:c>
      <x:c r="I145" s="33" t="n">
        <x:f>IFERROR(XLOOKUP(G145,'模型SKU'!$A$5:$A$504,'模型SKU'!$E$5:$E$504),"")</x:f>
        <x:v>1280</x:v>
      </x:c>
      <x:c r="J145" s="33" t="n">
        <x:f>IFERROR(XLOOKUP(G145,'模型SKU'!$A$5:$A$504,'模型SKU'!$F$5:$F$504),"")</x:f>
        <x:v>720</x:v>
      </x:c>
      <x:c r="K145" s="33" t="n">
        <x:f>IFERROR(XLOOKUP(G145,'模型SKU'!$A$5:$A$504,'模型SKU'!$G$5:$G$504),"")</x:f>
        <x:v>24</x:v>
      </x:c>
      <x:c r="L145" s="35" t="n">
        <x:f>IFERROR((E145+F145)*I145*J145*K145/'参数'!$B$7,0)</x:f>
        <x:v>172800</x:v>
      </x:c>
      <x:c r="M145" s="33" t="s">
        <x:v>318</x:v>
      </x:c>
      <x:c r="N145" s="36" t="n">
        <x:f>IFERROR(XLOOKUP(C145,'渠道成本'!$A$5:$A$1004,'渠道成本'!$U$5:$U$1004),"")</x:f>
        <x:v>0.0821917808219178</x:v>
      </x:c>
      <x:c r="O145" s="36" t="n">
        <x:f>IFERROR(XLOOKUP(B145,'官方售价'!$A$5:$A$504,'官方售价'!$M$5:$M$504),"")</x:f>
        <x:v>6.301369863013698</x:v>
      </x:c>
      <x:c r="P145" s="36" t="n">
        <x:f>IF(M145="per_token",N145*L145/'参数'!$B$8,N145)</x:f>
        <x:v>0.0821917808219178</x:v>
      </x:c>
      <x:c r="Q145" s="36" t="n">
        <x:f>IFERROR(O145*D145,"")</x:f>
        <x:v>6.301369863013698</x:v>
      </x:c>
      <x:c r="R145" s="36" t="n">
        <x:f>IFERROR(Q145-P145,"")</x:f>
        <x:v>6.21917808219178</x:v>
      </x:c>
      <x:c r="S145" s="41" t="n">
        <x:f>IFERROR(R145/Q145,"")</x:f>
        <x:v>0.9869565217391304</x:v>
      </x:c>
      <x:c r="T145" s="33" t="s">
        <x:v>224</x:v>
      </x:c>
      <x:c r="U145" s="17" t="s">
        <x:v>1162</x:v>
      </x:c>
    </x:row>
    <x:row r="146" ht="26.350000381469727" customHeight="1">
      <x:c r="A146" s="29" t="s">
        <x:v>1303</x:v>
      </x:c>
      <x:c r="B146" s="29" t="s">
        <x:v>281</x:v>
      </x:c>
      <x:c r="C146" s="29" t="s">
        <x:v>616</x:v>
      </x:c>
      <x:c r="D146" s="40" t="s">
        <x:v>151</x:v>
      </x:c>
      <x:c r="E146" s="40">
        <x:v>4</x:v>
      </x:c>
      <x:c r="F146" s="40">
        <x:v>4</x:v>
      </x:c>
      <x:c r="G146" s="33" t="s">
        <x:v>232</x:v>
      </x:c>
      <x:c r="H146" s="33" t="s">
        <x:v>264</x:v>
      </x:c>
      <x:c r="I146" s="33" t="n">
        <x:f>IFERROR(XLOOKUP(G146,'模型SKU'!$A$5:$A$504,'模型SKU'!$E$5:$E$504),"")</x:f>
        <x:v>1280</x:v>
      </x:c>
      <x:c r="J146" s="33" t="n">
        <x:f>IFERROR(XLOOKUP(G146,'模型SKU'!$A$5:$A$504,'模型SKU'!$F$5:$F$504),"")</x:f>
        <x:v>720</x:v>
      </x:c>
      <x:c r="K146" s="33" t="n">
        <x:f>IFERROR(XLOOKUP(G146,'模型SKU'!$A$5:$A$504,'模型SKU'!$G$5:$G$504),"")</x:f>
        <x:v>24</x:v>
      </x:c>
      <x:c r="L146" s="35" t="n">
        <x:f>IFERROR((E146+F146)*I146*J146*K146/'参数'!$B$7,0)</x:f>
        <x:v>172800</x:v>
      </x:c>
      <x:c r="M146" s="33" t="s">
        <x:v>318</x:v>
      </x:c>
      <x:c r="N146" s="36" t="n">
        <x:f>IFERROR(XLOOKUP(C146,'渠道成本'!$A$5:$A$1004,'渠道成本'!$U$5:$U$1004),"")</x:f>
        <x:v>0.0821917808219178</x:v>
      </x:c>
      <x:c r="O146" s="36" t="n">
        <x:f>IFERROR(XLOOKUP(B146,'官方售价'!$A$5:$A$504,'官方售价'!$M$5:$M$504),"")</x:f>
        <x:v>3.835616438356164</x:v>
      </x:c>
      <x:c r="P146" s="36" t="n">
        <x:f>IF(M146="per_token",N146*L146/'参数'!$B$8,N146)</x:f>
        <x:v>0.0821917808219178</x:v>
      </x:c>
      <x:c r="Q146" s="36" t="n">
        <x:f>IFERROR(O146*D146,"")</x:f>
        <x:v>3.835616438356164</x:v>
      </x:c>
      <x:c r="R146" s="36" t="n">
        <x:f>IFERROR(Q146-P146,"")</x:f>
        <x:v>3.7534246575342465</x:v>
      </x:c>
      <x:c r="S146" s="41" t="n">
        <x:f>IFERROR(R146/Q146,"")</x:f>
        <x:v>0.9785714285714286</x:v>
      </x:c>
      <x:c r="T146" s="33" t="s">
        <x:v>224</x:v>
      </x:c>
      <x:c r="U146" s="17" t="s">
        <x:v>1162</x:v>
      </x:c>
    </x:row>
    <x:row r="147" ht="26.350000381469727" customHeight="1">
      <x:c r="A147" s="29" t="s">
        <x:v>1304</x:v>
      </x:c>
      <x:c r="B147" s="29" t="s">
        <x:v>257</x:v>
      </x:c>
      <x:c r="C147" s="29" t="s">
        <x:v>617</x:v>
      </x:c>
      <x:c r="D147" s="40" t="s">
        <x:v>151</x:v>
      </x:c>
      <x:c r="E147" s="40">
        <x:v>4</x:v>
      </x:c>
      <x:c r="F147" s="40">
        <x:v>4</x:v>
      </x:c>
      <x:c r="G147" s="33" t="s">
        <x:v>217</x:v>
      </x:c>
      <x:c r="H147" s="33" t="s">
        <x:v>258</x:v>
      </x:c>
      <x:c r="I147" s="33" t="n">
        <x:f>IFERROR(XLOOKUP(G147,'模型SKU'!$A$5:$A$504,'模型SKU'!$E$5:$E$504),"")</x:f>
        <x:v>1920</x:v>
      </x:c>
      <x:c r="J147" s="33" t="n">
        <x:f>IFERROR(XLOOKUP(G147,'模型SKU'!$A$5:$A$504,'模型SKU'!$F$5:$F$504),"")</x:f>
        <x:v>1080</x:v>
      </x:c>
      <x:c r="K147" s="33" t="n">
        <x:f>IFERROR(XLOOKUP(G147,'模型SKU'!$A$5:$A$504,'模型SKU'!$G$5:$G$504),"")</x:f>
        <x:v>24</x:v>
      </x:c>
      <x:c r="L147" s="35" t="n">
        <x:f>IFERROR((E147+F147)*I147*J147*K147/'参数'!$B$7,0)</x:f>
        <x:v>388800</x:v>
      </x:c>
      <x:c r="M147" s="33" t="s">
        <x:v>318</x:v>
      </x:c>
      <x:c r="N147" s="36" t="n">
        <x:f>IFERROR(XLOOKUP(C147,'渠道成本'!$A$5:$A$1004,'渠道成本'!$U$5:$U$1004),"")</x:f>
        <x:v>0.1643835616438356</x:v>
      </x:c>
      <x:c r="O147" s="36" t="n">
        <x:f>IFERROR(XLOOKUP(B147,'官方售价'!$A$5:$A$504,'官方售价'!$M$5:$M$504),"")</x:f>
        <x:v>6.986301369863013</x:v>
      </x:c>
      <x:c r="P147" s="36" t="n">
        <x:f>IF(M147="per_token",N147*L147/'参数'!$B$8,N147)</x:f>
        <x:v>0.1643835616438356</x:v>
      </x:c>
      <x:c r="Q147" s="36" t="n">
        <x:f>IFERROR(O147*D147,"")</x:f>
        <x:v>6.986301369863013</x:v>
      </x:c>
      <x:c r="R147" s="36" t="n">
        <x:f>IFERROR(Q147-P147,"")</x:f>
        <x:v>6.821917808219178</x:v>
      </x:c>
      <x:c r="S147" s="41" t="n">
        <x:f>IFERROR(R147/Q147,"")</x:f>
        <x:v>0.9764705882352942</x:v>
      </x:c>
      <x:c r="T147" s="33" t="s">
        <x:v>224</x:v>
      </x:c>
      <x:c r="U147" s="17" t="s">
        <x:v>1162</x:v>
      </x:c>
    </x:row>
    <x:row r="148" ht="26.350000381469727" customHeight="1">
      <x:c r="A148" s="29" t="s">
        <x:v>1305</x:v>
      </x:c>
      <x:c r="B148" s="29" t="s">
        <x:v>263</x:v>
      </x:c>
      <x:c r="C148" s="29" t="s">
        <x:v>619</x:v>
      </x:c>
      <x:c r="D148" s="40" t="s">
        <x:v>151</x:v>
      </x:c>
      <x:c r="E148" s="40">
        <x:v>4</x:v>
      </x:c>
      <x:c r="F148" s="40">
        <x:v>4</x:v>
      </x:c>
      <x:c r="G148" s="33" t="s">
        <x:v>217</x:v>
      </x:c>
      <x:c r="H148" s="33" t="s">
        <x:v>264</x:v>
      </x:c>
      <x:c r="I148" s="33" t="n">
        <x:f>IFERROR(XLOOKUP(G148,'模型SKU'!$A$5:$A$504,'模型SKU'!$E$5:$E$504),"")</x:f>
        <x:v>1920</x:v>
      </x:c>
      <x:c r="J148" s="33" t="n">
        <x:f>IFERROR(XLOOKUP(G148,'模型SKU'!$A$5:$A$504,'模型SKU'!$F$5:$F$504),"")</x:f>
        <x:v>1080</x:v>
      </x:c>
      <x:c r="K148" s="33" t="n">
        <x:f>IFERROR(XLOOKUP(G148,'模型SKU'!$A$5:$A$504,'模型SKU'!$G$5:$G$504),"")</x:f>
        <x:v>24</x:v>
      </x:c>
      <x:c r="L148" s="35" t="n">
        <x:f>IFERROR((E148+F148)*I148*J148*K148/'参数'!$B$7,0)</x:f>
        <x:v>388800</x:v>
      </x:c>
      <x:c r="M148" s="33" t="s">
        <x:v>318</x:v>
      </x:c>
      <x:c r="N148" s="36" t="n">
        <x:f>IFERROR(XLOOKUP(C148,'渠道成本'!$A$5:$A$1004,'渠道成本'!$U$5:$U$1004),"")</x:f>
        <x:v>0.1643835616438356</x:v>
      </x:c>
      <x:c r="O148" s="36" t="n">
        <x:f>IFERROR(XLOOKUP(B148,'官方售价'!$A$5:$A$504,'官方售价'!$M$5:$M$504),"")</x:f>
        <x:v>4.2465753424657535</x:v>
      </x:c>
      <x:c r="P148" s="36" t="n">
        <x:f>IF(M148="per_token",N148*L148/'参数'!$B$8,N148)</x:f>
        <x:v>0.1643835616438356</x:v>
      </x:c>
      <x:c r="Q148" s="36" t="n">
        <x:f>IFERROR(O148*D148,"")</x:f>
        <x:v>4.2465753424657535</x:v>
      </x:c>
      <x:c r="R148" s="36" t="n">
        <x:f>IFERROR(Q148-P148,"")</x:f>
        <x:v>4.082191780821918</x:v>
      </x:c>
      <x:c r="S148" s="41" t="n">
        <x:f>IFERROR(R148/Q148,"")</x:f>
        <x:v>0.9612903225806452</x:v>
      </x:c>
      <x:c r="T148" s="33" t="s">
        <x:v>224</x:v>
      </x:c>
      <x:c r="U148" s="17" t="s">
        <x:v>1162</x:v>
      </x:c>
    </x:row>
    <x:row r="149" ht="26.350000381469727" customHeight="1">
      <x:c r="A149" s="29" t="s">
        <x:v>1306</x:v>
      </x:c>
      <x:c r="B149" s="29" t="s">
        <x:v>273</x:v>
      </x:c>
      <x:c r="C149" s="29" t="s">
        <x:v>620</x:v>
      </x:c>
      <x:c r="D149" s="40" t="s">
        <x:v>151</x:v>
      </x:c>
      <x:c r="E149" s="40">
        <x:v>4</x:v>
      </x:c>
      <x:c r="F149" s="40">
        <x:v>4</x:v>
      </x:c>
      <x:c r="G149" s="33" t="s">
        <x:v>230</x:v>
      </x:c>
      <x:c r="H149" s="33" t="s">
        <x:v>258</x:v>
      </x:c>
      <x:c r="I149" s="33" t="n">
        <x:f>IFERROR(XLOOKUP(G149,'模型SKU'!$A$5:$A$504,'模型SKU'!$E$5:$E$504),"")</x:f>
        <x:v>3840</x:v>
      </x:c>
      <x:c r="J149" s="33" t="n">
        <x:f>IFERROR(XLOOKUP(G149,'模型SKU'!$A$5:$A$504,'模型SKU'!$F$5:$F$504),"")</x:f>
        <x:v>2160</x:v>
      </x:c>
      <x:c r="K149" s="33" t="n">
        <x:f>IFERROR(XLOOKUP(G149,'模型SKU'!$A$5:$A$504,'模型SKU'!$G$5:$G$504),"")</x:f>
        <x:v>24</x:v>
      </x:c>
      <x:c r="L149" s="35" t="n">
        <x:f>IFERROR((E149+F149)*I149*J149*K149/'参数'!$B$7,0)</x:f>
        <x:v>1555200</x:v>
      </x:c>
      <x:c r="M149" s="33" t="s">
        <x:v>318</x:v>
      </x:c>
      <x:c r="N149" s="36" t="n">
        <x:f>IFERROR(XLOOKUP(C149,'渠道成本'!$A$5:$A$1004,'渠道成本'!$U$5:$U$1004),"")</x:f>
        <x:v>0.410958904109589</x:v>
      </x:c>
      <x:c r="O149" s="36" t="n">
        <x:f>IFERROR(XLOOKUP(B149,'官方售价'!$A$5:$A$504,'官方售价'!$M$5:$M$504),"")</x:f>
        <x:v>3.5616438356164384</x:v>
      </x:c>
      <x:c r="P149" s="36" t="n">
        <x:f>IF(M149="per_token",N149*L149/'参数'!$B$8,N149)</x:f>
        <x:v>0.410958904109589</x:v>
      </x:c>
      <x:c r="Q149" s="36" t="n">
        <x:f>IFERROR(O149*D149,"")</x:f>
        <x:v>3.5616438356164384</x:v>
      </x:c>
      <x:c r="R149" s="36" t="n">
        <x:f>IFERROR(Q149-P149,"")</x:f>
        <x:v>3.1506849315068495</x:v>
      </x:c>
      <x:c r="S149" s="41" t="n">
        <x:f>IFERROR(R149/Q149,"")</x:f>
        <x:v>0.8846153846153847</x:v>
      </x:c>
      <x:c r="T149" s="33" t="s">
        <x:v>224</x:v>
      </x:c>
      <x:c r="U149" s="17" t="s">
        <x:v>1162</x:v>
      </x:c>
    </x:row>
    <x:row r="150" ht="26.350000381469727" customHeight="1">
      <x:c r="A150" s="29" t="s">
        <x:v>1307</x:v>
      </x:c>
      <x:c r="B150" s="29" t="s">
        <x:v>276</x:v>
      </x:c>
      <x:c r="C150" s="29" t="s">
        <x:v>621</x:v>
      </x:c>
      <x:c r="D150" s="40" t="s">
        <x:v>151</x:v>
      </x:c>
      <x:c r="E150" s="40">
        <x:v>4</x:v>
      </x:c>
      <x:c r="F150" s="40">
        <x:v>4</x:v>
      </x:c>
      <x:c r="G150" s="33" t="s">
        <x:v>230</x:v>
      </x:c>
      <x:c r="H150" s="33" t="s">
        <x:v>264</x:v>
      </x:c>
      <x:c r="I150" s="33" t="n">
        <x:f>IFERROR(XLOOKUP(G150,'模型SKU'!$A$5:$A$504,'模型SKU'!$E$5:$E$504),"")</x:f>
        <x:v>3840</x:v>
      </x:c>
      <x:c r="J150" s="33" t="n">
        <x:f>IFERROR(XLOOKUP(G150,'模型SKU'!$A$5:$A$504,'模型SKU'!$F$5:$F$504),"")</x:f>
        <x:v>2160</x:v>
      </x:c>
      <x:c r="K150" s="33" t="n">
        <x:f>IFERROR(XLOOKUP(G150,'模型SKU'!$A$5:$A$504,'模型SKU'!$G$5:$G$504),"")</x:f>
        <x:v>24</x:v>
      </x:c>
      <x:c r="L150" s="35" t="n">
        <x:f>IFERROR((E150+F150)*I150*J150*K150/'参数'!$B$7,0)</x:f>
        <x:v>1555200</x:v>
      </x:c>
      <x:c r="M150" s="33" t="s">
        <x:v>318</x:v>
      </x:c>
      <x:c r="N150" s="36" t="n">
        <x:f>IFERROR(XLOOKUP(C150,'渠道成本'!$A$5:$A$1004,'渠道成本'!$U$5:$U$1004),"")</x:f>
        <x:v>0.410958904109589</x:v>
      </x:c>
      <x:c r="O150" s="36" t="n">
        <x:f>IFERROR(XLOOKUP(B150,'官方售价'!$A$5:$A$504,'官方售价'!$M$5:$M$504),"")</x:f>
        <x:v>2.191780821917808</x:v>
      </x:c>
      <x:c r="P150" s="36" t="n">
        <x:f>IF(M150="per_token",N150*L150/'参数'!$B$8,N150)</x:f>
        <x:v>0.410958904109589</x:v>
      </x:c>
      <x:c r="Q150" s="36" t="n">
        <x:f>IFERROR(O150*D150,"")</x:f>
        <x:v>2.191780821917808</x:v>
      </x:c>
      <x:c r="R150" s="36" t="n">
        <x:f>IFERROR(Q150-P150,"")</x:f>
        <x:v>1.7808219178082192</x:v>
      </x:c>
      <x:c r="S150" s="41" t="n">
        <x:f>IFERROR(R150/Q150,"")</x:f>
        <x:v>0.8125</x:v>
      </x:c>
      <x:c r="T150" s="33" t="s">
        <x:v>224</x:v>
      </x:c>
      <x:c r="U150" s="17" t="s">
        <x:v>1162</x:v>
      </x:c>
    </x:row>
    <x:row r="151" ht="26.350000381469727" customHeight="1">
      <x:c r="A151" s="29" t="s">
        <x:v>1308</x:v>
      </x:c>
      <x:c r="B151" s="29" t="s">
        <x:v>289</x:v>
      </x:c>
      <x:c r="C151" s="29" t="s">
        <x:v>622</x:v>
      </x:c>
      <x:c r="D151" s="40" t="s">
        <x:v>151</x:v>
      </x:c>
      <x:c r="E151" s="40">
        <x:v>4</x:v>
      </x:c>
      <x:c r="F151" s="40">
        <x:v>4</x:v>
      </x:c>
      <x:c r="G151" s="33" t="s">
        <x:v>238</x:v>
      </x:c>
      <x:c r="H151" s="33" t="s">
        <x:v>258</x:v>
      </x:c>
      <x:c r="I151" s="33" t="n">
        <x:f>IFERROR(XLOOKUP(G151,'模型SKU'!$A$5:$A$504,'模型SKU'!$E$5:$E$504),"")</x:f>
        <x:v>1280</x:v>
      </x:c>
      <x:c r="J151" s="33" t="n">
        <x:f>IFERROR(XLOOKUP(G151,'模型SKU'!$A$5:$A$504,'模型SKU'!$F$5:$F$504),"")</x:f>
        <x:v>720</x:v>
      </x:c>
      <x:c r="K151" s="33" t="n">
        <x:f>IFERROR(XLOOKUP(G151,'模型SKU'!$A$5:$A$504,'模型SKU'!$G$5:$G$504),"")</x:f>
        <x:v>24</x:v>
      </x:c>
      <x:c r="L151" s="35" t="n">
        <x:f>IFERROR((E151+F151)*I151*J151*K151/'参数'!$B$7,0)</x:f>
        <x:v>172800</x:v>
      </x:c>
      <x:c r="M151" s="33" t="s">
        <x:v>318</x:v>
      </x:c>
      <x:c r="N151" s="36" t="n">
        <x:f>IFERROR(XLOOKUP(C151,'渠道成本'!$A$5:$A$1004,'渠道成本'!$U$5:$U$1004),"")</x:f>
        <x:v>0.06575342465753424</x:v>
      </x:c>
      <x:c r="O151" s="36" t="n">
        <x:f>IFERROR(XLOOKUP(B151,'官方售价'!$A$5:$A$504,'官方售价'!$M$5:$M$504),"")</x:f>
        <x:v>5.068493150684931</x:v>
      </x:c>
      <x:c r="P151" s="36" t="n">
        <x:f>IF(M151="per_token",N151*L151/'参数'!$B$8,N151)</x:f>
        <x:v>0.06575342465753424</x:v>
      </x:c>
      <x:c r="Q151" s="36" t="n">
        <x:f>IFERROR(O151*D151,"")</x:f>
        <x:v>5.068493150684931</x:v>
      </x:c>
      <x:c r="R151" s="36" t="n">
        <x:f>IFERROR(Q151-P151,"")</x:f>
        <x:v>5.002739726027397</x:v>
      </x:c>
      <x:c r="S151" s="41" t="n">
        <x:f>IFERROR(R151/Q151,"")</x:f>
        <x:v>0.987027027027027</x:v>
      </x:c>
      <x:c r="T151" s="33" t="s">
        <x:v>224</x:v>
      </x:c>
      <x:c r="U151" s="17" t="s">
        <x:v>1162</x:v>
      </x:c>
    </x:row>
    <x:row r="152" ht="26.350000381469727" customHeight="1">
      <x:c r="A152" s="29" t="s">
        <x:v>1309</x:v>
      </x:c>
      <x:c r="B152" s="29" t="s">
        <x:v>291</x:v>
      </x:c>
      <x:c r="C152" s="29" t="s">
        <x:v>625</x:v>
      </x:c>
      <x:c r="D152" s="40" t="s">
        <x:v>151</x:v>
      </x:c>
      <x:c r="E152" s="40">
        <x:v>4</x:v>
      </x:c>
      <x:c r="F152" s="40">
        <x:v>4</x:v>
      </x:c>
      <x:c r="G152" s="33" t="s">
        <x:v>238</x:v>
      </x:c>
      <x:c r="H152" s="33" t="s">
        <x:v>264</x:v>
      </x:c>
      <x:c r="I152" s="33" t="n">
        <x:f>IFERROR(XLOOKUP(G152,'模型SKU'!$A$5:$A$504,'模型SKU'!$E$5:$E$504),"")</x:f>
        <x:v>1280</x:v>
      </x:c>
      <x:c r="J152" s="33" t="n">
        <x:f>IFERROR(XLOOKUP(G152,'模型SKU'!$A$5:$A$504,'模型SKU'!$F$5:$F$504),"")</x:f>
        <x:v>720</x:v>
      </x:c>
      <x:c r="K152" s="33" t="n">
        <x:f>IFERROR(XLOOKUP(G152,'模型SKU'!$A$5:$A$504,'模型SKU'!$G$5:$G$504),"")</x:f>
        <x:v>24</x:v>
      </x:c>
      <x:c r="L152" s="35" t="n">
        <x:f>IFERROR((E152+F152)*I152*J152*K152/'参数'!$B$7,0)</x:f>
        <x:v>172800</x:v>
      </x:c>
      <x:c r="M152" s="33" t="s">
        <x:v>318</x:v>
      </x:c>
      <x:c r="N152" s="36" t="n">
        <x:f>IFERROR(XLOOKUP(C152,'渠道成本'!$A$5:$A$1004,'渠道成本'!$U$5:$U$1004),"")</x:f>
        <x:v>0.06575342465753424</x:v>
      </x:c>
      <x:c r="O152" s="36" t="n">
        <x:f>IFERROR(XLOOKUP(B152,'官方售价'!$A$5:$A$504,'官方售价'!$M$5:$M$504),"")</x:f>
        <x:v>3.013698630136986</x:v>
      </x:c>
      <x:c r="P152" s="36" t="n">
        <x:f>IF(M152="per_token",N152*L152/'参数'!$B$8,N152)</x:f>
        <x:v>0.06575342465753424</x:v>
      </x:c>
      <x:c r="Q152" s="36" t="n">
        <x:f>IFERROR(O152*D152,"")</x:f>
        <x:v>3.013698630136986</x:v>
      </x:c>
      <x:c r="R152" s="36" t="n">
        <x:f>IFERROR(Q152-P152,"")</x:f>
        <x:v>2.9479452054794515</x:v>
      </x:c>
      <x:c r="S152" s="41" t="n">
        <x:f>IFERROR(R152/Q152,"")</x:f>
        <x:v>0.9781818181818182</x:v>
      </x:c>
      <x:c r="T152" s="33" t="s">
        <x:v>224</x:v>
      </x:c>
      <x:c r="U152" s="17" t="s">
        <x:v>1162</x:v>
      </x:c>
    </x:row>
    <x:row r="153" ht="26.350000381469727" customHeight="1">
      <x:c r="A153" s="29" t="s">
        <x:v>1310</x:v>
      </x:c>
      <x:c r="B153" s="29" t="s">
        <x:v>299</x:v>
      </x:c>
      <x:c r="C153" s="29" t="s">
        <x:v>626</x:v>
      </x:c>
      <x:c r="D153" s="40" t="s">
        <x:v>151</x:v>
      </x:c>
      <x:c r="E153" s="40">
        <x:v>4</x:v>
      </x:c>
      <x:c r="F153" s="40">
        <x:v>4</x:v>
      </x:c>
      <x:c r="G153" s="33" t="s">
        <x:v>244</x:v>
      </x:c>
      <x:c r="H153" s="33" t="s">
        <x:v>258</x:v>
      </x:c>
      <x:c r="I153" s="33" t="n">
        <x:f>IFERROR(XLOOKUP(G153,'模型SKU'!$A$5:$A$504,'模型SKU'!$E$5:$E$504),"")</x:f>
        <x:v>1280</x:v>
      </x:c>
      <x:c r="J153" s="33" t="n">
        <x:f>IFERROR(XLOOKUP(G153,'模型SKU'!$A$5:$A$504,'模型SKU'!$F$5:$F$504),"")</x:f>
        <x:v>720</x:v>
      </x:c>
      <x:c r="K153" s="33" t="n">
        <x:f>IFERROR(XLOOKUP(G153,'模型SKU'!$A$5:$A$504,'模型SKU'!$G$5:$G$504),"")</x:f>
        <x:v>24</x:v>
      </x:c>
      <x:c r="L153" s="35" t="n">
        <x:f>IFERROR((E153+F153)*I153*J153*K153/'参数'!$B$7,0)</x:f>
        <x:v>172800</x:v>
      </x:c>
      <x:c r="M153" s="33" t="s">
        <x:v>318</x:v>
      </x:c>
      <x:c r="N153" s="36" t="n">
        <x:f>IFERROR(XLOOKUP(C153,'渠道成本'!$A$5:$A$1004,'渠道成本'!$U$5:$U$1004),"")</x:f>
        <x:v>0.05342465753424657</x:v>
      </x:c>
      <x:c r="O153" s="36" t="n">
        <x:f>IFERROR(XLOOKUP(B153,'官方售价'!$A$5:$A$504,'官方售价'!$M$5:$M$504),"")</x:f>
        <x:v>3.150684931506849</x:v>
      </x:c>
      <x:c r="P153" s="36" t="n">
        <x:f>IF(M153="per_token",N153*L153/'参数'!$B$8,N153)</x:f>
        <x:v>0.05342465753424657</x:v>
      </x:c>
      <x:c r="Q153" s="36" t="n">
        <x:f>IFERROR(O153*D153,"")</x:f>
        <x:v>3.150684931506849</x:v>
      </x:c>
      <x:c r="R153" s="36" t="n">
        <x:f>IFERROR(Q153-P153,"")</x:f>
        <x:v>3.0972602739726023</x:v>
      </x:c>
      <x:c r="S153" s="41" t="n">
        <x:f>IFERROR(R153/Q153,"")</x:f>
        <x:v>0.9830434782608695</x:v>
      </x:c>
      <x:c r="T153" s="33" t="s">
        <x:v>224</x:v>
      </x:c>
      <x:c r="U153" s="17" t="s">
        <x:v>1162</x:v>
      </x:c>
    </x:row>
    <x:row r="154" ht="26.350000381469727" customHeight="1">
      <x:c r="A154" s="29" t="s">
        <x:v>1311</x:v>
      </x:c>
      <x:c r="B154" s="29" t="s">
        <x:v>301</x:v>
      </x:c>
      <x:c r="C154" s="29" t="s">
        <x:v>630</x:v>
      </x:c>
      <x:c r="D154" s="40" t="s">
        <x:v>151</x:v>
      </x:c>
      <x:c r="E154" s="40">
        <x:v>4</x:v>
      </x:c>
      <x:c r="F154" s="40">
        <x:v>4</x:v>
      </x:c>
      <x:c r="G154" s="33" t="s">
        <x:v>244</x:v>
      </x:c>
      <x:c r="H154" s="33" t="s">
        <x:v>264</x:v>
      </x:c>
      <x:c r="I154" s="33" t="n">
        <x:f>IFERROR(XLOOKUP(G154,'模型SKU'!$A$5:$A$504,'模型SKU'!$E$5:$E$504),"")</x:f>
        <x:v>1280</x:v>
      </x:c>
      <x:c r="J154" s="33" t="n">
        <x:f>IFERROR(XLOOKUP(G154,'模型SKU'!$A$5:$A$504,'模型SKU'!$F$5:$F$504),"")</x:f>
        <x:v>720</x:v>
      </x:c>
      <x:c r="K154" s="33" t="n">
        <x:f>IFERROR(XLOOKUP(G154,'模型SKU'!$A$5:$A$504,'模型SKU'!$G$5:$G$504),"")</x:f>
        <x:v>24</x:v>
      </x:c>
      <x:c r="L154" s="35" t="n">
        <x:f>IFERROR((E154+F154)*I154*J154*K154/'参数'!$B$7,0)</x:f>
        <x:v>172800</x:v>
      </x:c>
      <x:c r="M154" s="33" t="s">
        <x:v>318</x:v>
      </x:c>
      <x:c r="N154" s="36" t="n">
        <x:f>IFERROR(XLOOKUP(C154,'渠道成本'!$A$5:$A$1004,'渠道成本'!$U$5:$U$1004),"")</x:f>
        <x:v>0.05342465753424657</x:v>
      </x:c>
      <x:c r="O154" s="36" t="n">
        <x:f>IFERROR(XLOOKUP(B154,'官方售价'!$A$5:$A$504,'官方售价'!$M$5:$M$504),"")</x:f>
        <x:v>1.917808219178082</x:v>
      </x:c>
      <x:c r="P154" s="36" t="n">
        <x:f>IF(M154="per_token",N154*L154/'参数'!$B$8,N154)</x:f>
        <x:v>0.05342465753424657</x:v>
      </x:c>
      <x:c r="Q154" s="36" t="n">
        <x:f>IFERROR(O154*D154,"")</x:f>
        <x:v>1.917808219178082</x:v>
      </x:c>
      <x:c r="R154" s="36" t="n">
        <x:f>IFERROR(Q154-P154,"")</x:f>
        <x:v>1.8643835616438356</x:v>
      </x:c>
      <x:c r="S154" s="41" t="n">
        <x:f>IFERROR(R154/Q154,"")</x:f>
        <x:v>0.9721428571428572</x:v>
      </x:c>
      <x:c r="T154" s="33" t="s">
        <x:v>224</x:v>
      </x:c>
      <x:c r="U154" s="17" t="s">
        <x:v>1162</x:v>
      </x:c>
    </x:row>
    <x:row r="155" ht="26.350000381469727" customHeight="1">
      <x:c r="A155" s="29" t="s">
        <x:v>1312</x:v>
      </x:c>
      <x:c r="B155" s="29" t="s">
        <x:v>279</x:v>
      </x:c>
      <x:c r="C155" s="29" t="s">
        <x:v>631</x:v>
      </x:c>
      <x:c r="D155" s="40" t="s">
        <x:v>151</x:v>
      </x:c>
      <x:c r="E155" s="40">
        <x:v>4</x:v>
      </x:c>
      <x:c r="F155" s="40">
        <x:v>4</x:v>
      </x:c>
      <x:c r="G155" s="33" t="s">
        <x:v>232</x:v>
      </x:c>
      <x:c r="H155" s="33" t="s">
        <x:v>258</x:v>
      </x:c>
      <x:c r="I155" s="33" t="n">
        <x:f>IFERROR(XLOOKUP(G155,'模型SKU'!$A$5:$A$504,'模型SKU'!$E$5:$E$504),"")</x:f>
        <x:v>1280</x:v>
      </x:c>
      <x:c r="J155" s="33" t="n">
        <x:f>IFERROR(XLOOKUP(G155,'模型SKU'!$A$5:$A$504,'模型SKU'!$F$5:$F$504),"")</x:f>
        <x:v>720</x:v>
      </x:c>
      <x:c r="K155" s="33" t="n">
        <x:f>IFERROR(XLOOKUP(G155,'模型SKU'!$A$5:$A$504,'模型SKU'!$G$5:$G$504),"")</x:f>
        <x:v>24</x:v>
      </x:c>
      <x:c r="L155" s="35" t="n">
        <x:f>IFERROR((E155+F155)*I155*J155*K155/'参数'!$B$7,0)</x:f>
        <x:v>172800</x:v>
      </x:c>
      <x:c r="M155" s="33" t="s">
        <x:v>318</x:v>
      </x:c>
      <x:c r="N155" s="36" t="n">
        <x:f>IFERROR(XLOOKUP(C155,'渠道成本'!$A$5:$A$1004,'渠道成本'!$U$5:$U$1004),"")</x:f>
        <x:v>0.08493150684931507</x:v>
      </x:c>
      <x:c r="O155" s="36" t="n">
        <x:f>IFERROR(XLOOKUP(B155,'官方售价'!$A$5:$A$504,'官方售价'!$M$5:$M$504),"")</x:f>
        <x:v>6.301369863013698</x:v>
      </x:c>
      <x:c r="P155" s="36" t="n">
        <x:f>IF(M155="per_token",N155*L155/'参数'!$B$8,N155)</x:f>
        <x:v>0.08493150684931507</x:v>
      </x:c>
      <x:c r="Q155" s="36" t="n">
        <x:f>IFERROR(O155*D155,"")</x:f>
        <x:v>6.301369863013698</x:v>
      </x:c>
      <x:c r="R155" s="36" t="n">
        <x:f>IFERROR(Q155-P155,"")</x:f>
        <x:v>6.216438356164383</x:v>
      </x:c>
      <x:c r="S155" s="41" t="n">
        <x:f>IFERROR(R155/Q155,"")</x:f>
        <x:v>0.9865217391304347</x:v>
      </x:c>
      <x:c r="T155" s="33" t="s">
        <x:v>224</x:v>
      </x:c>
      <x:c r="U155" s="17" t="s">
        <x:v>1162</x:v>
      </x:c>
    </x:row>
    <x:row r="156" ht="26.350000381469727" customHeight="1">
      <x:c r="A156" s="29" t="s">
        <x:v>1313</x:v>
      </x:c>
      <x:c r="B156" s="29" t="s">
        <x:v>281</x:v>
      </x:c>
      <x:c r="C156" s="29" t="s">
        <x:v>635</x:v>
      </x:c>
      <x:c r="D156" s="40" t="s">
        <x:v>151</x:v>
      </x:c>
      <x:c r="E156" s="40">
        <x:v>4</x:v>
      </x:c>
      <x:c r="F156" s="40">
        <x:v>4</x:v>
      </x:c>
      <x:c r="G156" s="33" t="s">
        <x:v>232</x:v>
      </x:c>
      <x:c r="H156" s="33" t="s">
        <x:v>264</x:v>
      </x:c>
      <x:c r="I156" s="33" t="n">
        <x:f>IFERROR(XLOOKUP(G156,'模型SKU'!$A$5:$A$504,'模型SKU'!$E$5:$E$504),"")</x:f>
        <x:v>1280</x:v>
      </x:c>
      <x:c r="J156" s="33" t="n">
        <x:f>IFERROR(XLOOKUP(G156,'模型SKU'!$A$5:$A$504,'模型SKU'!$F$5:$F$504),"")</x:f>
        <x:v>720</x:v>
      </x:c>
      <x:c r="K156" s="33" t="n">
        <x:f>IFERROR(XLOOKUP(G156,'模型SKU'!$A$5:$A$504,'模型SKU'!$G$5:$G$504),"")</x:f>
        <x:v>24</x:v>
      </x:c>
      <x:c r="L156" s="35" t="n">
        <x:f>IFERROR((E156+F156)*I156*J156*K156/'参数'!$B$7,0)</x:f>
        <x:v>172800</x:v>
      </x:c>
      <x:c r="M156" s="33" t="s">
        <x:v>318</x:v>
      </x:c>
      <x:c r="N156" s="36" t="n">
        <x:f>IFERROR(XLOOKUP(C156,'渠道成本'!$A$5:$A$1004,'渠道成本'!$U$5:$U$1004),"")</x:f>
        <x:v>0.08493150684931507</x:v>
      </x:c>
      <x:c r="O156" s="36" t="n">
        <x:f>IFERROR(XLOOKUP(B156,'官方售价'!$A$5:$A$504,'官方售价'!$M$5:$M$504),"")</x:f>
        <x:v>3.835616438356164</x:v>
      </x:c>
      <x:c r="P156" s="36" t="n">
        <x:f>IF(M156="per_token",N156*L156/'参数'!$B$8,N156)</x:f>
        <x:v>0.08493150684931507</x:v>
      </x:c>
      <x:c r="Q156" s="36" t="n">
        <x:f>IFERROR(O156*D156,"")</x:f>
        <x:v>3.835616438356164</x:v>
      </x:c>
      <x:c r="R156" s="36" t="n">
        <x:f>IFERROR(Q156-P156,"")</x:f>
        <x:v>3.750684931506849</x:v>
      </x:c>
      <x:c r="S156" s="41" t="n">
        <x:f>IFERROR(R156/Q156,"")</x:f>
        <x:v>0.9778571428571429</x:v>
      </x:c>
      <x:c r="T156" s="33" t="s">
        <x:v>224</x:v>
      </x:c>
      <x:c r="U156" s="17" t="s">
        <x:v>1162</x:v>
      </x:c>
    </x:row>
    <x:row r="157" ht="26.350000381469727" customHeight="1">
      <x:c r="A157" s="29" t="s">
        <x:v>1314</x:v>
      </x:c>
      <x:c r="B157" s="29" t="s">
        <x:v>257</x:v>
      </x:c>
      <x:c r="C157" s="29" t="s">
        <x:v>636</x:v>
      </x:c>
      <x:c r="D157" s="40" t="s">
        <x:v>151</x:v>
      </x:c>
      <x:c r="E157" s="40">
        <x:v>4</x:v>
      </x:c>
      <x:c r="F157" s="40">
        <x:v>4</x:v>
      </x:c>
      <x:c r="G157" s="33" t="s">
        <x:v>217</x:v>
      </x:c>
      <x:c r="H157" s="33" t="s">
        <x:v>258</x:v>
      </x:c>
      <x:c r="I157" s="33" t="n">
        <x:f>IFERROR(XLOOKUP(G157,'模型SKU'!$A$5:$A$504,'模型SKU'!$E$5:$E$504),"")</x:f>
        <x:v>1920</x:v>
      </x:c>
      <x:c r="J157" s="33" t="n">
        <x:f>IFERROR(XLOOKUP(G157,'模型SKU'!$A$5:$A$504,'模型SKU'!$F$5:$F$504),"")</x:f>
        <x:v>1080</x:v>
      </x:c>
      <x:c r="K157" s="33" t="n">
        <x:f>IFERROR(XLOOKUP(G157,'模型SKU'!$A$5:$A$504,'模型SKU'!$G$5:$G$504),"")</x:f>
        <x:v>24</x:v>
      </x:c>
      <x:c r="L157" s="35" t="n">
        <x:f>IFERROR((E157+F157)*I157*J157*K157/'参数'!$B$7,0)</x:f>
        <x:v>388800</x:v>
      </x:c>
      <x:c r="M157" s="33" t="s">
        <x:v>318</x:v>
      </x:c>
      <x:c r="N157" s="36" t="n">
        <x:f>IFERROR(XLOOKUP(C157,'渠道成本'!$A$5:$A$1004,'渠道成本'!$U$5:$U$1004),"")</x:f>
        <x:v>0.21232876712328766</x:v>
      </x:c>
      <x:c r="O157" s="36" t="n">
        <x:f>IFERROR(XLOOKUP(B157,'官方售价'!$A$5:$A$504,'官方售价'!$M$5:$M$504),"")</x:f>
        <x:v>6.986301369863013</x:v>
      </x:c>
      <x:c r="P157" s="36" t="n">
        <x:f>IF(M157="per_token",N157*L157/'参数'!$B$8,N157)</x:f>
        <x:v>0.21232876712328766</x:v>
      </x:c>
      <x:c r="Q157" s="36" t="n">
        <x:f>IFERROR(O157*D157,"")</x:f>
        <x:v>6.986301369863013</x:v>
      </x:c>
      <x:c r="R157" s="36" t="n">
        <x:f>IFERROR(Q157-P157,"")</x:f>
        <x:v>6.773972602739725</x:v>
      </x:c>
      <x:c r="S157" s="41" t="n">
        <x:f>IFERROR(R157/Q157,"")</x:f>
        <x:v>0.9696078431372549</x:v>
      </x:c>
      <x:c r="T157" s="33" t="s">
        <x:v>224</x:v>
      </x:c>
      <x:c r="U157" s="17" t="s">
        <x:v>1162</x:v>
      </x:c>
    </x:row>
    <x:row r="158" ht="26.350000381469727" customHeight="1">
      <x:c r="A158" s="29" t="s">
        <x:v>1315</x:v>
      </x:c>
      <x:c r="B158" s="29" t="s">
        <x:v>263</x:v>
      </x:c>
      <x:c r="C158" s="29" t="s">
        <x:v>638</x:v>
      </x:c>
      <x:c r="D158" s="40" t="s">
        <x:v>151</x:v>
      </x:c>
      <x:c r="E158" s="40">
        <x:v>4</x:v>
      </x:c>
      <x:c r="F158" s="40">
        <x:v>4</x:v>
      </x:c>
      <x:c r="G158" s="33" t="s">
        <x:v>217</x:v>
      </x:c>
      <x:c r="H158" s="33" t="s">
        <x:v>264</x:v>
      </x:c>
      <x:c r="I158" s="33" t="n">
        <x:f>IFERROR(XLOOKUP(G158,'模型SKU'!$A$5:$A$504,'模型SKU'!$E$5:$E$504),"")</x:f>
        <x:v>1920</x:v>
      </x:c>
      <x:c r="J158" s="33" t="n">
        <x:f>IFERROR(XLOOKUP(G158,'模型SKU'!$A$5:$A$504,'模型SKU'!$F$5:$F$504),"")</x:f>
        <x:v>1080</x:v>
      </x:c>
      <x:c r="K158" s="33" t="n">
        <x:f>IFERROR(XLOOKUP(G158,'模型SKU'!$A$5:$A$504,'模型SKU'!$G$5:$G$504),"")</x:f>
        <x:v>24</x:v>
      </x:c>
      <x:c r="L158" s="35" t="n">
        <x:f>IFERROR((E158+F158)*I158*J158*K158/'参数'!$B$7,0)</x:f>
        <x:v>388800</x:v>
      </x:c>
      <x:c r="M158" s="33" t="s">
        <x:v>318</x:v>
      </x:c>
      <x:c r="N158" s="36" t="n">
        <x:f>IFERROR(XLOOKUP(C158,'渠道成本'!$A$5:$A$1004,'渠道成本'!$U$5:$U$1004),"")</x:f>
        <x:v>0.21232876712328766</x:v>
      </x:c>
      <x:c r="O158" s="36" t="n">
        <x:f>IFERROR(XLOOKUP(B158,'官方售价'!$A$5:$A$504,'官方售价'!$M$5:$M$504),"")</x:f>
        <x:v>4.2465753424657535</x:v>
      </x:c>
      <x:c r="P158" s="36" t="n">
        <x:f>IF(M158="per_token",N158*L158/'参数'!$B$8,N158)</x:f>
        <x:v>0.21232876712328766</x:v>
      </x:c>
      <x:c r="Q158" s="36" t="n">
        <x:f>IFERROR(O158*D158,"")</x:f>
        <x:v>4.2465753424657535</x:v>
      </x:c>
      <x:c r="R158" s="36" t="n">
        <x:f>IFERROR(Q158-P158,"")</x:f>
        <x:v>4.034246575342466</x:v>
      </x:c>
      <x:c r="S158" s="41" t="n">
        <x:f>IFERROR(R158/Q158,"")</x:f>
        <x:v>0.95</x:v>
      </x:c>
      <x:c r="T158" s="33" t="s">
        <x:v>224</x:v>
      </x:c>
      <x:c r="U158" s="17" t="s">
        <x:v>1162</x:v>
      </x:c>
    </x:row>
    <x:row r="159" ht="26.350000381469727" customHeight="1">
      <x:c r="A159" s="29" t="s">
        <x:v>1316</x:v>
      </x:c>
      <x:c r="B159" s="29" t="s">
        <x:v>283</x:v>
      </x:c>
      <x:c r="C159" s="29" t="s">
        <x:v>639</x:v>
      </x:c>
      <x:c r="D159" s="40" t="s">
        <x:v>151</x:v>
      </x:c>
      <x:c r="E159" s="40">
        <x:v>4</x:v>
      </x:c>
      <x:c r="F159" s="40">
        <x:v>4</x:v>
      </x:c>
      <x:c r="G159" s="33" t="s">
        <x:v>234</x:v>
      </x:c>
      <x:c r="H159" s="33" t="s">
        <x:v>258</x:v>
      </x:c>
      <x:c r="I159" s="33" t="n">
        <x:f>IFERROR(XLOOKUP(G159,'模型SKU'!$A$5:$A$504,'模型SKU'!$E$5:$E$504),"")</x:f>
        <x:v>864</x:v>
      </x:c>
      <x:c r="J159" s="33" t="n">
        <x:f>IFERROR(XLOOKUP(G159,'模型SKU'!$A$5:$A$504,'模型SKU'!$F$5:$F$504),"")</x:f>
        <x:v>496</x:v>
      </x:c>
      <x:c r="K159" s="33" t="n">
        <x:f>IFERROR(XLOOKUP(G159,'模型SKU'!$A$5:$A$504,'模型SKU'!$G$5:$G$504),"")</x:f>
        <x:v>24</x:v>
      </x:c>
      <x:c r="L159" s="35" t="n">
        <x:f>IFERROR((E159+F159)*I159*J159*K159/'参数'!$B$7,0)</x:f>
        <x:v>80352</x:v>
      </x:c>
      <x:c r="M159" s="33" t="s">
        <x:v>318</x:v>
      </x:c>
      <x:c r="N159" s="36" t="n">
        <x:f>IFERROR(XLOOKUP(C159,'渠道成本'!$A$5:$A$1004,'渠道成本'!$U$5:$U$1004),"")</x:f>
        <x:v>0.03424657534246575</x:v>
      </x:c>
      <x:c r="O159" s="36" t="n">
        <x:f>IFERROR(XLOOKUP(B159,'官方售价'!$A$5:$A$504,'官方售价'!$M$5:$M$504),"")</x:f>
        <x:v>5.068493150684931</x:v>
      </x:c>
      <x:c r="P159" s="36" t="n">
        <x:f>IF(M159="per_token",N159*L159/'参数'!$B$8,N159)</x:f>
        <x:v>0.03424657534246575</x:v>
      </x:c>
      <x:c r="Q159" s="36" t="n">
        <x:f>IFERROR(O159*D159,"")</x:f>
        <x:v>5.068493150684931</x:v>
      </x:c>
      <x:c r="R159" s="36" t="n">
        <x:f>IFERROR(Q159-P159,"")</x:f>
        <x:v>5.034246575342466</x:v>
      </x:c>
      <x:c r="S159" s="41" t="n">
        <x:f>IFERROR(R159/Q159,"")</x:f>
        <x:v>0.9932432432432433</x:v>
      </x:c>
      <x:c r="T159" s="33" t="s">
        <x:v>224</x:v>
      </x:c>
      <x:c r="U159" s="17" t="s">
        <x:v>1162</x:v>
      </x:c>
    </x:row>
    <x:row r="160" ht="26.350000381469727" customHeight="1">
      <x:c r="A160" s="29" t="s">
        <x:v>1317</x:v>
      </x:c>
      <x:c r="B160" s="29" t="s">
        <x:v>286</x:v>
      </x:c>
      <x:c r="C160" s="29" t="s">
        <x:v>642</x:v>
      </x:c>
      <x:c r="D160" s="40" t="s">
        <x:v>151</x:v>
      </x:c>
      <x:c r="E160" s="40">
        <x:v>4</x:v>
      </x:c>
      <x:c r="F160" s="40">
        <x:v>4</x:v>
      </x:c>
      <x:c r="G160" s="33" t="s">
        <x:v>234</x:v>
      </x:c>
      <x:c r="H160" s="33" t="s">
        <x:v>264</x:v>
      </x:c>
      <x:c r="I160" s="33" t="n">
        <x:f>IFERROR(XLOOKUP(G160,'模型SKU'!$A$5:$A$504,'模型SKU'!$E$5:$E$504),"")</x:f>
        <x:v>864</x:v>
      </x:c>
      <x:c r="J160" s="33" t="n">
        <x:f>IFERROR(XLOOKUP(G160,'模型SKU'!$A$5:$A$504,'模型SKU'!$F$5:$F$504),"")</x:f>
        <x:v>496</x:v>
      </x:c>
      <x:c r="K160" s="33" t="n">
        <x:f>IFERROR(XLOOKUP(G160,'模型SKU'!$A$5:$A$504,'模型SKU'!$G$5:$G$504),"")</x:f>
        <x:v>24</x:v>
      </x:c>
      <x:c r="L160" s="35" t="n">
        <x:f>IFERROR((E160+F160)*I160*J160*K160/'参数'!$B$7,0)</x:f>
        <x:v>80352</x:v>
      </x:c>
      <x:c r="M160" s="33" t="s">
        <x:v>318</x:v>
      </x:c>
      <x:c r="N160" s="36" t="n">
        <x:f>IFERROR(XLOOKUP(C160,'渠道成本'!$A$5:$A$1004,'渠道成本'!$U$5:$U$1004),"")</x:f>
        <x:v>0.03424657534246575</x:v>
      </x:c>
      <x:c r="O160" s="36" t="n">
        <x:f>IFERROR(XLOOKUP(B160,'官方售价'!$A$5:$A$504,'官方售价'!$M$5:$M$504),"")</x:f>
        <x:v>3.013698630136986</x:v>
      </x:c>
      <x:c r="P160" s="36" t="n">
        <x:f>IF(M160="per_token",N160*L160/'参数'!$B$8,N160)</x:f>
        <x:v>0.03424657534246575</x:v>
      </x:c>
      <x:c r="Q160" s="36" t="n">
        <x:f>IFERROR(O160*D160,"")</x:f>
        <x:v>3.013698630136986</x:v>
      </x:c>
      <x:c r="R160" s="36" t="n">
        <x:f>IFERROR(Q160-P160,"")</x:f>
        <x:v>2.9794520547945202</x:v>
      </x:c>
      <x:c r="S160" s="41" t="n">
        <x:f>IFERROR(R160/Q160,"")</x:f>
        <x:v>0.9886363636363636</x:v>
      </x:c>
      <x:c r="T160" s="33" t="s">
        <x:v>224</x:v>
      </x:c>
      <x:c r="U160" s="17" t="s">
        <x:v>1162</x:v>
      </x:c>
    </x:row>
    <x:row r="161" ht="26.350000381469727" customHeight="1">
      <x:c r="A161" s="29" t="s">
        <x:v>1318</x:v>
      </x:c>
      <x:c r="B161" s="29" t="s">
        <x:v>289</x:v>
      </x:c>
      <x:c r="C161" s="29" t="s">
        <x:v>643</x:v>
      </x:c>
      <x:c r="D161" s="40" t="s">
        <x:v>151</x:v>
      </x:c>
      <x:c r="E161" s="40">
        <x:v>4</x:v>
      </x:c>
      <x:c r="F161" s="40">
        <x:v>4</x:v>
      </x:c>
      <x:c r="G161" s="33" t="s">
        <x:v>238</x:v>
      </x:c>
      <x:c r="H161" s="33" t="s">
        <x:v>258</x:v>
      </x:c>
      <x:c r="I161" s="33" t="n">
        <x:f>IFERROR(XLOOKUP(G161,'模型SKU'!$A$5:$A$504,'模型SKU'!$E$5:$E$504),"")</x:f>
        <x:v>1280</x:v>
      </x:c>
      <x:c r="J161" s="33" t="n">
        <x:f>IFERROR(XLOOKUP(G161,'模型SKU'!$A$5:$A$504,'模型SKU'!$F$5:$F$504),"")</x:f>
        <x:v>720</x:v>
      </x:c>
      <x:c r="K161" s="33" t="n">
        <x:f>IFERROR(XLOOKUP(G161,'模型SKU'!$A$5:$A$504,'模型SKU'!$G$5:$G$504),"")</x:f>
        <x:v>24</x:v>
      </x:c>
      <x:c r="L161" s="35" t="n">
        <x:f>IFERROR((E161+F161)*I161*J161*K161/'参数'!$B$7,0)</x:f>
        <x:v>172800</x:v>
      </x:c>
      <x:c r="M161" s="33" t="s">
        <x:v>318</x:v>
      </x:c>
      <x:c r="N161" s="36" t="n">
        <x:f>IFERROR(XLOOKUP(C161,'渠道成本'!$A$5:$A$1004,'渠道成本'!$U$5:$U$1004),"")</x:f>
        <x:v>0.06438356164383562</x:v>
      </x:c>
      <x:c r="O161" s="36" t="n">
        <x:f>IFERROR(XLOOKUP(B161,'官方售价'!$A$5:$A$504,'官方售价'!$M$5:$M$504),"")</x:f>
        <x:v>5.068493150684931</x:v>
      </x:c>
      <x:c r="P161" s="36" t="n">
        <x:f>IF(M161="per_token",N161*L161/'参数'!$B$8,N161)</x:f>
        <x:v>0.06438356164383562</x:v>
      </x:c>
      <x:c r="Q161" s="36" t="n">
        <x:f>IFERROR(O161*D161,"")</x:f>
        <x:v>5.068493150684931</x:v>
      </x:c>
      <x:c r="R161" s="36" t="n">
        <x:f>IFERROR(Q161-P161,"")</x:f>
        <x:v>5.004109589041096</x:v>
      </x:c>
      <x:c r="S161" s="41" t="n">
        <x:f>IFERROR(R161/Q161,"")</x:f>
        <x:v>0.9872972972972973</x:v>
      </x:c>
      <x:c r="T161" s="33" t="s">
        <x:v>224</x:v>
      </x:c>
      <x:c r="U161" s="17" t="s">
        <x:v>1162</x:v>
      </x:c>
    </x:row>
    <x:row r="162" ht="26.350000381469727" customHeight="1">
      <x:c r="A162" s="29" t="s">
        <x:v>1319</x:v>
      </x:c>
      <x:c r="B162" s="29" t="s">
        <x:v>291</x:v>
      </x:c>
      <x:c r="C162" s="29" t="s">
        <x:v>645</x:v>
      </x:c>
      <x:c r="D162" s="40" t="s">
        <x:v>151</x:v>
      </x:c>
      <x:c r="E162" s="40">
        <x:v>4</x:v>
      </x:c>
      <x:c r="F162" s="40">
        <x:v>4</x:v>
      </x:c>
      <x:c r="G162" s="33" t="s">
        <x:v>238</x:v>
      </x:c>
      <x:c r="H162" s="33" t="s">
        <x:v>264</x:v>
      </x:c>
      <x:c r="I162" s="33" t="n">
        <x:f>IFERROR(XLOOKUP(G162,'模型SKU'!$A$5:$A$504,'模型SKU'!$E$5:$E$504),"")</x:f>
        <x:v>1280</x:v>
      </x:c>
      <x:c r="J162" s="33" t="n">
        <x:f>IFERROR(XLOOKUP(G162,'模型SKU'!$A$5:$A$504,'模型SKU'!$F$5:$F$504),"")</x:f>
        <x:v>720</x:v>
      </x:c>
      <x:c r="K162" s="33" t="n">
        <x:f>IFERROR(XLOOKUP(G162,'模型SKU'!$A$5:$A$504,'模型SKU'!$G$5:$G$504),"")</x:f>
        <x:v>24</x:v>
      </x:c>
      <x:c r="L162" s="35" t="n">
        <x:f>IFERROR((E162+F162)*I162*J162*K162/'参数'!$B$7,0)</x:f>
        <x:v>172800</x:v>
      </x:c>
      <x:c r="M162" s="33" t="s">
        <x:v>318</x:v>
      </x:c>
      <x:c r="N162" s="36" t="n">
        <x:f>IFERROR(XLOOKUP(C162,'渠道成本'!$A$5:$A$1004,'渠道成本'!$U$5:$U$1004),"")</x:f>
        <x:v>0.06438356164383562</x:v>
      </x:c>
      <x:c r="O162" s="36" t="n">
        <x:f>IFERROR(XLOOKUP(B162,'官方售价'!$A$5:$A$504,'官方售价'!$M$5:$M$504),"")</x:f>
        <x:v>3.013698630136986</x:v>
      </x:c>
      <x:c r="P162" s="36" t="n">
        <x:f>IF(M162="per_token",N162*L162/'参数'!$B$8,N162)</x:f>
        <x:v>0.06438356164383562</x:v>
      </x:c>
      <x:c r="Q162" s="36" t="n">
        <x:f>IFERROR(O162*D162,"")</x:f>
        <x:v>3.013698630136986</x:v>
      </x:c>
      <x:c r="R162" s="36" t="n">
        <x:f>IFERROR(Q162-P162,"")</x:f>
        <x:v>2.94931506849315</x:v>
      </x:c>
      <x:c r="S162" s="41" t="n">
        <x:f>IFERROR(R162/Q162,"")</x:f>
        <x:v>0.9786363636363636</x:v>
      </x:c>
      <x:c r="T162" s="33" t="s">
        <x:v>224</x:v>
      </x:c>
      <x:c r="U162" s="17" t="s">
        <x:v>1162</x:v>
      </x:c>
    </x:row>
    <x:row r="163" ht="26.350000381469727" customHeight="1">
      <x:c r="A163" s="29" t="s">
        <x:v>1320</x:v>
      </x:c>
      <x:c r="B163" s="29" t="s">
        <x:v>293</x:v>
      </x:c>
      <x:c r="C163" s="29" t="s">
        <x:v>646</x:v>
      </x:c>
      <x:c r="D163" s="40" t="s">
        <x:v>151</x:v>
      </x:c>
      <x:c r="E163" s="40">
        <x:v>4</x:v>
      </x:c>
      <x:c r="F163" s="40">
        <x:v>4</x:v>
      </x:c>
      <x:c r="G163" s="33" t="s">
        <x:v>240</x:v>
      </x:c>
      <x:c r="H163" s="33" t="s">
        <x:v>258</x:v>
      </x:c>
      <x:c r="I163" s="33" t="n">
        <x:f>IFERROR(XLOOKUP(G163,'模型SKU'!$A$5:$A$504,'模型SKU'!$E$5:$E$504),"")</x:f>
        <x:v>864</x:v>
      </x:c>
      <x:c r="J163" s="33" t="n">
        <x:f>IFERROR(XLOOKUP(G163,'模型SKU'!$A$5:$A$504,'模型SKU'!$F$5:$F$504),"")</x:f>
        <x:v>496</x:v>
      </x:c>
      <x:c r="K163" s="33" t="n">
        <x:f>IFERROR(XLOOKUP(G163,'模型SKU'!$A$5:$A$504,'模型SKU'!$G$5:$G$504),"")</x:f>
        <x:v>24</x:v>
      </x:c>
      <x:c r="L163" s="35" t="n">
        <x:f>IFERROR((E163+F163)*I163*J163*K163/'参数'!$B$7,0)</x:f>
        <x:v>80352</x:v>
      </x:c>
      <x:c r="M163" s="33" t="s">
        <x:v>318</x:v>
      </x:c>
      <x:c r="N163" s="36" t="n">
        <x:f>IFERROR(XLOOKUP(C163,'渠道成本'!$A$5:$A$1004,'渠道成本'!$U$5:$U$1004),"")</x:f>
        <x:v>0.021917808219178082</x:v>
      </x:c>
      <x:c r="O163" s="36" t="n">
        <x:f>IFERROR(XLOOKUP(B163,'官方售价'!$A$5:$A$504,'官方售价'!$M$5:$M$504),"")</x:f>
        <x:v>3.150684931506849</x:v>
      </x:c>
      <x:c r="P163" s="36" t="n">
        <x:f>IF(M163="per_token",N163*L163/'参数'!$B$8,N163)</x:f>
        <x:v>0.021917808219178082</x:v>
      </x:c>
      <x:c r="Q163" s="36" t="n">
        <x:f>IFERROR(O163*D163,"")</x:f>
        <x:v>3.150684931506849</x:v>
      </x:c>
      <x:c r="R163" s="36" t="n">
        <x:f>IFERROR(Q163-P163,"")</x:f>
        <x:v>3.128767123287671</x:v>
      </x:c>
      <x:c r="S163" s="41" t="n">
        <x:f>IFERROR(R163/Q163,"")</x:f>
        <x:v>0.9930434782608696</x:v>
      </x:c>
      <x:c r="T163" s="33" t="s">
        <x:v>224</x:v>
      </x:c>
      <x:c r="U163" s="17" t="s">
        <x:v>1162</x:v>
      </x:c>
    </x:row>
    <x:row r="164" ht="26.350000381469727" customHeight="1">
      <x:c r="A164" s="29" t="s">
        <x:v>1321</x:v>
      </x:c>
      <x:c r="B164" s="29" t="s">
        <x:v>296</x:v>
      </x:c>
      <x:c r="C164" s="29" t="s">
        <x:v>648</x:v>
      </x:c>
      <x:c r="D164" s="40" t="s">
        <x:v>151</x:v>
      </x:c>
      <x:c r="E164" s="40">
        <x:v>4</x:v>
      </x:c>
      <x:c r="F164" s="40">
        <x:v>4</x:v>
      </x:c>
      <x:c r="G164" s="33" t="s">
        <x:v>240</x:v>
      </x:c>
      <x:c r="H164" s="33" t="s">
        <x:v>264</x:v>
      </x:c>
      <x:c r="I164" s="33" t="n">
        <x:f>IFERROR(XLOOKUP(G164,'模型SKU'!$A$5:$A$504,'模型SKU'!$E$5:$E$504),"")</x:f>
        <x:v>864</x:v>
      </x:c>
      <x:c r="J164" s="33" t="n">
        <x:f>IFERROR(XLOOKUP(G164,'模型SKU'!$A$5:$A$504,'模型SKU'!$F$5:$F$504),"")</x:f>
        <x:v>496</x:v>
      </x:c>
      <x:c r="K164" s="33" t="n">
        <x:f>IFERROR(XLOOKUP(G164,'模型SKU'!$A$5:$A$504,'模型SKU'!$G$5:$G$504),"")</x:f>
        <x:v>24</x:v>
      </x:c>
      <x:c r="L164" s="35" t="n">
        <x:f>IFERROR((E164+F164)*I164*J164*K164/'参数'!$B$7,0)</x:f>
        <x:v>80352</x:v>
      </x:c>
      <x:c r="M164" s="33" t="s">
        <x:v>318</x:v>
      </x:c>
      <x:c r="N164" s="36" t="n">
        <x:f>IFERROR(XLOOKUP(C164,'渠道成本'!$A$5:$A$1004,'渠道成本'!$U$5:$U$1004),"")</x:f>
        <x:v>0.021917808219178082</x:v>
      </x:c>
      <x:c r="O164" s="36" t="n">
        <x:f>IFERROR(XLOOKUP(B164,'官方售价'!$A$5:$A$504,'官方售价'!$M$5:$M$504),"")</x:f>
        <x:v>1.917808219178082</x:v>
      </x:c>
      <x:c r="P164" s="36" t="n">
        <x:f>IF(M164="per_token",N164*L164/'参数'!$B$8,N164)</x:f>
        <x:v>0.021917808219178082</x:v>
      </x:c>
      <x:c r="Q164" s="36" t="n">
        <x:f>IFERROR(O164*D164,"")</x:f>
        <x:v>1.917808219178082</x:v>
      </x:c>
      <x:c r="R164" s="36" t="n">
        <x:f>IFERROR(Q164-P164,"")</x:f>
        <x:v>1.895890410958904</x:v>
      </x:c>
      <x:c r="S164" s="41" t="n">
        <x:f>IFERROR(R164/Q164,"")</x:f>
        <x:v>0.9885714285714287</x:v>
      </x:c>
      <x:c r="T164" s="33" t="s">
        <x:v>224</x:v>
      </x:c>
      <x:c r="U164" s="17" t="s">
        <x:v>1162</x:v>
      </x:c>
    </x:row>
    <x:row r="165" ht="26.350000381469727" customHeight="1">
      <x:c r="A165" s="29" t="s">
        <x:v>1322</x:v>
      </x:c>
      <x:c r="B165" s="29" t="s">
        <x:v>279</x:v>
      </x:c>
      <x:c r="C165" s="29" t="s">
        <x:v>649</x:v>
      </x:c>
      <x:c r="D165" s="40" t="s">
        <x:v>151</x:v>
      </x:c>
      <x:c r="E165" s="40">
        <x:v>4</x:v>
      </x:c>
      <x:c r="F165" s="40">
        <x:v>4</x:v>
      </x:c>
      <x:c r="G165" s="33" t="s">
        <x:v>232</x:v>
      </x:c>
      <x:c r="H165" s="33" t="s">
        <x:v>258</x:v>
      </x:c>
      <x:c r="I165" s="33" t="n">
        <x:f>IFERROR(XLOOKUP(G165,'模型SKU'!$A$5:$A$504,'模型SKU'!$E$5:$E$504),"")</x:f>
        <x:v>1280</x:v>
      </x:c>
      <x:c r="J165" s="33" t="n">
        <x:f>IFERROR(XLOOKUP(G165,'模型SKU'!$A$5:$A$504,'模型SKU'!$F$5:$F$504),"")</x:f>
        <x:v>720</x:v>
      </x:c>
      <x:c r="K165" s="33" t="n">
        <x:f>IFERROR(XLOOKUP(G165,'模型SKU'!$A$5:$A$504,'模型SKU'!$G$5:$G$504),"")</x:f>
        <x:v>24</x:v>
      </x:c>
      <x:c r="L165" s="35" t="n">
        <x:f>IFERROR((E165+F165)*I165*J165*K165/'参数'!$B$7,0)</x:f>
        <x:v>172800</x:v>
      </x:c>
      <x:c r="M165" s="33" t="s">
        <x:v>318</x:v>
      </x:c>
      <x:c r="N165" s="36" t="n">
        <x:f>IFERROR(XLOOKUP(C165,'渠道成本'!$A$5:$A$1004,'渠道成本'!$U$5:$U$1004),"")</x:f>
        <x:v>0.136986301369863</x:v>
      </x:c>
      <x:c r="O165" s="36" t="n">
        <x:f>IFERROR(XLOOKUP(B165,'官方售价'!$A$5:$A$504,'官方售价'!$M$5:$M$504),"")</x:f>
        <x:v>6.301369863013698</x:v>
      </x:c>
      <x:c r="P165" s="36" t="n">
        <x:f>IF(M165="per_token",N165*L165/'参数'!$B$8,N165)</x:f>
        <x:v>0.136986301369863</x:v>
      </x:c>
      <x:c r="Q165" s="36" t="n">
        <x:f>IFERROR(O165*D165,"")</x:f>
        <x:v>6.301369863013698</x:v>
      </x:c>
      <x:c r="R165" s="36" t="n">
        <x:f>IFERROR(Q165-P165,"")</x:f>
        <x:v>6.164383561643835</x:v>
      </x:c>
      <x:c r="S165" s="41" t="n">
        <x:f>IFERROR(R165/Q165,"")</x:f>
        <x:v>0.9782608695652174</x:v>
      </x:c>
      <x:c r="T165" s="33" t="s">
        <x:v>224</x:v>
      </x:c>
      <x:c r="U165" s="17" t="s">
        <x:v>1162</x:v>
      </x:c>
    </x:row>
    <x:row r="166" ht="26.350000381469727" customHeight="1">
      <x:c r="A166" s="29" t="s">
        <x:v>1323</x:v>
      </x:c>
      <x:c r="B166" s="29" t="s">
        <x:v>281</x:v>
      </x:c>
      <x:c r="C166" s="29" t="s">
        <x:v>652</x:v>
      </x:c>
      <x:c r="D166" s="40" t="s">
        <x:v>151</x:v>
      </x:c>
      <x:c r="E166" s="40">
        <x:v>4</x:v>
      </x:c>
      <x:c r="F166" s="40">
        <x:v>4</x:v>
      </x:c>
      <x:c r="G166" s="33" t="s">
        <x:v>232</x:v>
      </x:c>
      <x:c r="H166" s="33" t="s">
        <x:v>264</x:v>
      </x:c>
      <x:c r="I166" s="33" t="n">
        <x:f>IFERROR(XLOOKUP(G166,'模型SKU'!$A$5:$A$504,'模型SKU'!$E$5:$E$504),"")</x:f>
        <x:v>1280</x:v>
      </x:c>
      <x:c r="J166" s="33" t="n">
        <x:f>IFERROR(XLOOKUP(G166,'模型SKU'!$A$5:$A$504,'模型SKU'!$F$5:$F$504),"")</x:f>
        <x:v>720</x:v>
      </x:c>
      <x:c r="K166" s="33" t="n">
        <x:f>IFERROR(XLOOKUP(G166,'模型SKU'!$A$5:$A$504,'模型SKU'!$G$5:$G$504),"")</x:f>
        <x:v>24</x:v>
      </x:c>
      <x:c r="L166" s="35" t="n">
        <x:f>IFERROR((E166+F166)*I166*J166*K166/'参数'!$B$7,0)</x:f>
        <x:v>172800</x:v>
      </x:c>
      <x:c r="M166" s="33" t="s">
        <x:v>318</x:v>
      </x:c>
      <x:c r="N166" s="36" t="n">
        <x:f>IFERROR(XLOOKUP(C166,'渠道成本'!$A$5:$A$1004,'渠道成本'!$U$5:$U$1004),"")</x:f>
        <x:v>0.136986301369863</x:v>
      </x:c>
      <x:c r="O166" s="36" t="n">
        <x:f>IFERROR(XLOOKUP(B166,'官方售价'!$A$5:$A$504,'官方售价'!$M$5:$M$504),"")</x:f>
        <x:v>3.835616438356164</x:v>
      </x:c>
      <x:c r="P166" s="36" t="n">
        <x:f>IF(M166="per_token",N166*L166/'参数'!$B$8,N166)</x:f>
        <x:v>0.136986301369863</x:v>
      </x:c>
      <x:c r="Q166" s="36" t="n">
        <x:f>IFERROR(O166*D166,"")</x:f>
        <x:v>3.835616438356164</x:v>
      </x:c>
      <x:c r="R166" s="36" t="n">
        <x:f>IFERROR(Q166-P166,"")</x:f>
        <x:v>3.698630136986301</x:v>
      </x:c>
      <x:c r="S166" s="41" t="n">
        <x:f>IFERROR(R166/Q166,"")</x:f>
        <x:v>0.9642857142857143</x:v>
      </x:c>
      <x:c r="T166" s="33" t="s">
        <x:v>224</x:v>
      </x:c>
      <x:c r="U166" s="17" t="s">
        <x:v>1162</x:v>
      </x:c>
    </x:row>
    <x:row r="167" ht="26.350000381469727" customHeight="1">
      <x:c r="A167" s="29" t="s">
        <x:v>1324</x:v>
      </x:c>
      <x:c r="B167" s="29" t="s">
        <x:v>279</x:v>
      </x:c>
      <x:c r="C167" s="29" t="s">
        <x:v>653</x:v>
      </x:c>
      <x:c r="D167" s="40" t="s">
        <x:v>151</x:v>
      </x:c>
      <x:c r="E167" s="40">
        <x:v>4</x:v>
      </x:c>
      <x:c r="F167" s="40">
        <x:v>4</x:v>
      </x:c>
      <x:c r="G167" s="33" t="s">
        <x:v>232</x:v>
      </x:c>
      <x:c r="H167" s="33" t="s">
        <x:v>258</x:v>
      </x:c>
      <x:c r="I167" s="33" t="n">
        <x:f>IFERROR(XLOOKUP(G167,'模型SKU'!$A$5:$A$504,'模型SKU'!$E$5:$E$504),"")</x:f>
        <x:v>1280</x:v>
      </x:c>
      <x:c r="J167" s="33" t="n">
        <x:f>IFERROR(XLOOKUP(G167,'模型SKU'!$A$5:$A$504,'模型SKU'!$F$5:$F$504),"")</x:f>
        <x:v>720</x:v>
      </x:c>
      <x:c r="K167" s="33" t="n">
        <x:f>IFERROR(XLOOKUP(G167,'模型SKU'!$A$5:$A$504,'模型SKU'!$G$5:$G$504),"")</x:f>
        <x:v>24</x:v>
      </x:c>
      <x:c r="L167" s="35" t="n">
        <x:f>IFERROR((E167+F167)*I167*J167*K167/'参数'!$B$7,0)</x:f>
        <x:v>172800</x:v>
      </x:c>
      <x:c r="M167" s="33" t="s">
        <x:v>318</x:v>
      </x:c>
      <x:c r="N167" s="36" t="n">
        <x:f>IFERROR(XLOOKUP(C167,'渠道成本'!$A$5:$A$1004,'渠道成本'!$U$5:$U$1004),"")</x:f>
        <x:v>0.136986301369863</x:v>
      </x:c>
      <x:c r="O167" s="36" t="n">
        <x:f>IFERROR(XLOOKUP(B167,'官方售价'!$A$5:$A$504,'官方售价'!$M$5:$M$504),"")</x:f>
        <x:v>6.301369863013698</x:v>
      </x:c>
      <x:c r="P167" s="36" t="n">
        <x:f>IF(M167="per_token",N167*L167/'参数'!$B$8,N167)</x:f>
        <x:v>0.136986301369863</x:v>
      </x:c>
      <x:c r="Q167" s="36" t="n">
        <x:f>IFERROR(O167*D167,"")</x:f>
        <x:v>6.301369863013698</x:v>
      </x:c>
      <x:c r="R167" s="36" t="n">
        <x:f>IFERROR(Q167-P167,"")</x:f>
        <x:v>6.164383561643835</x:v>
      </x:c>
      <x:c r="S167" s="41" t="n">
        <x:f>IFERROR(R167/Q167,"")</x:f>
        <x:v>0.9782608695652174</x:v>
      </x:c>
      <x:c r="T167" s="33" t="s">
        <x:v>224</x:v>
      </x:c>
      <x:c r="U167" s="17" t="s">
        <x:v>1162</x:v>
      </x:c>
    </x:row>
    <x:row r="168" ht="26.350000381469727" customHeight="1">
      <x:c r="A168" s="29" t="s">
        <x:v>1325</x:v>
      </x:c>
      <x:c r="B168" s="29" t="s">
        <x:v>281</x:v>
      </x:c>
      <x:c r="C168" s="29" t="s">
        <x:v>656</x:v>
      </x:c>
      <x:c r="D168" s="40" t="s">
        <x:v>151</x:v>
      </x:c>
      <x:c r="E168" s="40">
        <x:v>4</x:v>
      </x:c>
      <x:c r="F168" s="40">
        <x:v>4</x:v>
      </x:c>
      <x:c r="G168" s="33" t="s">
        <x:v>232</x:v>
      </x:c>
      <x:c r="H168" s="33" t="s">
        <x:v>264</x:v>
      </x:c>
      <x:c r="I168" s="33" t="n">
        <x:f>IFERROR(XLOOKUP(G168,'模型SKU'!$A$5:$A$504,'模型SKU'!$E$5:$E$504),"")</x:f>
        <x:v>1280</x:v>
      </x:c>
      <x:c r="J168" s="33" t="n">
        <x:f>IFERROR(XLOOKUP(G168,'模型SKU'!$A$5:$A$504,'模型SKU'!$F$5:$F$504),"")</x:f>
        <x:v>720</x:v>
      </x:c>
      <x:c r="K168" s="33" t="n">
        <x:f>IFERROR(XLOOKUP(G168,'模型SKU'!$A$5:$A$504,'模型SKU'!$G$5:$G$504),"")</x:f>
        <x:v>24</x:v>
      </x:c>
      <x:c r="L168" s="35" t="n">
        <x:f>IFERROR((E168+F168)*I168*J168*K168/'参数'!$B$7,0)</x:f>
        <x:v>172800</x:v>
      </x:c>
      <x:c r="M168" s="33" t="s">
        <x:v>318</x:v>
      </x:c>
      <x:c r="N168" s="36" t="n">
        <x:f>IFERROR(XLOOKUP(C168,'渠道成本'!$A$5:$A$1004,'渠道成本'!$U$5:$U$1004),"")</x:f>
        <x:v>0.136986301369863</x:v>
      </x:c>
      <x:c r="O168" s="36" t="n">
        <x:f>IFERROR(XLOOKUP(B168,'官方售价'!$A$5:$A$504,'官方售价'!$M$5:$M$504),"")</x:f>
        <x:v>3.835616438356164</x:v>
      </x:c>
      <x:c r="P168" s="36" t="n">
        <x:f>IF(M168="per_token",N168*L168/'参数'!$B$8,N168)</x:f>
        <x:v>0.136986301369863</x:v>
      </x:c>
      <x:c r="Q168" s="36" t="n">
        <x:f>IFERROR(O168*D168,"")</x:f>
        <x:v>3.835616438356164</x:v>
      </x:c>
      <x:c r="R168" s="36" t="n">
        <x:f>IFERROR(Q168-P168,"")</x:f>
        <x:v>3.698630136986301</x:v>
      </x:c>
      <x:c r="S168" s="41" t="n">
        <x:f>IFERROR(R168/Q168,"")</x:f>
        <x:v>0.9642857142857143</x:v>
      </x:c>
      <x:c r="T168" s="33" t="s">
        <x:v>224</x:v>
      </x:c>
      <x:c r="U168" s="17" t="s">
        <x:v>1162</x:v>
      </x:c>
    </x:row>
    <x:row r="169" ht="26.350000381469727" customHeight="1">
      <x:c r="A169" s="29" t="s">
        <x:v>1326</x:v>
      </x:c>
      <x:c r="B169" s="29" t="s">
        <x:v>279</x:v>
      </x:c>
      <x:c r="C169" s="29" t="s">
        <x:v>657</x:v>
      </x:c>
      <x:c r="D169" s="40" t="s">
        <x:v>151</x:v>
      </x:c>
      <x:c r="E169" s="40">
        <x:v>4</x:v>
      </x:c>
      <x:c r="F169" s="40">
        <x:v>4</x:v>
      </x:c>
      <x:c r="G169" s="33" t="s">
        <x:v>232</x:v>
      </x:c>
      <x:c r="H169" s="33" t="s">
        <x:v>258</x:v>
      </x:c>
      <x:c r="I169" s="33" t="n">
        <x:f>IFERROR(XLOOKUP(G169,'模型SKU'!$A$5:$A$504,'模型SKU'!$E$5:$E$504),"")</x:f>
        <x:v>1280</x:v>
      </x:c>
      <x:c r="J169" s="33" t="n">
        <x:f>IFERROR(XLOOKUP(G169,'模型SKU'!$A$5:$A$504,'模型SKU'!$F$5:$F$504),"")</x:f>
        <x:v>720</x:v>
      </x:c>
      <x:c r="K169" s="33" t="n">
        <x:f>IFERROR(XLOOKUP(G169,'模型SKU'!$A$5:$A$504,'模型SKU'!$G$5:$G$504),"")</x:f>
        <x:v>24</x:v>
      </x:c>
      <x:c r="L169" s="35" t="n">
        <x:f>IFERROR((E169+F169)*I169*J169*K169/'参数'!$B$7,0)</x:f>
        <x:v>172800</x:v>
      </x:c>
      <x:c r="M169" s="33" t="s">
        <x:v>318</x:v>
      </x:c>
      <x:c r="N169" s="36" t="n">
        <x:f>IFERROR(XLOOKUP(C169,'渠道成本'!$A$5:$A$1004,'渠道成本'!$U$5:$U$1004),"")</x:f>
        <x:v>0.136986301369863</x:v>
      </x:c>
      <x:c r="O169" s="36" t="n">
        <x:f>IFERROR(XLOOKUP(B169,'官方售价'!$A$5:$A$504,'官方售价'!$M$5:$M$504),"")</x:f>
        <x:v>6.301369863013698</x:v>
      </x:c>
      <x:c r="P169" s="36" t="n">
        <x:f>IF(M169="per_token",N169*L169/'参数'!$B$8,N169)</x:f>
        <x:v>0.136986301369863</x:v>
      </x:c>
      <x:c r="Q169" s="36" t="n">
        <x:f>IFERROR(O169*D169,"")</x:f>
        <x:v>6.301369863013698</x:v>
      </x:c>
      <x:c r="R169" s="36" t="n">
        <x:f>IFERROR(Q169-P169,"")</x:f>
        <x:v>6.164383561643835</x:v>
      </x:c>
      <x:c r="S169" s="41" t="n">
        <x:f>IFERROR(R169/Q169,"")</x:f>
        <x:v>0.9782608695652174</x:v>
      </x:c>
      <x:c r="T169" s="33" t="s">
        <x:v>224</x:v>
      </x:c>
      <x:c r="U169" s="17" t="s">
        <x:v>1162</x:v>
      </x:c>
    </x:row>
    <x:row r="170" ht="26.350000381469727" customHeight="1">
      <x:c r="A170" s="29" t="s">
        <x:v>1327</x:v>
      </x:c>
      <x:c r="B170" s="29" t="s">
        <x:v>281</x:v>
      </x:c>
      <x:c r="C170" s="29" t="s">
        <x:v>660</x:v>
      </x:c>
      <x:c r="D170" s="40" t="s">
        <x:v>151</x:v>
      </x:c>
      <x:c r="E170" s="40">
        <x:v>4</x:v>
      </x:c>
      <x:c r="F170" s="40">
        <x:v>4</x:v>
      </x:c>
      <x:c r="G170" s="33" t="s">
        <x:v>232</x:v>
      </x:c>
      <x:c r="H170" s="33" t="s">
        <x:v>264</x:v>
      </x:c>
      <x:c r="I170" s="33" t="n">
        <x:f>IFERROR(XLOOKUP(G170,'模型SKU'!$A$5:$A$504,'模型SKU'!$E$5:$E$504),"")</x:f>
        <x:v>1280</x:v>
      </x:c>
      <x:c r="J170" s="33" t="n">
        <x:f>IFERROR(XLOOKUP(G170,'模型SKU'!$A$5:$A$504,'模型SKU'!$F$5:$F$504),"")</x:f>
        <x:v>720</x:v>
      </x:c>
      <x:c r="K170" s="33" t="n">
        <x:f>IFERROR(XLOOKUP(G170,'模型SKU'!$A$5:$A$504,'模型SKU'!$G$5:$G$504),"")</x:f>
        <x:v>24</x:v>
      </x:c>
      <x:c r="L170" s="35" t="n">
        <x:f>IFERROR((E170+F170)*I170*J170*K170/'参数'!$B$7,0)</x:f>
        <x:v>172800</x:v>
      </x:c>
      <x:c r="M170" s="33" t="s">
        <x:v>318</x:v>
      </x:c>
      <x:c r="N170" s="36" t="n">
        <x:f>IFERROR(XLOOKUP(C170,'渠道成本'!$A$5:$A$1004,'渠道成本'!$U$5:$U$1004),"")</x:f>
        <x:v>0.136986301369863</x:v>
      </x:c>
      <x:c r="O170" s="36" t="n">
        <x:f>IFERROR(XLOOKUP(B170,'官方售价'!$A$5:$A$504,'官方售价'!$M$5:$M$504),"")</x:f>
        <x:v>3.835616438356164</x:v>
      </x:c>
      <x:c r="P170" s="36" t="n">
        <x:f>IF(M170="per_token",N170*L170/'参数'!$B$8,N170)</x:f>
        <x:v>0.136986301369863</x:v>
      </x:c>
      <x:c r="Q170" s="36" t="n">
        <x:f>IFERROR(O170*D170,"")</x:f>
        <x:v>3.835616438356164</x:v>
      </x:c>
      <x:c r="R170" s="36" t="n">
        <x:f>IFERROR(Q170-P170,"")</x:f>
        <x:v>3.698630136986301</x:v>
      </x:c>
      <x:c r="S170" s="41" t="n">
        <x:f>IFERROR(R170/Q170,"")</x:f>
        <x:v>0.9642857142857143</x:v>
      </x:c>
      <x:c r="T170" s="33" t="s">
        <x:v>224</x:v>
      </x:c>
      <x:c r="U170" s="17" t="s">
        <x:v>1162</x:v>
      </x:c>
    </x:row>
    <x:row r="171" ht="26.350000381469727" customHeight="1">
      <x:c r="A171" s="29" t="s">
        <x:v>1328</x:v>
      </x:c>
      <x:c r="B171" s="29" t="s">
        <x:v>267</x:v>
      </x:c>
      <x:c r="C171" s="29" t="s">
        <x:v>661</x:v>
      </x:c>
      <x:c r="D171" s="40" t="s">
        <x:v>151</x:v>
      </x:c>
      <x:c r="E171" s="40">
        <x:v>4</x:v>
      </x:c>
      <x:c r="F171" s="40">
        <x:v>4</x:v>
      </x:c>
      <x:c r="G171" s="33" t="s">
        <x:v>227</x:v>
      </x:c>
      <x:c r="H171" s="33" t="s">
        <x:v>258</x:v>
      </x:c>
      <x:c r="I171" s="33" t="n">
        <x:f>IFERROR(XLOOKUP(G171,'模型SKU'!$A$5:$A$504,'模型SKU'!$E$5:$E$504),"")</x:f>
        <x:v>864</x:v>
      </x:c>
      <x:c r="J171" s="33" t="n">
        <x:f>IFERROR(XLOOKUP(G171,'模型SKU'!$A$5:$A$504,'模型SKU'!$F$5:$F$504),"")</x:f>
        <x:v>496</x:v>
      </x:c>
      <x:c r="K171" s="33" t="n">
        <x:f>IFERROR(XLOOKUP(G171,'模型SKU'!$A$5:$A$504,'模型SKU'!$G$5:$G$504),"")</x:f>
        <x:v>24</x:v>
      </x:c>
      <x:c r="L171" s="35" t="n">
        <x:f>IFERROR((E171+F171)*I171*J171*K171/'参数'!$B$7,0)</x:f>
        <x:v>80352</x:v>
      </x:c>
      <x:c r="M171" s="33" t="s">
        <x:v>318</x:v>
      </x:c>
      <x:c r="N171" s="36" t="n">
        <x:f>IFERROR(XLOOKUP(C171,'渠道成本'!$A$5:$A$1004,'渠道成本'!$U$5:$U$1004),"")</x:f>
        <x:v>0.0684931506849315</x:v>
      </x:c>
      <x:c r="O171" s="36" t="n">
        <x:f>IFERROR(XLOOKUP(B171,'官方售价'!$A$5:$A$504,'官方售价'!$M$5:$M$504),"")</x:f>
        <x:v>6.301369863013698</x:v>
      </x:c>
      <x:c r="P171" s="36" t="n">
        <x:f>IF(M171="per_token",N171*L171/'参数'!$B$8,N171)</x:f>
        <x:v>0.0684931506849315</x:v>
      </x:c>
      <x:c r="Q171" s="36" t="n">
        <x:f>IFERROR(O171*D171,"")</x:f>
        <x:v>6.301369863013698</x:v>
      </x:c>
      <x:c r="R171" s="36" t="n">
        <x:f>IFERROR(Q171-P171,"")</x:f>
        <x:v>6.232876712328767</x:v>
      </x:c>
      <x:c r="S171" s="41" t="n">
        <x:f>IFERROR(R171/Q171,"")</x:f>
        <x:v>0.9891304347826088</x:v>
      </x:c>
      <x:c r="T171" s="33" t="s">
        <x:v>224</x:v>
      </x:c>
      <x:c r="U171" s="17" t="s">
        <x:v>1162</x:v>
      </x:c>
    </x:row>
    <x:row r="172" ht="26.350000381469727" customHeight="1">
      <x:c r="A172" s="29" t="s">
        <x:v>1329</x:v>
      </x:c>
      <x:c r="B172" s="29" t="s">
        <x:v>270</x:v>
      </x:c>
      <x:c r="C172" s="29" t="s">
        <x:v>664</x:v>
      </x:c>
      <x:c r="D172" s="40" t="s">
        <x:v>151</x:v>
      </x:c>
      <x:c r="E172" s="40">
        <x:v>4</x:v>
      </x:c>
      <x:c r="F172" s="40">
        <x:v>4</x:v>
      </x:c>
      <x:c r="G172" s="33" t="s">
        <x:v>227</x:v>
      </x:c>
      <x:c r="H172" s="33" t="s">
        <x:v>264</x:v>
      </x:c>
      <x:c r="I172" s="33" t="n">
        <x:f>IFERROR(XLOOKUP(G172,'模型SKU'!$A$5:$A$504,'模型SKU'!$E$5:$E$504),"")</x:f>
        <x:v>864</x:v>
      </x:c>
      <x:c r="J172" s="33" t="n">
        <x:f>IFERROR(XLOOKUP(G172,'模型SKU'!$A$5:$A$504,'模型SKU'!$F$5:$F$504),"")</x:f>
        <x:v>496</x:v>
      </x:c>
      <x:c r="K172" s="33" t="n">
        <x:f>IFERROR(XLOOKUP(G172,'模型SKU'!$A$5:$A$504,'模型SKU'!$G$5:$G$504),"")</x:f>
        <x:v>24</x:v>
      </x:c>
      <x:c r="L172" s="35" t="n">
        <x:f>IFERROR((E172+F172)*I172*J172*K172/'参数'!$B$7,0)</x:f>
        <x:v>80352</x:v>
      </x:c>
      <x:c r="M172" s="33" t="s">
        <x:v>318</x:v>
      </x:c>
      <x:c r="N172" s="36" t="n">
        <x:f>IFERROR(XLOOKUP(C172,'渠道成本'!$A$5:$A$1004,'渠道成本'!$U$5:$U$1004),"")</x:f>
        <x:v>0.0684931506849315</x:v>
      </x:c>
      <x:c r="O172" s="36" t="n">
        <x:f>IFERROR(XLOOKUP(B172,'官方售价'!$A$5:$A$504,'官方售价'!$M$5:$M$504),"")</x:f>
        <x:v>3.835616438356164</x:v>
      </x:c>
      <x:c r="P172" s="36" t="n">
        <x:f>IF(M172="per_token",N172*L172/'参数'!$B$8,N172)</x:f>
        <x:v>0.0684931506849315</x:v>
      </x:c>
      <x:c r="Q172" s="36" t="n">
        <x:f>IFERROR(O172*D172,"")</x:f>
        <x:v>3.835616438356164</x:v>
      </x:c>
      <x:c r="R172" s="36" t="n">
        <x:f>IFERROR(Q172-P172,"")</x:f>
        <x:v>3.767123287671233</x:v>
      </x:c>
      <x:c r="S172" s="41" t="n">
        <x:f>IFERROR(R172/Q172,"")</x:f>
        <x:v>0.9821428571428572</x:v>
      </x:c>
      <x:c r="T172" s="33" t="s">
        <x:v>224</x:v>
      </x:c>
      <x:c r="U172" s="17" t="s">
        <x:v>1162</x:v>
      </x:c>
    </x:row>
    <x:row r="173" ht="26.350000381469727" customHeight="1">
      <x:c r="A173" s="29" t="s">
        <x:v>1330</x:v>
      </x:c>
      <x:c r="B173" s="29" t="s">
        <x:v>267</x:v>
      </x:c>
      <x:c r="C173" s="29" t="s">
        <x:v>665</x:v>
      </x:c>
      <x:c r="D173" s="40" t="s">
        <x:v>151</x:v>
      </x:c>
      <x:c r="E173" s="40">
        <x:v>4</x:v>
      </x:c>
      <x:c r="F173" s="40">
        <x:v>4</x:v>
      </x:c>
      <x:c r="G173" s="33" t="s">
        <x:v>227</x:v>
      </x:c>
      <x:c r="H173" s="33" t="s">
        <x:v>258</x:v>
      </x:c>
      <x:c r="I173" s="33" t="n">
        <x:f>IFERROR(XLOOKUP(G173,'模型SKU'!$A$5:$A$504,'模型SKU'!$E$5:$E$504),"")</x:f>
        <x:v>864</x:v>
      </x:c>
      <x:c r="J173" s="33" t="n">
        <x:f>IFERROR(XLOOKUP(G173,'模型SKU'!$A$5:$A$504,'模型SKU'!$F$5:$F$504),"")</x:f>
        <x:v>496</x:v>
      </x:c>
      <x:c r="K173" s="33" t="n">
        <x:f>IFERROR(XLOOKUP(G173,'模型SKU'!$A$5:$A$504,'模型SKU'!$G$5:$G$504),"")</x:f>
        <x:v>24</x:v>
      </x:c>
      <x:c r="L173" s="35" t="n">
        <x:f>IFERROR((E173+F173)*I173*J173*K173/'参数'!$B$7,0)</x:f>
        <x:v>80352</x:v>
      </x:c>
      <x:c r="M173" s="33" t="s">
        <x:v>318</x:v>
      </x:c>
      <x:c r="N173" s="36" t="n">
        <x:f>IFERROR(XLOOKUP(C173,'渠道成本'!$A$5:$A$1004,'渠道成本'!$U$5:$U$1004),"")</x:f>
        <x:v>0.0684931506849315</x:v>
      </x:c>
      <x:c r="O173" s="36" t="n">
        <x:f>IFERROR(XLOOKUP(B173,'官方售价'!$A$5:$A$504,'官方售价'!$M$5:$M$504),"")</x:f>
        <x:v>6.301369863013698</x:v>
      </x:c>
      <x:c r="P173" s="36" t="n">
        <x:f>IF(M173="per_token",N173*L173/'参数'!$B$8,N173)</x:f>
        <x:v>0.0684931506849315</x:v>
      </x:c>
      <x:c r="Q173" s="36" t="n">
        <x:f>IFERROR(O173*D173,"")</x:f>
        <x:v>6.301369863013698</x:v>
      </x:c>
      <x:c r="R173" s="36" t="n">
        <x:f>IFERROR(Q173-P173,"")</x:f>
        <x:v>6.232876712328767</x:v>
      </x:c>
      <x:c r="S173" s="41" t="n">
        <x:f>IFERROR(R173/Q173,"")</x:f>
        <x:v>0.9891304347826088</x:v>
      </x:c>
      <x:c r="T173" s="33" t="s">
        <x:v>224</x:v>
      </x:c>
      <x:c r="U173" s="17" t="s">
        <x:v>1162</x:v>
      </x:c>
    </x:row>
    <x:row r="174" ht="26.350000381469727" customHeight="1">
      <x:c r="A174" s="29" t="s">
        <x:v>1331</x:v>
      </x:c>
      <x:c r="B174" s="29" t="s">
        <x:v>270</x:v>
      </x:c>
      <x:c r="C174" s="29" t="s">
        <x:v>668</x:v>
      </x:c>
      <x:c r="D174" s="40" t="s">
        <x:v>151</x:v>
      </x:c>
      <x:c r="E174" s="40">
        <x:v>4</x:v>
      </x:c>
      <x:c r="F174" s="40">
        <x:v>4</x:v>
      </x:c>
      <x:c r="G174" s="33" t="s">
        <x:v>227</x:v>
      </x:c>
      <x:c r="H174" s="33" t="s">
        <x:v>264</x:v>
      </x:c>
      <x:c r="I174" s="33" t="n">
        <x:f>IFERROR(XLOOKUP(G174,'模型SKU'!$A$5:$A$504,'模型SKU'!$E$5:$E$504),"")</x:f>
        <x:v>864</x:v>
      </x:c>
      <x:c r="J174" s="33" t="n">
        <x:f>IFERROR(XLOOKUP(G174,'模型SKU'!$A$5:$A$504,'模型SKU'!$F$5:$F$504),"")</x:f>
        <x:v>496</x:v>
      </x:c>
      <x:c r="K174" s="33" t="n">
        <x:f>IFERROR(XLOOKUP(G174,'模型SKU'!$A$5:$A$504,'模型SKU'!$G$5:$G$504),"")</x:f>
        <x:v>24</x:v>
      </x:c>
      <x:c r="L174" s="35" t="n">
        <x:f>IFERROR((E174+F174)*I174*J174*K174/'参数'!$B$7,0)</x:f>
        <x:v>80352</x:v>
      </x:c>
      <x:c r="M174" s="33" t="s">
        <x:v>318</x:v>
      </x:c>
      <x:c r="N174" s="36" t="n">
        <x:f>IFERROR(XLOOKUP(C174,'渠道成本'!$A$5:$A$1004,'渠道成本'!$U$5:$U$1004),"")</x:f>
        <x:v>0.0684931506849315</x:v>
      </x:c>
      <x:c r="O174" s="36" t="n">
        <x:f>IFERROR(XLOOKUP(B174,'官方售价'!$A$5:$A$504,'官方售价'!$M$5:$M$504),"")</x:f>
        <x:v>3.835616438356164</x:v>
      </x:c>
      <x:c r="P174" s="36" t="n">
        <x:f>IF(M174="per_token",N174*L174/'参数'!$B$8,N174)</x:f>
        <x:v>0.0684931506849315</x:v>
      </x:c>
      <x:c r="Q174" s="36" t="n">
        <x:f>IFERROR(O174*D174,"")</x:f>
        <x:v>3.835616438356164</x:v>
      </x:c>
      <x:c r="R174" s="36" t="n">
        <x:f>IFERROR(Q174-P174,"")</x:f>
        <x:v>3.767123287671233</x:v>
      </x:c>
      <x:c r="S174" s="41" t="n">
        <x:f>IFERROR(R174/Q174,"")</x:f>
        <x:v>0.9821428571428572</x:v>
      </x:c>
      <x:c r="T174" s="33" t="s">
        <x:v>224</x:v>
      </x:c>
      <x:c r="U174" s="17" t="s">
        <x:v>1162</x:v>
      </x:c>
    </x:row>
    <x:row r="175" ht="26.350000381469727" customHeight="1">
      <x:c r="A175" s="29" t="s">
        <x:v>1332</x:v>
      </x:c>
      <x:c r="B175" s="29" t="s">
        <x:v>267</x:v>
      </x:c>
      <x:c r="C175" s="29" t="s">
        <x:v>669</x:v>
      </x:c>
      <x:c r="D175" s="40" t="s">
        <x:v>151</x:v>
      </x:c>
      <x:c r="E175" s="40">
        <x:v>4</x:v>
      </x:c>
      <x:c r="F175" s="40">
        <x:v>4</x:v>
      </x:c>
      <x:c r="G175" s="33" t="s">
        <x:v>227</x:v>
      </x:c>
      <x:c r="H175" s="33" t="s">
        <x:v>258</x:v>
      </x:c>
      <x:c r="I175" s="33" t="n">
        <x:f>IFERROR(XLOOKUP(G175,'模型SKU'!$A$5:$A$504,'模型SKU'!$E$5:$E$504),"")</x:f>
        <x:v>864</x:v>
      </x:c>
      <x:c r="J175" s="33" t="n">
        <x:f>IFERROR(XLOOKUP(G175,'模型SKU'!$A$5:$A$504,'模型SKU'!$F$5:$F$504),"")</x:f>
        <x:v>496</x:v>
      </x:c>
      <x:c r="K175" s="33" t="n">
        <x:f>IFERROR(XLOOKUP(G175,'模型SKU'!$A$5:$A$504,'模型SKU'!$G$5:$G$504),"")</x:f>
        <x:v>24</x:v>
      </x:c>
      <x:c r="L175" s="35" t="n">
        <x:f>IFERROR((E175+F175)*I175*J175*K175/'参数'!$B$7,0)</x:f>
        <x:v>80352</x:v>
      </x:c>
      <x:c r="M175" s="33" t="s">
        <x:v>318</x:v>
      </x:c>
      <x:c r="N175" s="36" t="n">
        <x:f>IFERROR(XLOOKUP(C175,'渠道成本'!$A$5:$A$1004,'渠道成本'!$U$5:$U$1004),"")</x:f>
        <x:v>0.0684931506849315</x:v>
      </x:c>
      <x:c r="O175" s="36" t="n">
        <x:f>IFERROR(XLOOKUP(B175,'官方售价'!$A$5:$A$504,'官方售价'!$M$5:$M$504),"")</x:f>
        <x:v>6.301369863013698</x:v>
      </x:c>
      <x:c r="P175" s="36" t="n">
        <x:f>IF(M175="per_token",N175*L175/'参数'!$B$8,N175)</x:f>
        <x:v>0.0684931506849315</x:v>
      </x:c>
      <x:c r="Q175" s="36" t="n">
        <x:f>IFERROR(O175*D175,"")</x:f>
        <x:v>6.301369863013698</x:v>
      </x:c>
      <x:c r="R175" s="36" t="n">
        <x:f>IFERROR(Q175-P175,"")</x:f>
        <x:v>6.232876712328767</x:v>
      </x:c>
      <x:c r="S175" s="41" t="n">
        <x:f>IFERROR(R175/Q175,"")</x:f>
        <x:v>0.9891304347826088</x:v>
      </x:c>
      <x:c r="T175" s="33" t="s">
        <x:v>224</x:v>
      </x:c>
      <x:c r="U175" s="17" t="s">
        <x:v>1162</x:v>
      </x:c>
    </x:row>
    <x:row r="176" ht="26.350000381469727" customHeight="1">
      <x:c r="A176" s="29" t="s">
        <x:v>1333</x:v>
      </x:c>
      <x:c r="B176" s="29" t="s">
        <x:v>270</x:v>
      </x:c>
      <x:c r="C176" s="29" t="s">
        <x:v>672</x:v>
      </x:c>
      <x:c r="D176" s="40" t="s">
        <x:v>151</x:v>
      </x:c>
      <x:c r="E176" s="40">
        <x:v>4</x:v>
      </x:c>
      <x:c r="F176" s="40">
        <x:v>4</x:v>
      </x:c>
      <x:c r="G176" s="33" t="s">
        <x:v>227</x:v>
      </x:c>
      <x:c r="H176" s="33" t="s">
        <x:v>264</x:v>
      </x:c>
      <x:c r="I176" s="33" t="n">
        <x:f>IFERROR(XLOOKUP(G176,'模型SKU'!$A$5:$A$504,'模型SKU'!$E$5:$E$504),"")</x:f>
        <x:v>864</x:v>
      </x:c>
      <x:c r="J176" s="33" t="n">
        <x:f>IFERROR(XLOOKUP(G176,'模型SKU'!$A$5:$A$504,'模型SKU'!$F$5:$F$504),"")</x:f>
        <x:v>496</x:v>
      </x:c>
      <x:c r="K176" s="33" t="n">
        <x:f>IFERROR(XLOOKUP(G176,'模型SKU'!$A$5:$A$504,'模型SKU'!$G$5:$G$504),"")</x:f>
        <x:v>24</x:v>
      </x:c>
      <x:c r="L176" s="35" t="n">
        <x:f>IFERROR((E176+F176)*I176*J176*K176/'参数'!$B$7,0)</x:f>
        <x:v>80352</x:v>
      </x:c>
      <x:c r="M176" s="33" t="s">
        <x:v>318</x:v>
      </x:c>
      <x:c r="N176" s="36" t="n">
        <x:f>IFERROR(XLOOKUP(C176,'渠道成本'!$A$5:$A$1004,'渠道成本'!$U$5:$U$1004),"")</x:f>
        <x:v>0.0684931506849315</x:v>
      </x:c>
      <x:c r="O176" s="36" t="n">
        <x:f>IFERROR(XLOOKUP(B176,'官方售价'!$A$5:$A$504,'官方售价'!$M$5:$M$504),"")</x:f>
        <x:v>3.835616438356164</x:v>
      </x:c>
      <x:c r="P176" s="36" t="n">
        <x:f>IF(M176="per_token",N176*L176/'参数'!$B$8,N176)</x:f>
        <x:v>0.0684931506849315</x:v>
      </x:c>
      <x:c r="Q176" s="36" t="n">
        <x:f>IFERROR(O176*D176,"")</x:f>
        <x:v>3.835616438356164</x:v>
      </x:c>
      <x:c r="R176" s="36" t="n">
        <x:f>IFERROR(Q176-P176,"")</x:f>
        <x:v>3.767123287671233</x:v>
      </x:c>
      <x:c r="S176" s="41" t="n">
        <x:f>IFERROR(R176/Q176,"")</x:f>
        <x:v>0.9821428571428572</x:v>
      </x:c>
      <x:c r="T176" s="33" t="s">
        <x:v>224</x:v>
      </x:c>
      <x:c r="U176" s="17" t="s">
        <x:v>1162</x:v>
      </x:c>
    </x:row>
    <x:row r="177" ht="26.350000381469727" customHeight="1">
      <x:c r="A177" s="29" t="s">
        <x:v>1334</x:v>
      </x:c>
      <x:c r="B177" s="29" t="s">
        <x:v>257</x:v>
      </x:c>
      <x:c r="C177" s="29" t="s">
        <x:v>673</x:v>
      </x:c>
      <x:c r="D177" s="40" t="s">
        <x:v>151</x:v>
      </x:c>
      <x:c r="E177" s="40">
        <x:v>4</x:v>
      </x:c>
      <x:c r="F177" s="40">
        <x:v>4</x:v>
      </x:c>
      <x:c r="G177" s="33" t="s">
        <x:v>217</x:v>
      </x:c>
      <x:c r="H177" s="33" t="s">
        <x:v>258</x:v>
      </x:c>
      <x:c r="I177" s="33" t="n">
        <x:f>IFERROR(XLOOKUP(G177,'模型SKU'!$A$5:$A$504,'模型SKU'!$E$5:$E$504),"")</x:f>
        <x:v>1920</x:v>
      </x:c>
      <x:c r="J177" s="33" t="n">
        <x:f>IFERROR(XLOOKUP(G177,'模型SKU'!$A$5:$A$504,'模型SKU'!$F$5:$F$504),"")</x:f>
        <x:v>1080</x:v>
      </x:c>
      <x:c r="K177" s="33" t="n">
        <x:f>IFERROR(XLOOKUP(G177,'模型SKU'!$A$5:$A$504,'模型SKU'!$G$5:$G$504),"")</x:f>
        <x:v>24</x:v>
      </x:c>
      <x:c r="L177" s="35" t="n">
        <x:f>IFERROR((E177+F177)*I177*J177*K177/'参数'!$B$7,0)</x:f>
        <x:v>388800</x:v>
      </x:c>
      <x:c r="M177" s="33" t="s">
        <x:v>318</x:v>
      </x:c>
      <x:c r="N177" s="36" t="n">
        <x:f>IFERROR(XLOOKUP(C177,'渠道成本'!$A$5:$A$1004,'渠道成本'!$U$5:$U$1004),"")</x:f>
        <x:v>0.3424657534246575</x:v>
      </x:c>
      <x:c r="O177" s="36" t="n">
        <x:f>IFERROR(XLOOKUP(B177,'官方售价'!$A$5:$A$504,'官方售价'!$M$5:$M$504),"")</x:f>
        <x:v>6.986301369863013</x:v>
      </x:c>
      <x:c r="P177" s="36" t="n">
        <x:f>IF(M177="per_token",N177*L177/'参数'!$B$8,N177)</x:f>
        <x:v>0.3424657534246575</x:v>
      </x:c>
      <x:c r="Q177" s="36" t="n">
        <x:f>IFERROR(O177*D177,"")</x:f>
        <x:v>6.986301369863013</x:v>
      </x:c>
      <x:c r="R177" s="36" t="n">
        <x:f>IFERROR(Q177-P177,"")</x:f>
        <x:v>6.643835616438356</x:v>
      </x:c>
      <x:c r="S177" s="41" t="n">
        <x:f>IFERROR(R177/Q177,"")</x:f>
        <x:v>0.9509803921568627</x:v>
      </x:c>
      <x:c r="T177" s="33" t="s">
        <x:v>224</x:v>
      </x:c>
      <x:c r="U177" s="17" t="s">
        <x:v>1162</x:v>
      </x:c>
    </x:row>
    <x:row r="178" ht="26.350000381469727" customHeight="1">
      <x:c r="A178" s="29" t="s">
        <x:v>1335</x:v>
      </x:c>
      <x:c r="B178" s="29" t="s">
        <x:v>263</x:v>
      </x:c>
      <x:c r="C178" s="29" t="s">
        <x:v>677</x:v>
      </x:c>
      <x:c r="D178" s="40" t="s">
        <x:v>151</x:v>
      </x:c>
      <x:c r="E178" s="40">
        <x:v>4</x:v>
      </x:c>
      <x:c r="F178" s="40">
        <x:v>4</x:v>
      </x:c>
      <x:c r="G178" s="33" t="s">
        <x:v>217</x:v>
      </x:c>
      <x:c r="H178" s="33" t="s">
        <x:v>264</x:v>
      </x:c>
      <x:c r="I178" s="33" t="n">
        <x:f>IFERROR(XLOOKUP(G178,'模型SKU'!$A$5:$A$504,'模型SKU'!$E$5:$E$504),"")</x:f>
        <x:v>1920</x:v>
      </x:c>
      <x:c r="J178" s="33" t="n">
        <x:f>IFERROR(XLOOKUP(G178,'模型SKU'!$A$5:$A$504,'模型SKU'!$F$5:$F$504),"")</x:f>
        <x:v>1080</x:v>
      </x:c>
      <x:c r="K178" s="33" t="n">
        <x:f>IFERROR(XLOOKUP(G178,'模型SKU'!$A$5:$A$504,'模型SKU'!$G$5:$G$504),"")</x:f>
        <x:v>24</x:v>
      </x:c>
      <x:c r="L178" s="35" t="n">
        <x:f>IFERROR((E178+F178)*I178*J178*K178/'参数'!$B$7,0)</x:f>
        <x:v>388800</x:v>
      </x:c>
      <x:c r="M178" s="33" t="s">
        <x:v>318</x:v>
      </x:c>
      <x:c r="N178" s="36" t="n">
        <x:f>IFERROR(XLOOKUP(C178,'渠道成本'!$A$5:$A$1004,'渠道成本'!$U$5:$U$1004),"")</x:f>
        <x:v>0.3424657534246575</x:v>
      </x:c>
      <x:c r="O178" s="36" t="n">
        <x:f>IFERROR(XLOOKUP(B178,'官方售价'!$A$5:$A$504,'官方售价'!$M$5:$M$504),"")</x:f>
        <x:v>4.2465753424657535</x:v>
      </x:c>
      <x:c r="P178" s="36" t="n">
        <x:f>IF(M178="per_token",N178*L178/'参数'!$B$8,N178)</x:f>
        <x:v>0.3424657534246575</x:v>
      </x:c>
      <x:c r="Q178" s="36" t="n">
        <x:f>IFERROR(O178*D178,"")</x:f>
        <x:v>4.2465753424657535</x:v>
      </x:c>
      <x:c r="R178" s="36" t="n">
        <x:f>IFERROR(Q178-P178,"")</x:f>
        <x:v>3.904109589041096</x:v>
      </x:c>
      <x:c r="S178" s="41" t="n">
        <x:f>IFERROR(R178/Q178,"")</x:f>
        <x:v>0.9193548387096774</x:v>
      </x:c>
      <x:c r="T178" s="33" t="s">
        <x:v>224</x:v>
      </x:c>
      <x:c r="U178" s="17" t="s">
        <x:v>1162</x:v>
      </x:c>
    </x:row>
    <x:row r="179" ht="26.350000381469727" customHeight="1">
      <x:c r="A179" s="29" t="s">
        <x:v>1336</x:v>
      </x:c>
      <x:c r="B179" s="29" t="s">
        <x:v>257</x:v>
      </x:c>
      <x:c r="C179" s="29" t="s">
        <x:v>678</x:v>
      </x:c>
      <x:c r="D179" s="40" t="s">
        <x:v>151</x:v>
      </x:c>
      <x:c r="E179" s="40">
        <x:v>4</x:v>
      </x:c>
      <x:c r="F179" s="40">
        <x:v>4</x:v>
      </x:c>
      <x:c r="G179" s="33" t="s">
        <x:v>217</x:v>
      </x:c>
      <x:c r="H179" s="33" t="s">
        <x:v>258</x:v>
      </x:c>
      <x:c r="I179" s="33" t="n">
        <x:f>IFERROR(XLOOKUP(G179,'模型SKU'!$A$5:$A$504,'模型SKU'!$E$5:$E$504),"")</x:f>
        <x:v>1920</x:v>
      </x:c>
      <x:c r="J179" s="33" t="n">
        <x:f>IFERROR(XLOOKUP(G179,'模型SKU'!$A$5:$A$504,'模型SKU'!$F$5:$F$504),"")</x:f>
        <x:v>1080</x:v>
      </x:c>
      <x:c r="K179" s="33" t="n">
        <x:f>IFERROR(XLOOKUP(G179,'模型SKU'!$A$5:$A$504,'模型SKU'!$G$5:$G$504),"")</x:f>
        <x:v>24</x:v>
      </x:c>
      <x:c r="L179" s="35" t="n">
        <x:f>IFERROR((E179+F179)*I179*J179*K179/'参数'!$B$7,0)</x:f>
        <x:v>388800</x:v>
      </x:c>
      <x:c r="M179" s="33" t="s">
        <x:v>318</x:v>
      </x:c>
      <x:c r="N179" s="36" t="n">
        <x:f>IFERROR(XLOOKUP(C179,'渠道成本'!$A$5:$A$1004,'渠道成本'!$U$5:$U$1004),"")</x:f>
        <x:v>0.3424657534246575</x:v>
      </x:c>
      <x:c r="O179" s="36" t="n">
        <x:f>IFERROR(XLOOKUP(B179,'官方售价'!$A$5:$A$504,'官方售价'!$M$5:$M$504),"")</x:f>
        <x:v>6.986301369863013</x:v>
      </x:c>
      <x:c r="P179" s="36" t="n">
        <x:f>IF(M179="per_token",N179*L179/'参数'!$B$8,N179)</x:f>
        <x:v>0.3424657534246575</x:v>
      </x:c>
      <x:c r="Q179" s="36" t="n">
        <x:f>IFERROR(O179*D179,"")</x:f>
        <x:v>6.986301369863013</x:v>
      </x:c>
      <x:c r="R179" s="36" t="n">
        <x:f>IFERROR(Q179-P179,"")</x:f>
        <x:v>6.643835616438356</x:v>
      </x:c>
      <x:c r="S179" s="41" t="n">
        <x:f>IFERROR(R179/Q179,"")</x:f>
        <x:v>0.9509803921568627</x:v>
      </x:c>
      <x:c r="T179" s="33" t="s">
        <x:v>224</x:v>
      </x:c>
      <x:c r="U179" s="17" t="s">
        <x:v>1162</x:v>
      </x:c>
    </x:row>
    <x:row r="180" ht="26.350000381469727" customHeight="1">
      <x:c r="A180" s="29" t="s">
        <x:v>1337</x:v>
      </x:c>
      <x:c r="B180" s="29" t="s">
        <x:v>263</x:v>
      </x:c>
      <x:c r="C180" s="29" t="s">
        <x:v>681</x:v>
      </x:c>
      <x:c r="D180" s="40" t="s">
        <x:v>151</x:v>
      </x:c>
      <x:c r="E180" s="40">
        <x:v>4</x:v>
      </x:c>
      <x:c r="F180" s="40">
        <x:v>4</x:v>
      </x:c>
      <x:c r="G180" s="33" t="s">
        <x:v>217</x:v>
      </x:c>
      <x:c r="H180" s="33" t="s">
        <x:v>264</x:v>
      </x:c>
      <x:c r="I180" s="33" t="n">
        <x:f>IFERROR(XLOOKUP(G180,'模型SKU'!$A$5:$A$504,'模型SKU'!$E$5:$E$504),"")</x:f>
        <x:v>1920</x:v>
      </x:c>
      <x:c r="J180" s="33" t="n">
        <x:f>IFERROR(XLOOKUP(G180,'模型SKU'!$A$5:$A$504,'模型SKU'!$F$5:$F$504),"")</x:f>
        <x:v>1080</x:v>
      </x:c>
      <x:c r="K180" s="33" t="n">
        <x:f>IFERROR(XLOOKUP(G180,'模型SKU'!$A$5:$A$504,'模型SKU'!$G$5:$G$504),"")</x:f>
        <x:v>24</x:v>
      </x:c>
      <x:c r="L180" s="35" t="n">
        <x:f>IFERROR((E180+F180)*I180*J180*K180/'参数'!$B$7,0)</x:f>
        <x:v>388800</x:v>
      </x:c>
      <x:c r="M180" s="33" t="s">
        <x:v>318</x:v>
      </x:c>
      <x:c r="N180" s="36" t="n">
        <x:f>IFERROR(XLOOKUP(C180,'渠道成本'!$A$5:$A$1004,'渠道成本'!$U$5:$U$1004),"")</x:f>
        <x:v>0.3424657534246575</x:v>
      </x:c>
      <x:c r="O180" s="36" t="n">
        <x:f>IFERROR(XLOOKUP(B180,'官方售价'!$A$5:$A$504,'官方售价'!$M$5:$M$504),"")</x:f>
        <x:v>4.2465753424657535</x:v>
      </x:c>
      <x:c r="P180" s="36" t="n">
        <x:f>IF(M180="per_token",N180*L180/'参数'!$B$8,N180)</x:f>
        <x:v>0.3424657534246575</x:v>
      </x:c>
      <x:c r="Q180" s="36" t="n">
        <x:f>IFERROR(O180*D180,"")</x:f>
        <x:v>4.2465753424657535</x:v>
      </x:c>
      <x:c r="R180" s="36" t="n">
        <x:f>IFERROR(Q180-P180,"")</x:f>
        <x:v>3.904109589041096</x:v>
      </x:c>
      <x:c r="S180" s="41" t="n">
        <x:f>IFERROR(R180/Q180,"")</x:f>
        <x:v>0.9193548387096774</x:v>
      </x:c>
      <x:c r="T180" s="33" t="s">
        <x:v>224</x:v>
      </x:c>
      <x:c r="U180" s="17" t="s">
        <x:v>1162</x:v>
      </x:c>
    </x:row>
    <x:row r="181" ht="26.350000381469727" customHeight="1">
      <x:c r="A181" s="29" t="s">
        <x:v>1338</x:v>
      </x:c>
      <x:c r="B181" s="29" t="s">
        <x:v>257</x:v>
      </x:c>
      <x:c r="C181" s="29" t="s">
        <x:v>682</x:v>
      </x:c>
      <x:c r="D181" s="40" t="s">
        <x:v>151</x:v>
      </x:c>
      <x:c r="E181" s="40">
        <x:v>4</x:v>
      </x:c>
      <x:c r="F181" s="40">
        <x:v>4</x:v>
      </x:c>
      <x:c r="G181" s="33" t="s">
        <x:v>217</x:v>
      </x:c>
      <x:c r="H181" s="33" t="s">
        <x:v>258</x:v>
      </x:c>
      <x:c r="I181" s="33" t="n">
        <x:f>IFERROR(XLOOKUP(G181,'模型SKU'!$A$5:$A$504,'模型SKU'!$E$5:$E$504),"")</x:f>
        <x:v>1920</x:v>
      </x:c>
      <x:c r="J181" s="33" t="n">
        <x:f>IFERROR(XLOOKUP(G181,'模型SKU'!$A$5:$A$504,'模型SKU'!$F$5:$F$504),"")</x:f>
        <x:v>1080</x:v>
      </x:c>
      <x:c r="K181" s="33" t="n">
        <x:f>IFERROR(XLOOKUP(G181,'模型SKU'!$A$5:$A$504,'模型SKU'!$G$5:$G$504),"")</x:f>
        <x:v>24</x:v>
      </x:c>
      <x:c r="L181" s="35" t="n">
        <x:f>IFERROR((E181+F181)*I181*J181*K181/'参数'!$B$7,0)</x:f>
        <x:v>388800</x:v>
      </x:c>
      <x:c r="M181" s="33" t="s">
        <x:v>318</x:v>
      </x:c>
      <x:c r="N181" s="36" t="n">
        <x:f>IFERROR(XLOOKUP(C181,'渠道成本'!$A$5:$A$1004,'渠道成本'!$U$5:$U$1004),"")</x:f>
        <x:v>0.3424657534246575</x:v>
      </x:c>
      <x:c r="O181" s="36" t="n">
        <x:f>IFERROR(XLOOKUP(B181,'官方售价'!$A$5:$A$504,'官方售价'!$M$5:$M$504),"")</x:f>
        <x:v>6.986301369863013</x:v>
      </x:c>
      <x:c r="P181" s="36" t="n">
        <x:f>IF(M181="per_token",N181*L181/'参数'!$B$8,N181)</x:f>
        <x:v>0.3424657534246575</x:v>
      </x:c>
      <x:c r="Q181" s="36" t="n">
        <x:f>IFERROR(O181*D181,"")</x:f>
        <x:v>6.986301369863013</x:v>
      </x:c>
      <x:c r="R181" s="36" t="n">
        <x:f>IFERROR(Q181-P181,"")</x:f>
        <x:v>6.643835616438356</x:v>
      </x:c>
      <x:c r="S181" s="41" t="n">
        <x:f>IFERROR(R181/Q181,"")</x:f>
        <x:v>0.9509803921568627</x:v>
      </x:c>
      <x:c r="T181" s="33" t="s">
        <x:v>224</x:v>
      </x:c>
      <x:c r="U181" s="17" t="s">
        <x:v>1162</x:v>
      </x:c>
    </x:row>
    <x:row r="182" ht="26.350000381469727" customHeight="1">
      <x:c r="A182" s="29" t="s">
        <x:v>1339</x:v>
      </x:c>
      <x:c r="B182" s="29" t="s">
        <x:v>263</x:v>
      </x:c>
      <x:c r="C182" s="29" t="s">
        <x:v>685</x:v>
      </x:c>
      <x:c r="D182" s="40" t="s">
        <x:v>151</x:v>
      </x:c>
      <x:c r="E182" s="40">
        <x:v>4</x:v>
      </x:c>
      <x:c r="F182" s="40">
        <x:v>4</x:v>
      </x:c>
      <x:c r="G182" s="33" t="s">
        <x:v>217</x:v>
      </x:c>
      <x:c r="H182" s="33" t="s">
        <x:v>264</x:v>
      </x:c>
      <x:c r="I182" s="33" t="n">
        <x:f>IFERROR(XLOOKUP(G182,'模型SKU'!$A$5:$A$504,'模型SKU'!$E$5:$E$504),"")</x:f>
        <x:v>1920</x:v>
      </x:c>
      <x:c r="J182" s="33" t="n">
        <x:f>IFERROR(XLOOKUP(G182,'模型SKU'!$A$5:$A$504,'模型SKU'!$F$5:$F$504),"")</x:f>
        <x:v>1080</x:v>
      </x:c>
      <x:c r="K182" s="33" t="n">
        <x:f>IFERROR(XLOOKUP(G182,'模型SKU'!$A$5:$A$504,'模型SKU'!$G$5:$G$504),"")</x:f>
        <x:v>24</x:v>
      </x:c>
      <x:c r="L182" s="35" t="n">
        <x:f>IFERROR((E182+F182)*I182*J182*K182/'参数'!$B$7,0)</x:f>
        <x:v>388800</x:v>
      </x:c>
      <x:c r="M182" s="33" t="s">
        <x:v>318</x:v>
      </x:c>
      <x:c r="N182" s="36" t="n">
        <x:f>IFERROR(XLOOKUP(C182,'渠道成本'!$A$5:$A$1004,'渠道成本'!$U$5:$U$1004),"")</x:f>
        <x:v>0.3424657534246575</x:v>
      </x:c>
      <x:c r="O182" s="36" t="n">
        <x:f>IFERROR(XLOOKUP(B182,'官方售价'!$A$5:$A$504,'官方售价'!$M$5:$M$504),"")</x:f>
        <x:v>4.2465753424657535</x:v>
      </x:c>
      <x:c r="P182" s="36" t="n">
        <x:f>IF(M182="per_token",N182*L182/'参数'!$B$8,N182)</x:f>
        <x:v>0.3424657534246575</x:v>
      </x:c>
      <x:c r="Q182" s="36" t="n">
        <x:f>IFERROR(O182*D182,"")</x:f>
        <x:v>4.2465753424657535</x:v>
      </x:c>
      <x:c r="R182" s="36" t="n">
        <x:f>IFERROR(Q182-P182,"")</x:f>
        <x:v>3.904109589041096</x:v>
      </x:c>
      <x:c r="S182" s="41" t="n">
        <x:f>IFERROR(R182/Q182,"")</x:f>
        <x:v>0.9193548387096774</x:v>
      </x:c>
      <x:c r="T182" s="33" t="s">
        <x:v>224</x:v>
      </x:c>
      <x:c r="U182" s="17" t="s">
        <x:v>1162</x:v>
      </x:c>
    </x:row>
    <x:row r="183" ht="26.350000381469727" customHeight="1">
      <x:c r="A183" s="29" t="s">
        <x:v>1340</x:v>
      </x:c>
      <x:c r="B183" s="29" t="s">
        <x:v>267</x:v>
      </x:c>
      <x:c r="C183" s="29" t="s">
        <x:v>686</x:v>
      </x:c>
      <x:c r="D183" s="40" t="s">
        <x:v>151</x:v>
      </x:c>
      <x:c r="E183" s="40">
        <x:v>4</x:v>
      </x:c>
      <x:c r="F183" s="40">
        <x:v>4</x:v>
      </x:c>
      <x:c r="G183" s="33" t="s">
        <x:v>227</x:v>
      </x:c>
      <x:c r="H183" s="33" t="s">
        <x:v>258</x:v>
      </x:c>
      <x:c r="I183" s="33" t="n">
        <x:f>IFERROR(XLOOKUP(G183,'模型SKU'!$A$5:$A$504,'模型SKU'!$E$5:$E$504),"")</x:f>
        <x:v>864</x:v>
      </x:c>
      <x:c r="J183" s="33" t="n">
        <x:f>IFERROR(XLOOKUP(G183,'模型SKU'!$A$5:$A$504,'模型SKU'!$F$5:$F$504),"")</x:f>
        <x:v>496</x:v>
      </x:c>
      <x:c r="K183" s="33" t="n">
        <x:f>IFERROR(XLOOKUP(G183,'模型SKU'!$A$5:$A$504,'模型SKU'!$G$5:$G$504),"")</x:f>
        <x:v>24</x:v>
      </x:c>
      <x:c r="L183" s="35" t="n">
        <x:f>IFERROR((E183+F183)*I183*J183*K183/'参数'!$B$7,0)</x:f>
        <x:v>80352</x:v>
      </x:c>
      <x:c r="M183" s="33" t="s">
        <x:v>259</x:v>
      </x:c>
      <x:c r="N183" s="36" t="n">
        <x:f>IFERROR(XLOOKUP(C183,'渠道成本'!$A$5:$A$1004,'渠道成本'!$U$5:$U$1004),"")</x:f>
        <x:v>6.301369863013698</x:v>
      </x:c>
      <x:c r="O183" s="36" t="n">
        <x:f>IFERROR(XLOOKUP(B183,'官方售价'!$A$5:$A$504,'官方售价'!$M$5:$M$504),"")</x:f>
        <x:v>6.301369863013698</x:v>
      </x:c>
      <x:c r="P183" s="36" t="n">
        <x:f>IF(M183="per_token",N183*L183/'参数'!$B$8,N183)</x:f>
        <x:v>0.5063276712328767</x:v>
      </x:c>
      <x:c r="Q183" s="36" t="n">
        <x:f>IFERROR(O183*D183,"")</x:f>
        <x:v>6.301369863013698</x:v>
      </x:c>
      <x:c r="R183" s="36" t="n">
        <x:f>IFERROR(Q183-P183,"")</x:f>
        <x:v>5.795042191780821</x:v>
      </x:c>
      <x:c r="S183" s="41" t="n">
        <x:f>IFERROR(R183/Q183,"")</x:f>
        <x:v>0.9196479999999999</x:v>
      </x:c>
      <x:c r="T183" s="33" t="s">
        <x:v>224</x:v>
      </x:c>
      <x:c r="U183" s="17" t="s">
        <x:v>1162</x:v>
      </x:c>
    </x:row>
    <x:row r="184" ht="26.350000381469727" customHeight="1">
      <x:c r="A184" s="29" t="s">
        <x:v>1341</x:v>
      </x:c>
      <x:c r="B184" s="29" t="s">
        <x:v>270</x:v>
      </x:c>
      <x:c r="C184" s="29" t="s">
        <x:v>692</x:v>
      </x:c>
      <x:c r="D184" s="40" t="s">
        <x:v>151</x:v>
      </x:c>
      <x:c r="E184" s="40">
        <x:v>4</x:v>
      </x:c>
      <x:c r="F184" s="40">
        <x:v>4</x:v>
      </x:c>
      <x:c r="G184" s="33" t="s">
        <x:v>227</x:v>
      </x:c>
      <x:c r="H184" s="33" t="s">
        <x:v>264</x:v>
      </x:c>
      <x:c r="I184" s="33" t="n">
        <x:f>IFERROR(XLOOKUP(G184,'模型SKU'!$A$5:$A$504,'模型SKU'!$E$5:$E$504),"")</x:f>
        <x:v>864</x:v>
      </x:c>
      <x:c r="J184" s="33" t="n">
        <x:f>IFERROR(XLOOKUP(G184,'模型SKU'!$A$5:$A$504,'模型SKU'!$F$5:$F$504),"")</x:f>
        <x:v>496</x:v>
      </x:c>
      <x:c r="K184" s="33" t="n">
        <x:f>IFERROR(XLOOKUP(G184,'模型SKU'!$A$5:$A$504,'模型SKU'!$G$5:$G$504),"")</x:f>
        <x:v>24</x:v>
      </x:c>
      <x:c r="L184" s="35" t="n">
        <x:f>IFERROR((E184+F184)*I184*J184*K184/'参数'!$B$7,0)</x:f>
        <x:v>80352</x:v>
      </x:c>
      <x:c r="M184" s="33" t="s">
        <x:v>259</x:v>
      </x:c>
      <x:c r="N184" s="36" t="n">
        <x:f>IFERROR(XLOOKUP(C184,'渠道成本'!$A$5:$A$1004,'渠道成本'!$U$5:$U$1004),"")</x:f>
        <x:v>6.301369863013698</x:v>
      </x:c>
      <x:c r="O184" s="36" t="n">
        <x:f>IFERROR(XLOOKUP(B184,'官方售价'!$A$5:$A$504,'官方售价'!$M$5:$M$504),"")</x:f>
        <x:v>3.835616438356164</x:v>
      </x:c>
      <x:c r="P184" s="36" t="n">
        <x:f>IF(M184="per_token",N184*L184/'参数'!$B$8,N184)</x:f>
        <x:v>0.5063276712328767</x:v>
      </x:c>
      <x:c r="Q184" s="36" t="n">
        <x:f>IFERROR(O184*D184,"")</x:f>
        <x:v>3.835616438356164</x:v>
      </x:c>
      <x:c r="R184" s="36" t="n">
        <x:f>IFERROR(Q184-P184,"")</x:f>
        <x:v>3.3292887671232876</x:v>
      </x:c>
      <x:c r="S184" s="41" t="n">
        <x:f>IFERROR(R184/Q184,"")</x:f>
        <x:v>0.8679931428571429</x:v>
      </x:c>
      <x:c r="T184" s="33" t="s">
        <x:v>224</x:v>
      </x:c>
      <x:c r="U184" s="17" t="s">
        <x:v>1162</x:v>
      </x:c>
    </x:row>
    <x:row r="185" ht="26.350000381469727" customHeight="1">
      <x:c r="A185" s="29" t="s">
        <x:v>1342</x:v>
      </x:c>
      <x:c r="B185" s="29" t="s">
        <x:v>279</x:v>
      </x:c>
      <x:c r="C185" s="29" t="s">
        <x:v>693</x:v>
      </x:c>
      <x:c r="D185" s="40" t="s">
        <x:v>151</x:v>
      </x:c>
      <x:c r="E185" s="40">
        <x:v>4</x:v>
      </x:c>
      <x:c r="F185" s="40">
        <x:v>4</x:v>
      </x:c>
      <x:c r="G185" s="33" t="s">
        <x:v>232</x:v>
      </x:c>
      <x:c r="H185" s="33" t="s">
        <x:v>258</x:v>
      </x:c>
      <x:c r="I185" s="33" t="n">
        <x:f>IFERROR(XLOOKUP(G185,'模型SKU'!$A$5:$A$504,'模型SKU'!$E$5:$E$504),"")</x:f>
        <x:v>1280</x:v>
      </x:c>
      <x:c r="J185" s="33" t="n">
        <x:f>IFERROR(XLOOKUP(G185,'模型SKU'!$A$5:$A$504,'模型SKU'!$F$5:$F$504),"")</x:f>
        <x:v>720</x:v>
      </x:c>
      <x:c r="K185" s="33" t="n">
        <x:f>IFERROR(XLOOKUP(G185,'模型SKU'!$A$5:$A$504,'模型SKU'!$G$5:$G$504),"")</x:f>
        <x:v>24</x:v>
      </x:c>
      <x:c r="L185" s="35" t="n">
        <x:f>IFERROR((E185+F185)*I185*J185*K185/'参数'!$B$7,0)</x:f>
        <x:v>172800</x:v>
      </x:c>
      <x:c r="M185" s="33" t="s">
        <x:v>259</x:v>
      </x:c>
      <x:c r="N185" s="36" t="n">
        <x:f>IFERROR(XLOOKUP(C185,'渠道成本'!$A$5:$A$1004,'渠道成本'!$U$5:$U$1004),"")</x:f>
        <x:v>6.301369863013698</x:v>
      </x:c>
      <x:c r="O185" s="36" t="n">
        <x:f>IFERROR(XLOOKUP(B185,'官方售价'!$A$5:$A$504,'官方售价'!$M$5:$M$504),"")</x:f>
        <x:v>6.301369863013698</x:v>
      </x:c>
      <x:c r="P185" s="36" t="n">
        <x:f>IF(M185="per_token",N185*L185/'参数'!$B$8,N185)</x:f>
        <x:v>1.088876712328767</x:v>
      </x:c>
      <x:c r="Q185" s="36" t="n">
        <x:f>IFERROR(O185*D185,"")</x:f>
        <x:v>6.301369863013698</x:v>
      </x:c>
      <x:c r="R185" s="36" t="n">
        <x:f>IFERROR(Q185-P185,"")</x:f>
        <x:v>5.2124931506849315</x:v>
      </x:c>
      <x:c r="S185" s="41" t="n">
        <x:f>IFERROR(R185/Q185,"")</x:f>
        <x:v>0.8272</x:v>
      </x:c>
      <x:c r="T185" s="33" t="s">
        <x:v>224</x:v>
      </x:c>
      <x:c r="U185" s="17" t="s">
        <x:v>1162</x:v>
      </x:c>
    </x:row>
    <x:row r="186" ht="26.350000381469727" customHeight="1">
      <x:c r="A186" s="29" t="s">
        <x:v>1343</x:v>
      </x:c>
      <x:c r="B186" s="29" t="s">
        <x:v>281</x:v>
      </x:c>
      <x:c r="C186" s="29" t="s">
        <x:v>696</x:v>
      </x:c>
      <x:c r="D186" s="40" t="s">
        <x:v>151</x:v>
      </x:c>
      <x:c r="E186" s="40">
        <x:v>4</x:v>
      </x:c>
      <x:c r="F186" s="40">
        <x:v>4</x:v>
      </x:c>
      <x:c r="G186" s="33" t="s">
        <x:v>232</x:v>
      </x:c>
      <x:c r="H186" s="33" t="s">
        <x:v>264</x:v>
      </x:c>
      <x:c r="I186" s="33" t="n">
        <x:f>IFERROR(XLOOKUP(G186,'模型SKU'!$A$5:$A$504,'模型SKU'!$E$5:$E$504),"")</x:f>
        <x:v>1280</x:v>
      </x:c>
      <x:c r="J186" s="33" t="n">
        <x:f>IFERROR(XLOOKUP(G186,'模型SKU'!$A$5:$A$504,'模型SKU'!$F$5:$F$504),"")</x:f>
        <x:v>720</x:v>
      </x:c>
      <x:c r="K186" s="33" t="n">
        <x:f>IFERROR(XLOOKUP(G186,'模型SKU'!$A$5:$A$504,'模型SKU'!$G$5:$G$504),"")</x:f>
        <x:v>24</x:v>
      </x:c>
      <x:c r="L186" s="35" t="n">
        <x:f>IFERROR((E186+F186)*I186*J186*K186/'参数'!$B$7,0)</x:f>
        <x:v>172800</x:v>
      </x:c>
      <x:c r="M186" s="33" t="s">
        <x:v>259</x:v>
      </x:c>
      <x:c r="N186" s="36" t="n">
        <x:f>IFERROR(XLOOKUP(C186,'渠道成本'!$A$5:$A$1004,'渠道成本'!$U$5:$U$1004),"")</x:f>
        <x:v>6.301369863013698</x:v>
      </x:c>
      <x:c r="O186" s="36" t="n">
        <x:f>IFERROR(XLOOKUP(B186,'官方售价'!$A$5:$A$504,'官方售价'!$M$5:$M$504),"")</x:f>
        <x:v>3.835616438356164</x:v>
      </x:c>
      <x:c r="P186" s="36" t="n">
        <x:f>IF(M186="per_token",N186*L186/'参数'!$B$8,N186)</x:f>
        <x:v>1.088876712328767</x:v>
      </x:c>
      <x:c r="Q186" s="36" t="n">
        <x:f>IFERROR(O186*D186,"")</x:f>
        <x:v>3.835616438356164</x:v>
      </x:c>
      <x:c r="R186" s="36" t="n">
        <x:f>IFERROR(Q186-P186,"")</x:f>
        <x:v>2.746739726027397</x:v>
      </x:c>
      <x:c r="S186" s="41" t="n">
        <x:f>IFERROR(R186/Q186,"")</x:f>
        <x:v>0.7161142857142857</x:v>
      </x:c>
      <x:c r="T186" s="33" t="s">
        <x:v>224</x:v>
      </x:c>
      <x:c r="U186" s="17" t="s">
        <x:v>1162</x:v>
      </x:c>
    </x:row>
    <x:row r="187" ht="26.350000381469727" customHeight="1">
      <x:c r="A187" s="29" t="s">
        <x:v>1344</x:v>
      </x:c>
      <x:c r="B187" s="29" t="s">
        <x:v>257</x:v>
      </x:c>
      <x:c r="C187" s="29" t="s">
        <x:v>697</x:v>
      </x:c>
      <x:c r="D187" s="40" t="s">
        <x:v>151</x:v>
      </x:c>
      <x:c r="E187" s="40">
        <x:v>4</x:v>
      </x:c>
      <x:c r="F187" s="40">
        <x:v>4</x:v>
      </x:c>
      <x:c r="G187" s="33" t="s">
        <x:v>217</x:v>
      </x:c>
      <x:c r="H187" s="33" t="s">
        <x:v>258</x:v>
      </x:c>
      <x:c r="I187" s="33" t="n">
        <x:f>IFERROR(XLOOKUP(G187,'模型SKU'!$A$5:$A$504,'模型SKU'!$E$5:$E$504),"")</x:f>
        <x:v>1920</x:v>
      </x:c>
      <x:c r="J187" s="33" t="n">
        <x:f>IFERROR(XLOOKUP(G187,'模型SKU'!$A$5:$A$504,'模型SKU'!$F$5:$F$504),"")</x:f>
        <x:v>1080</x:v>
      </x:c>
      <x:c r="K187" s="33" t="n">
        <x:f>IFERROR(XLOOKUP(G187,'模型SKU'!$A$5:$A$504,'模型SKU'!$G$5:$G$504),"")</x:f>
        <x:v>24</x:v>
      </x:c>
      <x:c r="L187" s="35" t="n">
        <x:f>IFERROR((E187+F187)*I187*J187*K187/'参数'!$B$7,0)</x:f>
        <x:v>388800</x:v>
      </x:c>
      <x:c r="M187" s="33" t="s">
        <x:v>259</x:v>
      </x:c>
      <x:c r="N187" s="36" t="n">
        <x:f>IFERROR(XLOOKUP(C187,'渠道成本'!$A$5:$A$1004,'渠道成本'!$U$5:$U$1004),"")</x:f>
        <x:v>6.986301369863013</x:v>
      </x:c>
      <x:c r="O187" s="36" t="n">
        <x:f>IFERROR(XLOOKUP(B187,'官方售价'!$A$5:$A$504,'官方售价'!$M$5:$M$504),"")</x:f>
        <x:v>6.986301369863013</x:v>
      </x:c>
      <x:c r="P187" s="36" t="n">
        <x:f>IF(M187="per_token",N187*L187/'参数'!$B$8,N187)</x:f>
        <x:v>2.7162739726027394</x:v>
      </x:c>
      <x:c r="Q187" s="36" t="n">
        <x:f>IFERROR(O187*D187,"")</x:f>
        <x:v>6.986301369863013</x:v>
      </x:c>
      <x:c r="R187" s="36" t="n">
        <x:f>IFERROR(Q187-P187,"")</x:f>
        <x:v>4.270027397260273</x:v>
      </x:c>
      <x:c r="S187" s="41" t="n">
        <x:f>IFERROR(R187/Q187,"")</x:f>
        <x:v>0.6112</x:v>
      </x:c>
      <x:c r="T187" s="33" t="s">
        <x:v>224</x:v>
      </x:c>
      <x:c r="U187" s="17" t="s">
        <x:v>1162</x:v>
      </x:c>
    </x:row>
    <x:row r="188" ht="26.350000381469727" customHeight="1">
      <x:c r="A188" s="29" t="s">
        <x:v>1345</x:v>
      </x:c>
      <x:c r="B188" s="29" t="s">
        <x:v>263</x:v>
      </x:c>
      <x:c r="C188" s="29" t="s">
        <x:v>700</x:v>
      </x:c>
      <x:c r="D188" s="40" t="s">
        <x:v>151</x:v>
      </x:c>
      <x:c r="E188" s="40">
        <x:v>4</x:v>
      </x:c>
      <x:c r="F188" s="40">
        <x:v>4</x:v>
      </x:c>
      <x:c r="G188" s="33" t="s">
        <x:v>217</x:v>
      </x:c>
      <x:c r="H188" s="33" t="s">
        <x:v>264</x:v>
      </x:c>
      <x:c r="I188" s="33" t="n">
        <x:f>IFERROR(XLOOKUP(G188,'模型SKU'!$A$5:$A$504,'模型SKU'!$E$5:$E$504),"")</x:f>
        <x:v>1920</x:v>
      </x:c>
      <x:c r="J188" s="33" t="n">
        <x:f>IFERROR(XLOOKUP(G188,'模型SKU'!$A$5:$A$504,'模型SKU'!$F$5:$F$504),"")</x:f>
        <x:v>1080</x:v>
      </x:c>
      <x:c r="K188" s="33" t="n">
        <x:f>IFERROR(XLOOKUP(G188,'模型SKU'!$A$5:$A$504,'模型SKU'!$G$5:$G$504),"")</x:f>
        <x:v>24</x:v>
      </x:c>
      <x:c r="L188" s="35" t="n">
        <x:f>IFERROR((E188+F188)*I188*J188*K188/'参数'!$B$7,0)</x:f>
        <x:v>388800</x:v>
      </x:c>
      <x:c r="M188" s="33" t="s">
        <x:v>259</x:v>
      </x:c>
      <x:c r="N188" s="36" t="n">
        <x:f>IFERROR(XLOOKUP(C188,'渠道成本'!$A$5:$A$1004,'渠道成本'!$U$5:$U$1004),"")</x:f>
        <x:v>6.986301369863013</x:v>
      </x:c>
      <x:c r="O188" s="36" t="n">
        <x:f>IFERROR(XLOOKUP(B188,'官方售价'!$A$5:$A$504,'官方售价'!$M$5:$M$504),"")</x:f>
        <x:v>4.2465753424657535</x:v>
      </x:c>
      <x:c r="P188" s="36" t="n">
        <x:f>IF(M188="per_token",N188*L188/'参数'!$B$8,N188)</x:f>
        <x:v>2.7162739726027394</x:v>
      </x:c>
      <x:c r="Q188" s="36" t="n">
        <x:f>IFERROR(O188*D188,"")</x:f>
        <x:v>4.2465753424657535</x:v>
      </x:c>
      <x:c r="R188" s="36" t="n">
        <x:f>IFERROR(Q188-P188,"")</x:f>
        <x:v>1.5303013698630141</x:v>
      </x:c>
      <x:c r="S188" s="41" t="n">
        <x:f>IFERROR(R188/Q188,"")</x:f>
        <x:v>0.36036129032258074</x:v>
      </x:c>
      <x:c r="T188" s="33" t="s">
        <x:v>224</x:v>
      </x:c>
      <x:c r="U188" s="17" t="s">
        <x:v>1162</x:v>
      </x:c>
    </x:row>
    <x:row r="189" ht="26.350000381469727" customHeight="1">
      <x:c r="A189" s="29" t="s">
        <x:v>1346</x:v>
      </x:c>
      <x:c r="B189" s="29" t="s">
        <x:v>267</x:v>
      </x:c>
      <x:c r="C189" s="29" t="s">
        <x:v>701</x:v>
      </x:c>
      <x:c r="D189" s="40" t="s">
        <x:v>151</x:v>
      </x:c>
      <x:c r="E189" s="40">
        <x:v>4</x:v>
      </x:c>
      <x:c r="F189" s="40">
        <x:v>4</x:v>
      </x:c>
      <x:c r="G189" s="33" t="s">
        <x:v>227</x:v>
      </x:c>
      <x:c r="H189" s="33" t="s">
        <x:v>258</x:v>
      </x:c>
      <x:c r="I189" s="33" t="n">
        <x:f>IFERROR(XLOOKUP(G189,'模型SKU'!$A$5:$A$504,'模型SKU'!$E$5:$E$504),"")</x:f>
        <x:v>864</x:v>
      </x:c>
      <x:c r="J189" s="33" t="n">
        <x:f>IFERROR(XLOOKUP(G189,'模型SKU'!$A$5:$A$504,'模型SKU'!$F$5:$F$504),"")</x:f>
        <x:v>496</x:v>
      </x:c>
      <x:c r="K189" s="33" t="n">
        <x:f>IFERROR(XLOOKUP(G189,'模型SKU'!$A$5:$A$504,'模型SKU'!$G$5:$G$504),"")</x:f>
        <x:v>24</x:v>
      </x:c>
      <x:c r="L189" s="35" t="n">
        <x:f>IFERROR((E189+F189)*I189*J189*K189/'参数'!$B$7,0)</x:f>
        <x:v>80352</x:v>
      </x:c>
      <x:c r="M189" s="33" t="s">
        <x:v>331</x:v>
      </x:c>
      <x:c r="N189" s="36" t="n">
        <x:f>IFERROR(XLOOKUP(C189,'渠道成本'!$A$5:$A$1004,'渠道成本'!$U$5:$U$1004),"")</x:f>
        <x:v>0.6712328767123288</x:v>
      </x:c>
      <x:c r="O189" s="36" t="n">
        <x:f>IFERROR(XLOOKUP(B189,'官方售价'!$A$5:$A$504,'官方售价'!$M$5:$M$504),"")</x:f>
        <x:v>6.301369863013698</x:v>
      </x:c>
      <x:c r="P189" s="36" t="n">
        <x:f>IF(M189="per_token",N189*L189/'参数'!$B$8,N189)</x:f>
        <x:v>0.6712328767123288</x:v>
      </x:c>
      <x:c r="Q189" s="36" t="n">
        <x:f>IFERROR(O189*D189,"")</x:f>
        <x:v>6.301369863013698</x:v>
      </x:c>
      <x:c r="R189" s="36" t="n">
        <x:f>IFERROR(Q189-P189,"")</x:f>
        <x:v>5.63013698630137</x:v>
      </x:c>
      <x:c r="S189" s="41" t="n">
        <x:f>IFERROR(R189/Q189,"")</x:f>
        <x:v>0.8934782608695653</x:v>
      </x:c>
      <x:c r="T189" s="33" t="s">
        <x:v>224</x:v>
      </x:c>
      <x:c r="U189" s="17" t="s">
        <x:v>1162</x:v>
      </x:c>
    </x:row>
    <x:row r="190" ht="26.350000381469727" customHeight="1">
      <x:c r="A190" s="29" t="s">
        <x:v>1347</x:v>
      </x:c>
      <x:c r="B190" s="29" t="s">
        <x:v>270</x:v>
      </x:c>
      <x:c r="C190" s="29" t="s">
        <x:v>705</x:v>
      </x:c>
      <x:c r="D190" s="40" t="s">
        <x:v>151</x:v>
      </x:c>
      <x:c r="E190" s="40">
        <x:v>4</x:v>
      </x:c>
      <x:c r="F190" s="40">
        <x:v>4</x:v>
      </x:c>
      <x:c r="G190" s="33" t="s">
        <x:v>227</x:v>
      </x:c>
      <x:c r="H190" s="33" t="s">
        <x:v>264</x:v>
      </x:c>
      <x:c r="I190" s="33" t="n">
        <x:f>IFERROR(XLOOKUP(G190,'模型SKU'!$A$5:$A$504,'模型SKU'!$E$5:$E$504),"")</x:f>
        <x:v>864</x:v>
      </x:c>
      <x:c r="J190" s="33" t="n">
        <x:f>IFERROR(XLOOKUP(G190,'模型SKU'!$A$5:$A$504,'模型SKU'!$F$5:$F$504),"")</x:f>
        <x:v>496</x:v>
      </x:c>
      <x:c r="K190" s="33" t="n">
        <x:f>IFERROR(XLOOKUP(G190,'模型SKU'!$A$5:$A$504,'模型SKU'!$G$5:$G$504),"")</x:f>
        <x:v>24</x:v>
      </x:c>
      <x:c r="L190" s="35" t="n">
        <x:f>IFERROR((E190+F190)*I190*J190*K190/'参数'!$B$7,0)</x:f>
        <x:v>80352</x:v>
      </x:c>
      <x:c r="M190" s="33" t="s">
        <x:v>331</x:v>
      </x:c>
      <x:c r="N190" s="36" t="n">
        <x:f>IFERROR(XLOOKUP(C190,'渠道成本'!$A$5:$A$1004,'渠道成本'!$U$5:$U$1004),"")</x:f>
        <x:v>0.6712328767123288</x:v>
      </x:c>
      <x:c r="O190" s="36" t="n">
        <x:f>IFERROR(XLOOKUP(B190,'官方售价'!$A$5:$A$504,'官方售价'!$M$5:$M$504),"")</x:f>
        <x:v>3.835616438356164</x:v>
      </x:c>
      <x:c r="P190" s="36" t="n">
        <x:f>IF(M190="per_token",N190*L190/'参数'!$B$8,N190)</x:f>
        <x:v>0.6712328767123288</x:v>
      </x:c>
      <x:c r="Q190" s="36" t="n">
        <x:f>IFERROR(O190*D190,"")</x:f>
        <x:v>3.835616438356164</x:v>
      </x:c>
      <x:c r="R190" s="36" t="n">
        <x:f>IFERROR(Q190-P190,"")</x:f>
        <x:v>3.1643835616438354</x:v>
      </x:c>
      <x:c r="S190" s="41" t="n">
        <x:f>IFERROR(R190/Q190,"")</x:f>
        <x:v>0.825</x:v>
      </x:c>
      <x:c r="T190" s="33" t="s">
        <x:v>224</x:v>
      </x:c>
      <x:c r="U190" s="17" t="s">
        <x:v>1162</x:v>
      </x:c>
    </x:row>
    <x:row r="191" ht="26.350000381469727" customHeight="1">
      <x:c r="A191" s="29" t="s">
        <x:v>1348</x:v>
      </x:c>
      <x:c r="B191" s="29" t="s">
        <x:v>279</x:v>
      </x:c>
      <x:c r="C191" s="29" t="s">
        <x:v>706</x:v>
      </x:c>
      <x:c r="D191" s="40" t="s">
        <x:v>151</x:v>
      </x:c>
      <x:c r="E191" s="40">
        <x:v>4</x:v>
      </x:c>
      <x:c r="F191" s="40">
        <x:v>4</x:v>
      </x:c>
      <x:c r="G191" s="33" t="s">
        <x:v>232</x:v>
      </x:c>
      <x:c r="H191" s="33" t="s">
        <x:v>258</x:v>
      </x:c>
      <x:c r="I191" s="33" t="n">
        <x:f>IFERROR(XLOOKUP(G191,'模型SKU'!$A$5:$A$504,'模型SKU'!$E$5:$E$504),"")</x:f>
        <x:v>1280</x:v>
      </x:c>
      <x:c r="J191" s="33" t="n">
        <x:f>IFERROR(XLOOKUP(G191,'模型SKU'!$A$5:$A$504,'模型SKU'!$F$5:$F$504),"")</x:f>
        <x:v>720</x:v>
      </x:c>
      <x:c r="K191" s="33" t="n">
        <x:f>IFERROR(XLOOKUP(G191,'模型SKU'!$A$5:$A$504,'模型SKU'!$G$5:$G$504),"")</x:f>
        <x:v>24</x:v>
      </x:c>
      <x:c r="L191" s="35" t="n">
        <x:f>IFERROR((E191+F191)*I191*J191*K191/'参数'!$B$7,0)</x:f>
        <x:v>172800</x:v>
      </x:c>
      <x:c r="M191" s="33" t="s">
        <x:v>331</x:v>
      </x:c>
      <x:c r="N191" s="36" t="n">
        <x:f>IFERROR(XLOOKUP(C191,'渠道成本'!$A$5:$A$1004,'渠道成本'!$U$5:$U$1004),"")</x:f>
        <x:v>0.958904109589041</x:v>
      </x:c>
      <x:c r="O191" s="36" t="n">
        <x:f>IFERROR(XLOOKUP(B191,'官方售价'!$A$5:$A$504,'官方售价'!$M$5:$M$504),"")</x:f>
        <x:v>6.301369863013698</x:v>
      </x:c>
      <x:c r="P191" s="36" t="n">
        <x:f>IF(M191="per_token",N191*L191/'参数'!$B$8,N191)</x:f>
        <x:v>0.958904109589041</x:v>
      </x:c>
      <x:c r="Q191" s="36" t="n">
        <x:f>IFERROR(O191*D191,"")</x:f>
        <x:v>6.301369863013698</x:v>
      </x:c>
      <x:c r="R191" s="36" t="n">
        <x:f>IFERROR(Q191-P191,"")</x:f>
        <x:v>5.342465753424657</x:v>
      </x:c>
      <x:c r="S191" s="41" t="n">
        <x:f>IFERROR(R191/Q191,"")</x:f>
        <x:v>0.8478260869565217</x:v>
      </x:c>
      <x:c r="T191" s="33" t="s">
        <x:v>224</x:v>
      </x:c>
      <x:c r="U191" s="17" t="s">
        <x:v>1162</x:v>
      </x:c>
    </x:row>
    <x:row r="192" ht="26.350000381469727" customHeight="1">
      <x:c r="A192" s="29" t="s">
        <x:v>1349</x:v>
      </x:c>
      <x:c r="B192" s="29" t="s">
        <x:v>281</x:v>
      </x:c>
      <x:c r="C192" s="29" t="s">
        <x:v>708</x:v>
      </x:c>
      <x:c r="D192" s="40" t="s">
        <x:v>151</x:v>
      </x:c>
      <x:c r="E192" s="40">
        <x:v>4</x:v>
      </x:c>
      <x:c r="F192" s="40">
        <x:v>4</x:v>
      </x:c>
      <x:c r="G192" s="33" t="s">
        <x:v>232</x:v>
      </x:c>
      <x:c r="H192" s="33" t="s">
        <x:v>264</x:v>
      </x:c>
      <x:c r="I192" s="33" t="n">
        <x:f>IFERROR(XLOOKUP(G192,'模型SKU'!$A$5:$A$504,'模型SKU'!$E$5:$E$504),"")</x:f>
        <x:v>1280</x:v>
      </x:c>
      <x:c r="J192" s="33" t="n">
        <x:f>IFERROR(XLOOKUP(G192,'模型SKU'!$A$5:$A$504,'模型SKU'!$F$5:$F$504),"")</x:f>
        <x:v>720</x:v>
      </x:c>
      <x:c r="K192" s="33" t="n">
        <x:f>IFERROR(XLOOKUP(G192,'模型SKU'!$A$5:$A$504,'模型SKU'!$G$5:$G$504),"")</x:f>
        <x:v>24</x:v>
      </x:c>
      <x:c r="L192" s="35" t="n">
        <x:f>IFERROR((E192+F192)*I192*J192*K192/'参数'!$B$7,0)</x:f>
        <x:v>172800</x:v>
      </x:c>
      <x:c r="M192" s="33" t="s">
        <x:v>331</x:v>
      </x:c>
      <x:c r="N192" s="36" t="n">
        <x:f>IFERROR(XLOOKUP(C192,'渠道成本'!$A$5:$A$1004,'渠道成本'!$U$5:$U$1004),"")</x:f>
        <x:v>0.958904109589041</x:v>
      </x:c>
      <x:c r="O192" s="36" t="n">
        <x:f>IFERROR(XLOOKUP(B192,'官方售价'!$A$5:$A$504,'官方售价'!$M$5:$M$504),"")</x:f>
        <x:v>3.835616438356164</x:v>
      </x:c>
      <x:c r="P192" s="36" t="n">
        <x:f>IF(M192="per_token",N192*L192/'参数'!$B$8,N192)</x:f>
        <x:v>0.958904109589041</x:v>
      </x:c>
      <x:c r="Q192" s="36" t="n">
        <x:f>IFERROR(O192*D192,"")</x:f>
        <x:v>3.835616438356164</x:v>
      </x:c>
      <x:c r="R192" s="36" t="n">
        <x:f>IFERROR(Q192-P192,"")</x:f>
        <x:v>2.8767123287671232</x:v>
      </x:c>
      <x:c r="S192" s="41" t="n">
        <x:f>IFERROR(R192/Q192,"")</x:f>
        <x:v>0.75</x:v>
      </x:c>
      <x:c r="T192" s="33" t="s">
        <x:v>224</x:v>
      </x:c>
      <x:c r="U192" s="17" t="s">
        <x:v>1162</x:v>
      </x:c>
    </x:row>
    <x:row r="193" ht="26.350000381469727" customHeight="1">
      <x:c r="A193" s="29" t="s">
        <x:v>1350</x:v>
      </x:c>
      <x:c r="B193" s="29" t="s">
        <x:v>257</x:v>
      </x:c>
      <x:c r="C193" s="29" t="s">
        <x:v>709</x:v>
      </x:c>
      <x:c r="D193" s="40" t="s">
        <x:v>151</x:v>
      </x:c>
      <x:c r="E193" s="40">
        <x:v>4</x:v>
      </x:c>
      <x:c r="F193" s="40">
        <x:v>4</x:v>
      </x:c>
      <x:c r="G193" s="33" t="s">
        <x:v>217</x:v>
      </x:c>
      <x:c r="H193" s="33" t="s">
        <x:v>258</x:v>
      </x:c>
      <x:c r="I193" s="33" t="n">
        <x:f>IFERROR(XLOOKUP(G193,'模型SKU'!$A$5:$A$504,'模型SKU'!$E$5:$E$504),"")</x:f>
        <x:v>1920</x:v>
      </x:c>
      <x:c r="J193" s="33" t="n">
        <x:f>IFERROR(XLOOKUP(G193,'模型SKU'!$A$5:$A$504,'模型SKU'!$F$5:$F$504),"")</x:f>
        <x:v>1080</x:v>
      </x:c>
      <x:c r="K193" s="33" t="n">
        <x:f>IFERROR(XLOOKUP(G193,'模型SKU'!$A$5:$A$504,'模型SKU'!$G$5:$G$504),"")</x:f>
        <x:v>24</x:v>
      </x:c>
      <x:c r="L193" s="35" t="n">
        <x:f>IFERROR((E193+F193)*I193*J193*K193/'参数'!$B$7,0)</x:f>
        <x:v>388800</x:v>
      </x:c>
      <x:c r="M193" s="33" t="s">
        <x:v>318</x:v>
      </x:c>
      <x:c r="N193" s="36" t="n">
        <x:f>IFERROR(XLOOKUP(C193,'渠道成本'!$A$5:$A$1004,'渠道成本'!$U$5:$U$1004),"")</x:f>
        <x:v>0.11506849315068492</x:v>
      </x:c>
      <x:c r="O193" s="36" t="n">
        <x:f>IFERROR(XLOOKUP(B193,'官方售价'!$A$5:$A$504,'官方售价'!$M$5:$M$504),"")</x:f>
        <x:v>6.986301369863013</x:v>
      </x:c>
      <x:c r="P193" s="36" t="n">
        <x:f>IF(M193="per_token",N193*L193/'参数'!$B$8,N193)</x:f>
        <x:v>0.11506849315068492</x:v>
      </x:c>
      <x:c r="Q193" s="36" t="n">
        <x:f>IFERROR(O193*D193,"")</x:f>
        <x:v>6.986301369863013</x:v>
      </x:c>
      <x:c r="R193" s="36" t="n">
        <x:f>IFERROR(Q193-P193,"")</x:f>
        <x:v>6.8712328767123285</x:v>
      </x:c>
      <x:c r="S193" s="41" t="n">
        <x:f>IFERROR(R193/Q193,"")</x:f>
        <x:v>0.9835294117647059</x:v>
      </x:c>
      <x:c r="T193" s="33" t="s">
        <x:v>224</x:v>
      </x:c>
      <x:c r="U193" s="17" t="s">
        <x:v>1162</x:v>
      </x:c>
    </x:row>
    <x:row r="194" ht="26.350000381469727" customHeight="1">
      <x:c r="A194" s="29" t="s">
        <x:v>1351</x:v>
      </x:c>
      <x:c r="B194" s="29" t="s">
        <x:v>263</x:v>
      </x:c>
      <x:c r="C194" s="29" t="s">
        <x:v>711</x:v>
      </x:c>
      <x:c r="D194" s="40" t="s">
        <x:v>151</x:v>
      </x:c>
      <x:c r="E194" s="40">
        <x:v>4</x:v>
      </x:c>
      <x:c r="F194" s="40">
        <x:v>4</x:v>
      </x:c>
      <x:c r="G194" s="33" t="s">
        <x:v>217</x:v>
      </x:c>
      <x:c r="H194" s="33" t="s">
        <x:v>264</x:v>
      </x:c>
      <x:c r="I194" s="33" t="n">
        <x:f>IFERROR(XLOOKUP(G194,'模型SKU'!$A$5:$A$504,'模型SKU'!$E$5:$E$504),"")</x:f>
        <x:v>1920</x:v>
      </x:c>
      <x:c r="J194" s="33" t="n">
        <x:f>IFERROR(XLOOKUP(G194,'模型SKU'!$A$5:$A$504,'模型SKU'!$F$5:$F$504),"")</x:f>
        <x:v>1080</x:v>
      </x:c>
      <x:c r="K194" s="33" t="n">
        <x:f>IFERROR(XLOOKUP(G194,'模型SKU'!$A$5:$A$504,'模型SKU'!$G$5:$G$504),"")</x:f>
        <x:v>24</x:v>
      </x:c>
      <x:c r="L194" s="35" t="n">
        <x:f>IFERROR((E194+F194)*I194*J194*K194/'参数'!$B$7,0)</x:f>
        <x:v>388800</x:v>
      </x:c>
      <x:c r="M194" s="33" t="s">
        <x:v>318</x:v>
      </x:c>
      <x:c r="N194" s="36" t="n">
        <x:f>IFERROR(XLOOKUP(C194,'渠道成本'!$A$5:$A$1004,'渠道成本'!$U$5:$U$1004),"")</x:f>
        <x:v>0.11506849315068492</x:v>
      </x:c>
      <x:c r="O194" s="36" t="n">
        <x:f>IFERROR(XLOOKUP(B194,'官方售价'!$A$5:$A$504,'官方售价'!$M$5:$M$504),"")</x:f>
        <x:v>4.2465753424657535</x:v>
      </x:c>
      <x:c r="P194" s="36" t="n">
        <x:f>IF(M194="per_token",N194*L194/'参数'!$B$8,N194)</x:f>
        <x:v>0.11506849315068492</x:v>
      </x:c>
      <x:c r="Q194" s="36" t="n">
        <x:f>IFERROR(O194*D194,"")</x:f>
        <x:v>4.2465753424657535</x:v>
      </x:c>
      <x:c r="R194" s="36" t="n">
        <x:f>IFERROR(Q194-P194,"")</x:f>
        <x:v>4.131506849315069</x:v>
      </x:c>
      <x:c r="S194" s="41" t="n">
        <x:f>IFERROR(R194/Q194,"")</x:f>
        <x:v>0.9729032258064517</x:v>
      </x:c>
      <x:c r="T194" s="33" t="s">
        <x:v>224</x:v>
      </x:c>
      <x:c r="U194" s="17" t="s">
        <x:v>1162</x:v>
      </x:c>
    </x:row>
    <x:row r="195" ht="26.350000381469727" customHeight="1">
      <x:c r="A195" s="29" t="s">
        <x:v>1352</x:v>
      </x:c>
      <x:c r="B195" s="29" t="s">
        <x:v>273</x:v>
      </x:c>
      <x:c r="C195" s="29" t="s">
        <x:v>712</x:v>
      </x:c>
      <x:c r="D195" s="40" t="s">
        <x:v>151</x:v>
      </x:c>
      <x:c r="E195" s="40">
        <x:v>4</x:v>
      </x:c>
      <x:c r="F195" s="40">
        <x:v>4</x:v>
      </x:c>
      <x:c r="G195" s="33" t="s">
        <x:v>230</x:v>
      </x:c>
      <x:c r="H195" s="33" t="s">
        <x:v>258</x:v>
      </x:c>
      <x:c r="I195" s="33" t="n">
        <x:f>IFERROR(XLOOKUP(G195,'模型SKU'!$A$5:$A$504,'模型SKU'!$E$5:$E$504),"")</x:f>
        <x:v>3840</x:v>
      </x:c>
      <x:c r="J195" s="33" t="n">
        <x:f>IFERROR(XLOOKUP(G195,'模型SKU'!$A$5:$A$504,'模型SKU'!$F$5:$F$504),"")</x:f>
        <x:v>2160</x:v>
      </x:c>
      <x:c r="K195" s="33" t="n">
        <x:f>IFERROR(XLOOKUP(G195,'模型SKU'!$A$5:$A$504,'模型SKU'!$G$5:$G$504),"")</x:f>
        <x:v>24</x:v>
      </x:c>
      <x:c r="L195" s="35" t="n">
        <x:f>IFERROR((E195+F195)*I195*J195*K195/'参数'!$B$7,0)</x:f>
        <x:v>1555200</x:v>
      </x:c>
      <x:c r="M195" s="33" t="s">
        <x:v>318</x:v>
      </x:c>
      <x:c r="N195" s="36" t="n">
        <x:f>IFERROR(XLOOKUP(C195,'渠道成本'!$A$5:$A$1004,'渠道成本'!$U$5:$U$1004),"")</x:f>
        <x:v>0.23013698630136983</x:v>
      </x:c>
      <x:c r="O195" s="36" t="n">
        <x:f>IFERROR(XLOOKUP(B195,'官方售价'!$A$5:$A$504,'官方售价'!$M$5:$M$504),"")</x:f>
        <x:v>3.5616438356164384</x:v>
      </x:c>
      <x:c r="P195" s="36" t="n">
        <x:f>IF(M195="per_token",N195*L195/'参数'!$B$8,N195)</x:f>
        <x:v>0.23013698630136983</x:v>
      </x:c>
      <x:c r="Q195" s="36" t="n">
        <x:f>IFERROR(O195*D195,"")</x:f>
        <x:v>3.5616438356164384</x:v>
      </x:c>
      <x:c r="R195" s="36" t="n">
        <x:f>IFERROR(Q195-P195,"")</x:f>
        <x:v>3.3315068493150686</x:v>
      </x:c>
      <x:c r="S195" s="41" t="n">
        <x:f>IFERROR(R195/Q195,"")</x:f>
        <x:v>0.9353846153846154</x:v>
      </x:c>
      <x:c r="T195" s="33" t="s">
        <x:v>224</x:v>
      </x:c>
      <x:c r="U195" s="17" t="s">
        <x:v>1162</x:v>
      </x:c>
    </x:row>
    <x:row r="196" ht="26.350000381469727" customHeight="1">
      <x:c r="A196" s="29" t="s">
        <x:v>1353</x:v>
      </x:c>
      <x:c r="B196" s="29" t="s">
        <x:v>276</x:v>
      </x:c>
      <x:c r="C196" s="29" t="s">
        <x:v>714</x:v>
      </x:c>
      <x:c r="D196" s="40" t="s">
        <x:v>151</x:v>
      </x:c>
      <x:c r="E196" s="40">
        <x:v>4</x:v>
      </x:c>
      <x:c r="F196" s="40">
        <x:v>4</x:v>
      </x:c>
      <x:c r="G196" s="33" t="s">
        <x:v>230</x:v>
      </x:c>
      <x:c r="H196" s="33" t="s">
        <x:v>264</x:v>
      </x:c>
      <x:c r="I196" s="33" t="n">
        <x:f>IFERROR(XLOOKUP(G196,'模型SKU'!$A$5:$A$504,'模型SKU'!$E$5:$E$504),"")</x:f>
        <x:v>3840</x:v>
      </x:c>
      <x:c r="J196" s="33" t="n">
        <x:f>IFERROR(XLOOKUP(G196,'模型SKU'!$A$5:$A$504,'模型SKU'!$F$5:$F$504),"")</x:f>
        <x:v>2160</x:v>
      </x:c>
      <x:c r="K196" s="33" t="n">
        <x:f>IFERROR(XLOOKUP(G196,'模型SKU'!$A$5:$A$504,'模型SKU'!$G$5:$G$504),"")</x:f>
        <x:v>24</x:v>
      </x:c>
      <x:c r="L196" s="35" t="n">
        <x:f>IFERROR((E196+F196)*I196*J196*K196/'参数'!$B$7,0)</x:f>
        <x:v>1555200</x:v>
      </x:c>
      <x:c r="M196" s="33" t="s">
        <x:v>318</x:v>
      </x:c>
      <x:c r="N196" s="36" t="n">
        <x:f>IFERROR(XLOOKUP(C196,'渠道成本'!$A$5:$A$1004,'渠道成本'!$U$5:$U$1004),"")</x:f>
        <x:v>0.23013698630136983</x:v>
      </x:c>
      <x:c r="O196" s="36" t="n">
        <x:f>IFERROR(XLOOKUP(B196,'官方售价'!$A$5:$A$504,'官方售价'!$M$5:$M$504),"")</x:f>
        <x:v>2.191780821917808</x:v>
      </x:c>
      <x:c r="P196" s="36" t="n">
        <x:f>IF(M196="per_token",N196*L196/'参数'!$B$8,N196)</x:f>
        <x:v>0.23013698630136983</x:v>
      </x:c>
      <x:c r="Q196" s="36" t="n">
        <x:f>IFERROR(O196*D196,"")</x:f>
        <x:v>2.191780821917808</x:v>
      </x:c>
      <x:c r="R196" s="36" t="n">
        <x:f>IFERROR(Q196-P196,"")</x:f>
        <x:v>1.9616438356164383</x:v>
      </x:c>
      <x:c r="S196" s="41" t="n">
        <x:f>IFERROR(R196/Q196,"")</x:f>
        <x:v>0.895</x:v>
      </x:c>
      <x:c r="T196" s="33" t="s">
        <x:v>224</x:v>
      </x:c>
      <x:c r="U196" s="17" t="s">
        <x:v>1162</x:v>
      </x:c>
    </x:row>
    <x:row r="197" ht="26.350000381469727" customHeight="1">
      <x:c r="A197" s="29" t="s">
        <x:v>1354</x:v>
      </x:c>
      <x:c r="B197" s="29" t="s">
        <x:v>267</x:v>
      </x:c>
      <x:c r="C197" s="29" t="s">
        <x:v>715</x:v>
      </x:c>
      <x:c r="D197" s="40" t="s">
        <x:v>151</x:v>
      </x:c>
      <x:c r="E197" s="40">
        <x:v>4</x:v>
      </x:c>
      <x:c r="F197" s="40">
        <x:v>4</x:v>
      </x:c>
      <x:c r="G197" s="33" t="s">
        <x:v>227</x:v>
      </x:c>
      <x:c r="H197" s="33" t="s">
        <x:v>258</x:v>
      </x:c>
      <x:c r="I197" s="33" t="n">
        <x:f>IFERROR(XLOOKUP(G197,'模型SKU'!$A$5:$A$504,'模型SKU'!$E$5:$E$504),"")</x:f>
        <x:v>864</x:v>
      </x:c>
      <x:c r="J197" s="33" t="n">
        <x:f>IFERROR(XLOOKUP(G197,'模型SKU'!$A$5:$A$504,'模型SKU'!$F$5:$F$504),"")</x:f>
        <x:v>496</x:v>
      </x:c>
      <x:c r="K197" s="33" t="n">
        <x:f>IFERROR(XLOOKUP(G197,'模型SKU'!$A$5:$A$504,'模型SKU'!$G$5:$G$504),"")</x:f>
        <x:v>24</x:v>
      </x:c>
      <x:c r="L197" s="35" t="n">
        <x:f>IFERROR((E197+F197)*I197*J197*K197/'参数'!$B$7,0)</x:f>
        <x:v>80352</x:v>
      </x:c>
      <x:c r="M197" s="33" t="s">
        <x:v>331</x:v>
      </x:c>
      <x:c r="N197" s="36" t="n">
        <x:f>IFERROR(XLOOKUP(C197,'渠道成本'!$A$5:$A$1004,'渠道成本'!$U$5:$U$1004),"")</x:f>
        <x:v>0.2013698630136986</x:v>
      </x:c>
      <x:c r="O197" s="36" t="n">
        <x:f>IFERROR(XLOOKUP(B197,'官方售价'!$A$5:$A$504,'官方售价'!$M$5:$M$504),"")</x:f>
        <x:v>6.301369863013698</x:v>
      </x:c>
      <x:c r="P197" s="36" t="n">
        <x:f>IF(M197="per_token",N197*L197/'参数'!$B$8,N197)</x:f>
        <x:v>0.2013698630136986</x:v>
      </x:c>
      <x:c r="Q197" s="36" t="n">
        <x:f>IFERROR(O197*D197,"")</x:f>
        <x:v>6.301369863013698</x:v>
      </x:c>
      <x:c r="R197" s="36" t="n">
        <x:f>IFERROR(Q197-P197,"")</x:f>
        <x:v>6.1</x:v>
      </x:c>
      <x:c r="S197" s="41" t="n">
        <x:f>IFERROR(R197/Q197,"")</x:f>
        <x:v>0.9680434782608696</x:v>
      </x:c>
      <x:c r="T197" s="33" t="s">
        <x:v>224</x:v>
      </x:c>
      <x:c r="U197" s="17" t="s">
        <x:v>1162</x:v>
      </x:c>
    </x:row>
    <x:row r="198" ht="26.350000381469727" customHeight="1">
      <x:c r="A198" s="29" t="s">
        <x:v>1355</x:v>
      </x:c>
      <x:c r="B198" s="29" t="s">
        <x:v>270</x:v>
      </x:c>
      <x:c r="C198" s="29" t="s">
        <x:v>718</x:v>
      </x:c>
      <x:c r="D198" s="40" t="s">
        <x:v>151</x:v>
      </x:c>
      <x:c r="E198" s="40">
        <x:v>4</x:v>
      </x:c>
      <x:c r="F198" s="40">
        <x:v>4</x:v>
      </x:c>
      <x:c r="G198" s="33" t="s">
        <x:v>227</x:v>
      </x:c>
      <x:c r="H198" s="33" t="s">
        <x:v>264</x:v>
      </x:c>
      <x:c r="I198" s="33" t="n">
        <x:f>IFERROR(XLOOKUP(G198,'模型SKU'!$A$5:$A$504,'模型SKU'!$E$5:$E$504),"")</x:f>
        <x:v>864</x:v>
      </x:c>
      <x:c r="J198" s="33" t="n">
        <x:f>IFERROR(XLOOKUP(G198,'模型SKU'!$A$5:$A$504,'模型SKU'!$F$5:$F$504),"")</x:f>
        <x:v>496</x:v>
      </x:c>
      <x:c r="K198" s="33" t="n">
        <x:f>IFERROR(XLOOKUP(G198,'模型SKU'!$A$5:$A$504,'模型SKU'!$G$5:$G$504),"")</x:f>
        <x:v>24</x:v>
      </x:c>
      <x:c r="L198" s="35" t="n">
        <x:f>IFERROR((E198+F198)*I198*J198*K198/'参数'!$B$7,0)</x:f>
        <x:v>80352</x:v>
      </x:c>
      <x:c r="M198" s="33" t="s">
        <x:v>331</x:v>
      </x:c>
      <x:c r="N198" s="36" t="n">
        <x:f>IFERROR(XLOOKUP(C198,'渠道成本'!$A$5:$A$1004,'渠道成本'!$U$5:$U$1004),"")</x:f>
        <x:v>0.2013698630136986</x:v>
      </x:c>
      <x:c r="O198" s="36" t="n">
        <x:f>IFERROR(XLOOKUP(B198,'官方售价'!$A$5:$A$504,'官方售价'!$M$5:$M$504),"")</x:f>
        <x:v>3.835616438356164</x:v>
      </x:c>
      <x:c r="P198" s="36" t="n">
        <x:f>IF(M198="per_token",N198*L198/'参数'!$B$8,N198)</x:f>
        <x:v>0.2013698630136986</x:v>
      </x:c>
      <x:c r="Q198" s="36" t="n">
        <x:f>IFERROR(O198*D198,"")</x:f>
        <x:v>3.835616438356164</x:v>
      </x:c>
      <x:c r="R198" s="36" t="n">
        <x:f>IFERROR(Q198-P198,"")</x:f>
        <x:v>3.6342465753424658</x:v>
      </x:c>
      <x:c r="S198" s="41" t="n">
        <x:f>IFERROR(R198/Q198,"")</x:f>
        <x:v>0.9475</x:v>
      </x:c>
      <x:c r="T198" s="33" t="s">
        <x:v>224</x:v>
      </x:c>
      <x:c r="U198" s="17" t="s">
        <x:v>1162</x:v>
      </x:c>
    </x:row>
    <x:row r="199" ht="26.350000381469727" customHeight="1">
      <x:c r="A199" s="29" t="s">
        <x:v>1356</x:v>
      </x:c>
      <x:c r="B199" s="29" t="s">
        <x:v>279</x:v>
      </x:c>
      <x:c r="C199" s="29" t="s">
        <x:v>719</x:v>
      </x:c>
      <x:c r="D199" s="40" t="s">
        <x:v>151</x:v>
      </x:c>
      <x:c r="E199" s="40">
        <x:v>4</x:v>
      </x:c>
      <x:c r="F199" s="40">
        <x:v>4</x:v>
      </x:c>
      <x:c r="G199" s="33" t="s">
        <x:v>232</x:v>
      </x:c>
      <x:c r="H199" s="33" t="s">
        <x:v>258</x:v>
      </x:c>
      <x:c r="I199" s="33" t="n">
        <x:f>IFERROR(XLOOKUP(G199,'模型SKU'!$A$5:$A$504,'模型SKU'!$E$5:$E$504),"")</x:f>
        <x:v>1280</x:v>
      </x:c>
      <x:c r="J199" s="33" t="n">
        <x:f>IFERROR(XLOOKUP(G199,'模型SKU'!$A$5:$A$504,'模型SKU'!$F$5:$F$504),"")</x:f>
        <x:v>720</x:v>
      </x:c>
      <x:c r="K199" s="33" t="n">
        <x:f>IFERROR(XLOOKUP(G199,'模型SKU'!$A$5:$A$504,'模型SKU'!$G$5:$G$504),"")</x:f>
        <x:v>24</x:v>
      </x:c>
      <x:c r="L199" s="35" t="n">
        <x:f>IFERROR((E199+F199)*I199*J199*K199/'参数'!$B$7,0)</x:f>
        <x:v>172800</x:v>
      </x:c>
      <x:c r="M199" s="33" t="s">
        <x:v>331</x:v>
      </x:c>
      <x:c r="N199" s="36" t="n">
        <x:f>IFERROR(XLOOKUP(C199,'渠道成本'!$A$5:$A$1004,'渠道成本'!$U$5:$U$1004),"")</x:f>
        <x:v>0.2876712328767123</x:v>
      </x:c>
      <x:c r="O199" s="36" t="n">
        <x:f>IFERROR(XLOOKUP(B199,'官方售价'!$A$5:$A$504,'官方售价'!$M$5:$M$504),"")</x:f>
        <x:v>6.301369863013698</x:v>
      </x:c>
      <x:c r="P199" s="36" t="n">
        <x:f>IF(M199="per_token",N199*L199/'参数'!$B$8,N199)</x:f>
        <x:v>0.2876712328767123</x:v>
      </x:c>
      <x:c r="Q199" s="36" t="n">
        <x:f>IFERROR(O199*D199,"")</x:f>
        <x:v>6.301369863013698</x:v>
      </x:c>
      <x:c r="R199" s="36" t="n">
        <x:f>IFERROR(Q199-P199,"")</x:f>
        <x:v>6.013698630136986</x:v>
      </x:c>
      <x:c r="S199" s="41" t="n">
        <x:f>IFERROR(R199/Q199,"")</x:f>
        <x:v>0.9543478260869566</x:v>
      </x:c>
      <x:c r="T199" s="33" t="s">
        <x:v>224</x:v>
      </x:c>
      <x:c r="U199" s="17" t="s">
        <x:v>1162</x:v>
      </x:c>
    </x:row>
    <x:row r="200" ht="26.350000381469727" customHeight="1">
      <x:c r="A200" s="29" t="s">
        <x:v>1357</x:v>
      </x:c>
      <x:c r="B200" s="29" t="s">
        <x:v>281</x:v>
      </x:c>
      <x:c r="C200" s="29" t="s">
        <x:v>721</x:v>
      </x:c>
      <x:c r="D200" s="40" t="s">
        <x:v>151</x:v>
      </x:c>
      <x:c r="E200" s="40">
        <x:v>4</x:v>
      </x:c>
      <x:c r="F200" s="40">
        <x:v>4</x:v>
      </x:c>
      <x:c r="G200" s="33" t="s">
        <x:v>232</x:v>
      </x:c>
      <x:c r="H200" s="33" t="s">
        <x:v>264</x:v>
      </x:c>
      <x:c r="I200" s="33" t="n">
        <x:f>IFERROR(XLOOKUP(G200,'模型SKU'!$A$5:$A$504,'模型SKU'!$E$5:$E$504),"")</x:f>
        <x:v>1280</x:v>
      </x:c>
      <x:c r="J200" s="33" t="n">
        <x:f>IFERROR(XLOOKUP(G200,'模型SKU'!$A$5:$A$504,'模型SKU'!$F$5:$F$504),"")</x:f>
        <x:v>720</x:v>
      </x:c>
      <x:c r="K200" s="33" t="n">
        <x:f>IFERROR(XLOOKUP(G200,'模型SKU'!$A$5:$A$504,'模型SKU'!$G$5:$G$504),"")</x:f>
        <x:v>24</x:v>
      </x:c>
      <x:c r="L200" s="35" t="n">
        <x:f>IFERROR((E200+F200)*I200*J200*K200/'参数'!$B$7,0)</x:f>
        <x:v>172800</x:v>
      </x:c>
      <x:c r="M200" s="33" t="s">
        <x:v>331</x:v>
      </x:c>
      <x:c r="N200" s="36" t="n">
        <x:f>IFERROR(XLOOKUP(C200,'渠道成本'!$A$5:$A$1004,'渠道成本'!$U$5:$U$1004),"")</x:f>
        <x:v>0.2876712328767123</x:v>
      </x:c>
      <x:c r="O200" s="36" t="n">
        <x:f>IFERROR(XLOOKUP(B200,'官方售价'!$A$5:$A$504,'官方售价'!$M$5:$M$504),"")</x:f>
        <x:v>3.835616438356164</x:v>
      </x:c>
      <x:c r="P200" s="36" t="n">
        <x:f>IF(M200="per_token",N200*L200/'参数'!$B$8,N200)</x:f>
        <x:v>0.2876712328767123</x:v>
      </x:c>
      <x:c r="Q200" s="36" t="n">
        <x:f>IFERROR(O200*D200,"")</x:f>
        <x:v>3.835616438356164</x:v>
      </x:c>
      <x:c r="R200" s="36" t="n">
        <x:f>IFERROR(Q200-P200,"")</x:f>
        <x:v>3.547945205479452</x:v>
      </x:c>
      <x:c r="S200" s="41" t="n">
        <x:f>IFERROR(R200/Q200,"")</x:f>
        <x:v>0.925</x:v>
      </x:c>
      <x:c r="T200" s="33" t="s">
        <x:v>224</x:v>
      </x:c>
      <x:c r="U200" s="17" t="s">
        <x:v>1162</x:v>
      </x:c>
    </x:row>
    <x:row r="201" ht="26.350000381469727" customHeight="1">
      <x:c r="A201" s="29" t="s">
        <x:v>1358</x:v>
      </x:c>
      <x:c r="B201" s="29" t="s">
        <x:v>257</x:v>
      </x:c>
      <x:c r="C201" s="29" t="s">
        <x:v>722</x:v>
      </x:c>
      <x:c r="D201" s="40" t="s">
        <x:v>151</x:v>
      </x:c>
      <x:c r="E201" s="40">
        <x:v>4</x:v>
      </x:c>
      <x:c r="F201" s="40">
        <x:v>4</x:v>
      </x:c>
      <x:c r="G201" s="33" t="s">
        <x:v>217</x:v>
      </x:c>
      <x:c r="H201" s="33" t="s">
        <x:v>258</x:v>
      </x:c>
      <x:c r="I201" s="33" t="n">
        <x:f>IFERROR(XLOOKUP(G201,'模型SKU'!$A$5:$A$504,'模型SKU'!$E$5:$E$504),"")</x:f>
        <x:v>1920</x:v>
      </x:c>
      <x:c r="J201" s="33" t="n">
        <x:f>IFERROR(XLOOKUP(G201,'模型SKU'!$A$5:$A$504,'模型SKU'!$F$5:$F$504),"")</x:f>
        <x:v>1080</x:v>
      </x:c>
      <x:c r="K201" s="33" t="n">
        <x:f>IFERROR(XLOOKUP(G201,'模型SKU'!$A$5:$A$504,'模型SKU'!$G$5:$G$504),"")</x:f>
        <x:v>24</x:v>
      </x:c>
      <x:c r="L201" s="35" t="n">
        <x:f>IFERROR((E201+F201)*I201*J201*K201/'参数'!$B$7,0)</x:f>
        <x:v>388800</x:v>
      </x:c>
      <x:c r="M201" s="33" t="s">
        <x:v>318</x:v>
      </x:c>
      <x:c r="N201" s="36" t="n">
        <x:f>IFERROR(XLOOKUP(C201,'渠道成本'!$A$5:$A$1004,'渠道成本'!$U$5:$U$1004),"")</x:f>
        <x:v>0.034520547945205475</x:v>
      </x:c>
      <x:c r="O201" s="36" t="n">
        <x:f>IFERROR(XLOOKUP(B201,'官方售价'!$A$5:$A$504,'官方售价'!$M$5:$M$504),"")</x:f>
        <x:v>6.986301369863013</x:v>
      </x:c>
      <x:c r="P201" s="36" t="n">
        <x:f>IF(M201="per_token",N201*L201/'参数'!$B$8,N201)</x:f>
        <x:v>0.034520547945205475</x:v>
      </x:c>
      <x:c r="Q201" s="36" t="n">
        <x:f>IFERROR(O201*D201,"")</x:f>
        <x:v>6.986301369863013</x:v>
      </x:c>
      <x:c r="R201" s="36" t="n">
        <x:f>IFERROR(Q201-P201,"")</x:f>
        <x:v>6.951780821917808</x:v>
      </x:c>
      <x:c r="S201" s="41" t="n">
        <x:f>IFERROR(R201/Q201,"")</x:f>
        <x:v>0.9950588235294118</x:v>
      </x:c>
      <x:c r="T201" s="33" t="s">
        <x:v>224</x:v>
      </x:c>
      <x:c r="U201" s="17" t="s">
        <x:v>1162</x:v>
      </x:c>
    </x:row>
    <x:row r="202" ht="26.350000381469727" customHeight="1">
      <x:c r="A202" s="29" t="s">
        <x:v>1359</x:v>
      </x:c>
      <x:c r="B202" s="29" t="s">
        <x:v>263</x:v>
      </x:c>
      <x:c r="C202" s="29" t="s">
        <x:v>724</x:v>
      </x:c>
      <x:c r="D202" s="40" t="s">
        <x:v>151</x:v>
      </x:c>
      <x:c r="E202" s="40">
        <x:v>4</x:v>
      </x:c>
      <x:c r="F202" s="40">
        <x:v>4</x:v>
      </x:c>
      <x:c r="G202" s="33" t="s">
        <x:v>217</x:v>
      </x:c>
      <x:c r="H202" s="33" t="s">
        <x:v>264</x:v>
      </x:c>
      <x:c r="I202" s="33" t="n">
        <x:f>IFERROR(XLOOKUP(G202,'模型SKU'!$A$5:$A$504,'模型SKU'!$E$5:$E$504),"")</x:f>
        <x:v>1920</x:v>
      </x:c>
      <x:c r="J202" s="33" t="n">
        <x:f>IFERROR(XLOOKUP(G202,'模型SKU'!$A$5:$A$504,'模型SKU'!$F$5:$F$504),"")</x:f>
        <x:v>1080</x:v>
      </x:c>
      <x:c r="K202" s="33" t="n">
        <x:f>IFERROR(XLOOKUP(G202,'模型SKU'!$A$5:$A$504,'模型SKU'!$G$5:$G$504),"")</x:f>
        <x:v>24</x:v>
      </x:c>
      <x:c r="L202" s="35" t="n">
        <x:f>IFERROR((E202+F202)*I202*J202*K202/'参数'!$B$7,0)</x:f>
        <x:v>388800</x:v>
      </x:c>
      <x:c r="M202" s="33" t="s">
        <x:v>318</x:v>
      </x:c>
      <x:c r="N202" s="36" t="n">
        <x:f>IFERROR(XLOOKUP(C202,'渠道成本'!$A$5:$A$1004,'渠道成本'!$U$5:$U$1004),"")</x:f>
        <x:v>0.034520547945205475</x:v>
      </x:c>
      <x:c r="O202" s="36" t="n">
        <x:f>IFERROR(XLOOKUP(B202,'官方售价'!$A$5:$A$504,'官方售价'!$M$5:$M$504),"")</x:f>
        <x:v>4.2465753424657535</x:v>
      </x:c>
      <x:c r="P202" s="36" t="n">
        <x:f>IF(M202="per_token",N202*L202/'参数'!$B$8,N202)</x:f>
        <x:v>0.034520547945205475</x:v>
      </x:c>
      <x:c r="Q202" s="36" t="n">
        <x:f>IFERROR(O202*D202,"")</x:f>
        <x:v>4.2465753424657535</x:v>
      </x:c>
      <x:c r="R202" s="36" t="n">
        <x:f>IFERROR(Q202-P202,"")</x:f>
        <x:v>4.212054794520548</x:v>
      </x:c>
      <x:c r="S202" s="41" t="n">
        <x:f>IFERROR(R202/Q202,"")</x:f>
        <x:v>0.9918709677419355</x:v>
      </x:c>
      <x:c r="T202" s="33" t="s">
        <x:v>224</x:v>
      </x:c>
      <x:c r="U202" s="17" t="s">
        <x:v>1162</x:v>
      </x:c>
    </x:row>
    <x:row r="203" ht="26.350000381469727" customHeight="1">
      <x:c r="A203" s="29" t="s">
        <x:v>1360</x:v>
      </x:c>
      <x:c r="B203" s="29" t="s">
        <x:v>273</x:v>
      </x:c>
      <x:c r="C203" s="29" t="s">
        <x:v>725</x:v>
      </x:c>
      <x:c r="D203" s="40" t="s">
        <x:v>151</x:v>
      </x:c>
      <x:c r="E203" s="40">
        <x:v>4</x:v>
      </x:c>
      <x:c r="F203" s="40">
        <x:v>4</x:v>
      </x:c>
      <x:c r="G203" s="33" t="s">
        <x:v>230</x:v>
      </x:c>
      <x:c r="H203" s="33" t="s">
        <x:v>258</x:v>
      </x:c>
      <x:c r="I203" s="33" t="n">
        <x:f>IFERROR(XLOOKUP(G203,'模型SKU'!$A$5:$A$504,'模型SKU'!$E$5:$E$504),"")</x:f>
        <x:v>3840</x:v>
      </x:c>
      <x:c r="J203" s="33" t="n">
        <x:f>IFERROR(XLOOKUP(G203,'模型SKU'!$A$5:$A$504,'模型SKU'!$F$5:$F$504),"")</x:f>
        <x:v>2160</x:v>
      </x:c>
      <x:c r="K203" s="33" t="n">
        <x:f>IFERROR(XLOOKUP(G203,'模型SKU'!$A$5:$A$504,'模型SKU'!$G$5:$G$504),"")</x:f>
        <x:v>24</x:v>
      </x:c>
      <x:c r="L203" s="35" t="n">
        <x:f>IFERROR((E203+F203)*I203*J203*K203/'参数'!$B$7,0)</x:f>
        <x:v>1555200</x:v>
      </x:c>
      <x:c r="M203" s="33" t="s">
        <x:v>318</x:v>
      </x:c>
      <x:c r="N203" s="36" t="n">
        <x:f>IFERROR(XLOOKUP(C203,'渠道成本'!$A$5:$A$1004,'渠道成本'!$U$5:$U$1004),"")</x:f>
        <x:v>0.06904109589041095</x:v>
      </x:c>
      <x:c r="O203" s="36" t="n">
        <x:f>IFERROR(XLOOKUP(B203,'官方售价'!$A$5:$A$504,'官方售价'!$M$5:$M$504),"")</x:f>
        <x:v>3.5616438356164384</x:v>
      </x:c>
      <x:c r="P203" s="36" t="n">
        <x:f>IF(M203="per_token",N203*L203/'参数'!$B$8,N203)</x:f>
        <x:v>0.06904109589041095</x:v>
      </x:c>
      <x:c r="Q203" s="36" t="n">
        <x:f>IFERROR(O203*D203,"")</x:f>
        <x:v>3.5616438356164384</x:v>
      </x:c>
      <x:c r="R203" s="36" t="n">
        <x:f>IFERROR(Q203-P203,"")</x:f>
        <x:v>3.4926027397260273</x:v>
      </x:c>
      <x:c r="S203" s="41" t="n">
        <x:f>IFERROR(R203/Q203,"")</x:f>
        <x:v>0.9806153846153846</x:v>
      </x:c>
      <x:c r="T203" s="33" t="s">
        <x:v>224</x:v>
      </x:c>
      <x:c r="U203" s="17" t="s">
        <x:v>1162</x:v>
      </x:c>
    </x:row>
    <x:row r="204" ht="26.350000381469727" customHeight="1">
      <x:c r="A204" s="29" t="s">
        <x:v>1361</x:v>
      </x:c>
      <x:c r="B204" s="29" t="s">
        <x:v>276</x:v>
      </x:c>
      <x:c r="C204" s="29" t="s">
        <x:v>727</x:v>
      </x:c>
      <x:c r="D204" s="40" t="s">
        <x:v>151</x:v>
      </x:c>
      <x:c r="E204" s="40">
        <x:v>4</x:v>
      </x:c>
      <x:c r="F204" s="40">
        <x:v>4</x:v>
      </x:c>
      <x:c r="G204" s="33" t="s">
        <x:v>230</x:v>
      </x:c>
      <x:c r="H204" s="33" t="s">
        <x:v>264</x:v>
      </x:c>
      <x:c r="I204" s="33" t="n">
        <x:f>IFERROR(XLOOKUP(G204,'模型SKU'!$A$5:$A$504,'模型SKU'!$E$5:$E$504),"")</x:f>
        <x:v>3840</x:v>
      </x:c>
      <x:c r="J204" s="33" t="n">
        <x:f>IFERROR(XLOOKUP(G204,'模型SKU'!$A$5:$A$504,'模型SKU'!$F$5:$F$504),"")</x:f>
        <x:v>2160</x:v>
      </x:c>
      <x:c r="K204" s="33" t="n">
        <x:f>IFERROR(XLOOKUP(G204,'模型SKU'!$A$5:$A$504,'模型SKU'!$G$5:$G$504),"")</x:f>
        <x:v>24</x:v>
      </x:c>
      <x:c r="L204" s="35" t="n">
        <x:f>IFERROR((E204+F204)*I204*J204*K204/'参数'!$B$7,0)</x:f>
        <x:v>1555200</x:v>
      </x:c>
      <x:c r="M204" s="33" t="s">
        <x:v>318</x:v>
      </x:c>
      <x:c r="N204" s="36" t="n">
        <x:f>IFERROR(XLOOKUP(C204,'渠道成本'!$A$5:$A$1004,'渠道成本'!$U$5:$U$1004),"")</x:f>
        <x:v>0.06904109589041095</x:v>
      </x:c>
      <x:c r="O204" s="36" t="n">
        <x:f>IFERROR(XLOOKUP(B204,'官方售价'!$A$5:$A$504,'官方售价'!$M$5:$M$504),"")</x:f>
        <x:v>2.191780821917808</x:v>
      </x:c>
      <x:c r="P204" s="36" t="n">
        <x:f>IF(M204="per_token",N204*L204/'参数'!$B$8,N204)</x:f>
        <x:v>0.06904109589041095</x:v>
      </x:c>
      <x:c r="Q204" s="36" t="n">
        <x:f>IFERROR(O204*D204,"")</x:f>
        <x:v>2.191780821917808</x:v>
      </x:c>
      <x:c r="R204" s="36" t="n">
        <x:f>IFERROR(Q204-P204,"")</x:f>
        <x:v>2.122739726027397</x:v>
      </x:c>
      <x:c r="S204" s="41" t="n">
        <x:f>IFERROR(R204/Q204,"")</x:f>
        <x:v>0.9684999999999999</x:v>
      </x:c>
      <x:c r="T204" s="33" t="s">
        <x:v>224</x:v>
      </x:c>
      <x:c r="U204" s="17" t="s">
        <x:v>1162</x:v>
      </x:c>
    </x:row>
    <x:row r="205" ht="26.350000381469727" customHeight="1">
      <x:c r="A205" s="29" t="s">
        <x:v>1362</x:v>
      </x:c>
      <x:c r="B205" s="29" t="s">
        <x:v>283</x:v>
      </x:c>
      <x:c r="C205" s="29" t="s">
        <x:v>728</x:v>
      </x:c>
      <x:c r="D205" s="40" t="s">
        <x:v>151</x:v>
      </x:c>
      <x:c r="E205" s="40">
        <x:v>4</x:v>
      </x:c>
      <x:c r="F205" s="40">
        <x:v>4</x:v>
      </x:c>
      <x:c r="G205" s="33" t="s">
        <x:v>234</x:v>
      </x:c>
      <x:c r="H205" s="33" t="s">
        <x:v>258</x:v>
      </x:c>
      <x:c r="I205" s="33" t="n">
        <x:f>IFERROR(XLOOKUP(G205,'模型SKU'!$A$5:$A$504,'模型SKU'!$E$5:$E$504),"")</x:f>
        <x:v>864</x:v>
      </x:c>
      <x:c r="J205" s="33" t="n">
        <x:f>IFERROR(XLOOKUP(G205,'模型SKU'!$A$5:$A$504,'模型SKU'!$F$5:$F$504),"")</x:f>
        <x:v>496</x:v>
      </x:c>
      <x:c r="K205" s="33" t="n">
        <x:f>IFERROR(XLOOKUP(G205,'模型SKU'!$A$5:$A$504,'模型SKU'!$G$5:$G$504),"")</x:f>
        <x:v>24</x:v>
      </x:c>
      <x:c r="L205" s="35" t="n">
        <x:f>IFERROR((E205+F205)*I205*J205*K205/'参数'!$B$7,0)</x:f>
        <x:v>80352</x:v>
      </x:c>
      <x:c r="M205" s="33" t="s">
        <x:v>331</x:v>
      </x:c>
      <x:c r="N205" s="36" t="n">
        <x:f>IFERROR(XLOOKUP(C205,'渠道成本'!$A$5:$A$1004,'渠道成本'!$U$5:$U$1004),"")</x:f>
        <x:v>0.3835616438356164</x:v>
      </x:c>
      <x:c r="O205" s="36" t="n">
        <x:f>IFERROR(XLOOKUP(B205,'官方售价'!$A$5:$A$504,'官方售价'!$M$5:$M$504),"")</x:f>
        <x:v>5.068493150684931</x:v>
      </x:c>
      <x:c r="P205" s="36" t="n">
        <x:f>IF(M205="per_token",N205*L205/'参数'!$B$8,N205)</x:f>
        <x:v>0.3835616438356164</x:v>
      </x:c>
      <x:c r="Q205" s="36" t="n">
        <x:f>IFERROR(O205*D205,"")</x:f>
        <x:v>5.068493150684931</x:v>
      </x:c>
      <x:c r="R205" s="36" t="n">
        <x:f>IFERROR(Q205-P205,"")</x:f>
        <x:v>4.684931506849315</x:v>
      </x:c>
      <x:c r="S205" s="41" t="n">
        <x:f>IFERROR(R205/Q205,"")</x:f>
        <x:v>0.9243243243243243</x:v>
      </x:c>
      <x:c r="T205" s="33" t="s">
        <x:v>224</x:v>
      </x:c>
      <x:c r="U205" s="17" t="s">
        <x:v>1162</x:v>
      </x:c>
    </x:row>
    <x:row r="206" ht="26.350000381469727" customHeight="1">
      <x:c r="A206" s="29" t="s">
        <x:v>1363</x:v>
      </x:c>
      <x:c r="B206" s="29" t="s">
        <x:v>286</x:v>
      </x:c>
      <x:c r="C206" s="29" t="s">
        <x:v>732</x:v>
      </x:c>
      <x:c r="D206" s="40" t="s">
        <x:v>151</x:v>
      </x:c>
      <x:c r="E206" s="40">
        <x:v>4</x:v>
      </x:c>
      <x:c r="F206" s="40">
        <x:v>4</x:v>
      </x:c>
      <x:c r="G206" s="33" t="s">
        <x:v>234</x:v>
      </x:c>
      <x:c r="H206" s="33" t="s">
        <x:v>264</x:v>
      </x:c>
      <x:c r="I206" s="33" t="n">
        <x:f>IFERROR(XLOOKUP(G206,'模型SKU'!$A$5:$A$504,'模型SKU'!$E$5:$E$504),"")</x:f>
        <x:v>864</x:v>
      </x:c>
      <x:c r="J206" s="33" t="n">
        <x:f>IFERROR(XLOOKUP(G206,'模型SKU'!$A$5:$A$504,'模型SKU'!$F$5:$F$504),"")</x:f>
        <x:v>496</x:v>
      </x:c>
      <x:c r="K206" s="33" t="n">
        <x:f>IFERROR(XLOOKUP(G206,'模型SKU'!$A$5:$A$504,'模型SKU'!$G$5:$G$504),"")</x:f>
        <x:v>24</x:v>
      </x:c>
      <x:c r="L206" s="35" t="n">
        <x:f>IFERROR((E206+F206)*I206*J206*K206/'参数'!$B$7,0)</x:f>
        <x:v>80352</x:v>
      </x:c>
      <x:c r="M206" s="33" t="s">
        <x:v>331</x:v>
      </x:c>
      <x:c r="N206" s="36" t="n">
        <x:f>IFERROR(XLOOKUP(C206,'渠道成本'!$A$5:$A$1004,'渠道成本'!$U$5:$U$1004),"")</x:f>
        <x:v>0.3835616438356164</x:v>
      </x:c>
      <x:c r="O206" s="36" t="n">
        <x:f>IFERROR(XLOOKUP(B206,'官方售价'!$A$5:$A$504,'官方售价'!$M$5:$M$504),"")</x:f>
        <x:v>3.013698630136986</x:v>
      </x:c>
      <x:c r="P206" s="36" t="n">
        <x:f>IF(M206="per_token",N206*L206/'参数'!$B$8,N206)</x:f>
        <x:v>0.3835616438356164</x:v>
      </x:c>
      <x:c r="Q206" s="36" t="n">
        <x:f>IFERROR(O206*D206,"")</x:f>
        <x:v>3.013698630136986</x:v>
      </x:c>
      <x:c r="R206" s="36" t="n">
        <x:f>IFERROR(Q206-P206,"")</x:f>
        <x:v>2.6301369863013697</x:v>
      </x:c>
      <x:c r="S206" s="41" t="n">
        <x:f>IFERROR(R206/Q206,"")</x:f>
        <x:v>0.8727272727272728</x:v>
      </x:c>
      <x:c r="T206" s="33" t="s">
        <x:v>224</x:v>
      </x:c>
      <x:c r="U206" s="17" t="s">
        <x:v>1162</x:v>
      </x:c>
    </x:row>
    <x:row r="207" ht="26.350000381469727" customHeight="1">
      <x:c r="A207" s="29" t="s">
        <x:v>1364</x:v>
      </x:c>
      <x:c r="B207" s="29" t="s">
        <x:v>289</x:v>
      </x:c>
      <x:c r="C207" s="29" t="s">
        <x:v>733</x:v>
      </x:c>
      <x:c r="D207" s="40" t="s">
        <x:v>151</x:v>
      </x:c>
      <x:c r="E207" s="40">
        <x:v>4</x:v>
      </x:c>
      <x:c r="F207" s="40">
        <x:v>4</x:v>
      </x:c>
      <x:c r="G207" s="33" t="s">
        <x:v>238</x:v>
      </x:c>
      <x:c r="H207" s="33" t="s">
        <x:v>258</x:v>
      </x:c>
      <x:c r="I207" s="33" t="n">
        <x:f>IFERROR(XLOOKUP(G207,'模型SKU'!$A$5:$A$504,'模型SKU'!$E$5:$E$504),"")</x:f>
        <x:v>1280</x:v>
      </x:c>
      <x:c r="J207" s="33" t="n">
        <x:f>IFERROR(XLOOKUP(G207,'模型SKU'!$A$5:$A$504,'模型SKU'!$F$5:$F$504),"")</x:f>
        <x:v>720</x:v>
      </x:c>
      <x:c r="K207" s="33" t="n">
        <x:f>IFERROR(XLOOKUP(G207,'模型SKU'!$A$5:$A$504,'模型SKU'!$G$5:$G$504),"")</x:f>
        <x:v>24</x:v>
      </x:c>
      <x:c r="L207" s="35" t="n">
        <x:f>IFERROR((E207+F207)*I207*J207*K207/'参数'!$B$7,0)</x:f>
        <x:v>172800</x:v>
      </x:c>
      <x:c r="M207" s="33" t="s">
        <x:v>331</x:v>
      </x:c>
      <x:c r="N207" s="36" t="n">
        <x:f>IFERROR(XLOOKUP(C207,'渠道成本'!$A$5:$A$1004,'渠道成本'!$U$5:$U$1004),"")</x:f>
        <x:v>0.6712328767123288</x:v>
      </x:c>
      <x:c r="O207" s="36" t="n">
        <x:f>IFERROR(XLOOKUP(B207,'官方售价'!$A$5:$A$504,'官方售价'!$M$5:$M$504),"")</x:f>
        <x:v>5.068493150684931</x:v>
      </x:c>
      <x:c r="P207" s="36" t="n">
        <x:f>IF(M207="per_token",N207*L207/'参数'!$B$8,N207)</x:f>
        <x:v>0.6712328767123288</x:v>
      </x:c>
      <x:c r="Q207" s="36" t="n">
        <x:f>IFERROR(O207*D207,"")</x:f>
        <x:v>5.068493150684931</x:v>
      </x:c>
      <x:c r="R207" s="36" t="n">
        <x:f>IFERROR(Q207-P207,"")</x:f>
        <x:v>4.397260273972602</x:v>
      </x:c>
      <x:c r="S207" s="41" t="n">
        <x:f>IFERROR(R207/Q207,"")</x:f>
        <x:v>0.8675675675675675</x:v>
      </x:c>
      <x:c r="T207" s="33" t="s">
        <x:v>224</x:v>
      </x:c>
      <x:c r="U207" s="17" t="s">
        <x:v>1162</x:v>
      </x:c>
    </x:row>
    <x:row r="208" ht="26.350000381469727" customHeight="1">
      <x:c r="A208" s="29" t="s">
        <x:v>1365</x:v>
      </x:c>
      <x:c r="B208" s="29" t="s">
        <x:v>291</x:v>
      </x:c>
      <x:c r="C208" s="29" t="s">
        <x:v>734</x:v>
      </x:c>
      <x:c r="D208" s="40" t="s">
        <x:v>151</x:v>
      </x:c>
      <x:c r="E208" s="40">
        <x:v>4</x:v>
      </x:c>
      <x:c r="F208" s="40">
        <x:v>4</x:v>
      </x:c>
      <x:c r="G208" s="33" t="s">
        <x:v>238</x:v>
      </x:c>
      <x:c r="H208" s="33" t="s">
        <x:v>264</x:v>
      </x:c>
      <x:c r="I208" s="33" t="n">
        <x:f>IFERROR(XLOOKUP(G208,'模型SKU'!$A$5:$A$504,'模型SKU'!$E$5:$E$504),"")</x:f>
        <x:v>1280</x:v>
      </x:c>
      <x:c r="J208" s="33" t="n">
        <x:f>IFERROR(XLOOKUP(G208,'模型SKU'!$A$5:$A$504,'模型SKU'!$F$5:$F$504),"")</x:f>
        <x:v>720</x:v>
      </x:c>
      <x:c r="K208" s="33" t="n">
        <x:f>IFERROR(XLOOKUP(G208,'模型SKU'!$A$5:$A$504,'模型SKU'!$G$5:$G$504),"")</x:f>
        <x:v>24</x:v>
      </x:c>
      <x:c r="L208" s="35" t="n">
        <x:f>IFERROR((E208+F208)*I208*J208*K208/'参数'!$B$7,0)</x:f>
        <x:v>172800</x:v>
      </x:c>
      <x:c r="M208" s="33" t="s">
        <x:v>331</x:v>
      </x:c>
      <x:c r="N208" s="36" t="n">
        <x:f>IFERROR(XLOOKUP(C208,'渠道成本'!$A$5:$A$1004,'渠道成本'!$U$5:$U$1004),"")</x:f>
        <x:v>0.6712328767123288</x:v>
      </x:c>
      <x:c r="O208" s="36" t="n">
        <x:f>IFERROR(XLOOKUP(B208,'官方售价'!$A$5:$A$504,'官方售价'!$M$5:$M$504),"")</x:f>
        <x:v>3.013698630136986</x:v>
      </x:c>
      <x:c r="P208" s="36" t="n">
        <x:f>IF(M208="per_token",N208*L208/'参数'!$B$8,N208)</x:f>
        <x:v>0.6712328767123288</x:v>
      </x:c>
      <x:c r="Q208" s="36" t="n">
        <x:f>IFERROR(O208*D208,"")</x:f>
        <x:v>3.013698630136986</x:v>
      </x:c>
      <x:c r="R208" s="36" t="n">
        <x:f>IFERROR(Q208-P208,"")</x:f>
        <x:v>2.342465753424657</x:v>
      </x:c>
      <x:c r="S208" s="41" t="n">
        <x:f>IFERROR(R208/Q208,"")</x:f>
        <x:v>0.7772727272727272</x:v>
      </x:c>
      <x:c r="T208" s="33" t="s">
        <x:v>224</x:v>
      </x:c>
      <x:c r="U208" s="17" t="s">
        <x:v>1162</x:v>
      </x:c>
    </x:row>
    <x:row r="209" ht="26.350000381469727" customHeight="1">
      <x:c r="A209" s="29" t="s">
        <x:v>1366</x:v>
      </x:c>
      <x:c r="B209" s="29" t="s">
        <x:v>283</x:v>
      </x:c>
      <x:c r="C209" s="29" t="s">
        <x:v>735</x:v>
      </x:c>
      <x:c r="D209" s="40" t="s">
        <x:v>151</x:v>
      </x:c>
      <x:c r="E209" s="40">
        <x:v>4</x:v>
      </x:c>
      <x:c r="F209" s="40">
        <x:v>4</x:v>
      </x:c>
      <x:c r="G209" s="33" t="s">
        <x:v>234</x:v>
      </x:c>
      <x:c r="H209" s="33" t="s">
        <x:v>258</x:v>
      </x:c>
      <x:c r="I209" s="33" t="n">
        <x:f>IFERROR(XLOOKUP(G209,'模型SKU'!$A$5:$A$504,'模型SKU'!$E$5:$E$504),"")</x:f>
        <x:v>864</x:v>
      </x:c>
      <x:c r="J209" s="33" t="n">
        <x:f>IFERROR(XLOOKUP(G209,'模型SKU'!$A$5:$A$504,'模型SKU'!$F$5:$F$504),"")</x:f>
        <x:v>496</x:v>
      </x:c>
      <x:c r="K209" s="33" t="n">
        <x:f>IFERROR(XLOOKUP(G209,'模型SKU'!$A$5:$A$504,'模型SKU'!$G$5:$G$504),"")</x:f>
        <x:v>24</x:v>
      </x:c>
      <x:c r="L209" s="35" t="n">
        <x:f>IFERROR((E209+F209)*I209*J209*K209/'参数'!$B$7,0)</x:f>
        <x:v>80352</x:v>
      </x:c>
      <x:c r="M209" s="33" t="s">
        <x:v>331</x:v>
      </x:c>
      <x:c r="N209" s="36" t="n">
        <x:f>IFERROR(XLOOKUP(C209,'渠道成本'!$A$5:$A$1004,'渠道成本'!$U$5:$U$1004),"")</x:f>
        <x:v>0.11506849315068492</x:v>
      </x:c>
      <x:c r="O209" s="36" t="n">
        <x:f>IFERROR(XLOOKUP(B209,'官方售价'!$A$5:$A$504,'官方售价'!$M$5:$M$504),"")</x:f>
        <x:v>5.068493150684931</x:v>
      </x:c>
      <x:c r="P209" s="36" t="n">
        <x:f>IF(M209="per_token",N209*L209/'参数'!$B$8,N209)</x:f>
        <x:v>0.11506849315068492</x:v>
      </x:c>
      <x:c r="Q209" s="36" t="n">
        <x:f>IFERROR(O209*D209,"")</x:f>
        <x:v>5.068493150684931</x:v>
      </x:c>
      <x:c r="R209" s="36" t="n">
        <x:f>IFERROR(Q209-P209,"")</x:f>
        <x:v>4.953424657534247</x:v>
      </x:c>
      <x:c r="S209" s="41" t="n">
        <x:f>IFERROR(R209/Q209,"")</x:f>
        <x:v>0.9772972972972973</x:v>
      </x:c>
      <x:c r="T209" s="33" t="s">
        <x:v>224</x:v>
      </x:c>
      <x:c r="U209" s="17" t="s">
        <x:v>1162</x:v>
      </x:c>
    </x:row>
    <x:row r="210" ht="26.350000381469727" customHeight="1">
      <x:c r="A210" s="29" t="s">
        <x:v>1367</x:v>
      </x:c>
      <x:c r="B210" s="29" t="s">
        <x:v>286</x:v>
      </x:c>
      <x:c r="C210" s="29" t="s">
        <x:v>736</x:v>
      </x:c>
      <x:c r="D210" s="40" t="s">
        <x:v>151</x:v>
      </x:c>
      <x:c r="E210" s="40">
        <x:v>4</x:v>
      </x:c>
      <x:c r="F210" s="40">
        <x:v>4</x:v>
      </x:c>
      <x:c r="G210" s="33" t="s">
        <x:v>234</x:v>
      </x:c>
      <x:c r="H210" s="33" t="s">
        <x:v>264</x:v>
      </x:c>
      <x:c r="I210" s="33" t="n">
        <x:f>IFERROR(XLOOKUP(G210,'模型SKU'!$A$5:$A$504,'模型SKU'!$E$5:$E$504),"")</x:f>
        <x:v>864</x:v>
      </x:c>
      <x:c r="J210" s="33" t="n">
        <x:f>IFERROR(XLOOKUP(G210,'模型SKU'!$A$5:$A$504,'模型SKU'!$F$5:$F$504),"")</x:f>
        <x:v>496</x:v>
      </x:c>
      <x:c r="K210" s="33" t="n">
        <x:f>IFERROR(XLOOKUP(G210,'模型SKU'!$A$5:$A$504,'模型SKU'!$G$5:$G$504),"")</x:f>
        <x:v>24</x:v>
      </x:c>
      <x:c r="L210" s="35" t="n">
        <x:f>IFERROR((E210+F210)*I210*J210*K210/'参数'!$B$7,0)</x:f>
        <x:v>80352</x:v>
      </x:c>
      <x:c r="M210" s="33" t="s">
        <x:v>331</x:v>
      </x:c>
      <x:c r="N210" s="36" t="n">
        <x:f>IFERROR(XLOOKUP(C210,'渠道成本'!$A$5:$A$1004,'渠道成本'!$U$5:$U$1004),"")</x:f>
        <x:v>0.11506849315068492</x:v>
      </x:c>
      <x:c r="O210" s="36" t="n">
        <x:f>IFERROR(XLOOKUP(B210,'官方售价'!$A$5:$A$504,'官方售价'!$M$5:$M$504),"")</x:f>
        <x:v>3.013698630136986</x:v>
      </x:c>
      <x:c r="P210" s="36" t="n">
        <x:f>IF(M210="per_token",N210*L210/'参数'!$B$8,N210)</x:f>
        <x:v>0.11506849315068492</x:v>
      </x:c>
      <x:c r="Q210" s="36" t="n">
        <x:f>IFERROR(O210*D210,"")</x:f>
        <x:v>3.013698630136986</x:v>
      </x:c>
      <x:c r="R210" s="36" t="n">
        <x:f>IFERROR(Q210-P210,"")</x:f>
        <x:v>2.898630136986301</x:v>
      </x:c>
      <x:c r="S210" s="41" t="n">
        <x:f>IFERROR(R210/Q210,"")</x:f>
        <x:v>0.9618181818181818</x:v>
      </x:c>
      <x:c r="T210" s="33" t="s">
        <x:v>224</x:v>
      </x:c>
      <x:c r="U210" s="17" t="s">
        <x:v>1162</x:v>
      </x:c>
    </x:row>
    <x:row r="211" ht="26.350000381469727" customHeight="1">
      <x:c r="A211" s="29" t="s">
        <x:v>1368</x:v>
      </x:c>
      <x:c r="B211" s="29" t="s">
        <x:v>289</x:v>
      </x:c>
      <x:c r="C211" s="29" t="s">
        <x:v>737</x:v>
      </x:c>
      <x:c r="D211" s="40" t="s">
        <x:v>151</x:v>
      </x:c>
      <x:c r="E211" s="40">
        <x:v>4</x:v>
      </x:c>
      <x:c r="F211" s="40">
        <x:v>4</x:v>
      </x:c>
      <x:c r="G211" s="33" t="s">
        <x:v>238</x:v>
      </x:c>
      <x:c r="H211" s="33" t="s">
        <x:v>258</x:v>
      </x:c>
      <x:c r="I211" s="33" t="n">
        <x:f>IFERROR(XLOOKUP(G211,'模型SKU'!$A$5:$A$504,'模型SKU'!$E$5:$E$504),"")</x:f>
        <x:v>1280</x:v>
      </x:c>
      <x:c r="J211" s="33" t="n">
        <x:f>IFERROR(XLOOKUP(G211,'模型SKU'!$A$5:$A$504,'模型SKU'!$F$5:$F$504),"")</x:f>
        <x:v>720</x:v>
      </x:c>
      <x:c r="K211" s="33" t="n">
        <x:f>IFERROR(XLOOKUP(G211,'模型SKU'!$A$5:$A$504,'模型SKU'!$G$5:$G$504),"")</x:f>
        <x:v>24</x:v>
      </x:c>
      <x:c r="L211" s="35" t="n">
        <x:f>IFERROR((E211+F211)*I211*J211*K211/'参数'!$B$7,0)</x:f>
        <x:v>172800</x:v>
      </x:c>
      <x:c r="M211" s="33" t="s">
        <x:v>331</x:v>
      </x:c>
      <x:c r="N211" s="36" t="n">
        <x:f>IFERROR(XLOOKUP(C211,'渠道成本'!$A$5:$A$1004,'渠道成本'!$U$5:$U$1004),"")</x:f>
        <x:v>0.2013698630136986</x:v>
      </x:c>
      <x:c r="O211" s="36" t="n">
        <x:f>IFERROR(XLOOKUP(B211,'官方售价'!$A$5:$A$504,'官方售价'!$M$5:$M$504),"")</x:f>
        <x:v>5.068493150684931</x:v>
      </x:c>
      <x:c r="P211" s="36" t="n">
        <x:f>IF(M211="per_token",N211*L211/'参数'!$B$8,N211)</x:f>
        <x:v>0.2013698630136986</x:v>
      </x:c>
      <x:c r="Q211" s="36" t="n">
        <x:f>IFERROR(O211*D211,"")</x:f>
        <x:v>5.068493150684931</x:v>
      </x:c>
      <x:c r="R211" s="36" t="n">
        <x:f>IFERROR(Q211-P211,"")</x:f>
        <x:v>4.867123287671233</x:v>
      </x:c>
      <x:c r="S211" s="41" t="n">
        <x:f>IFERROR(R211/Q211,"")</x:f>
        <x:v>0.9602702702702703</x:v>
      </x:c>
      <x:c r="T211" s="33" t="s">
        <x:v>224</x:v>
      </x:c>
      <x:c r="U211" s="17" t="s">
        <x:v>1162</x:v>
      </x:c>
    </x:row>
    <x:row r="212" ht="26.350000381469727" customHeight="1">
      <x:c r="A212" s="29" t="s">
        <x:v>1369</x:v>
      </x:c>
      <x:c r="B212" s="29" t="s">
        <x:v>291</x:v>
      </x:c>
      <x:c r="C212" s="29" t="s">
        <x:v>738</x:v>
      </x:c>
      <x:c r="D212" s="40" t="s">
        <x:v>151</x:v>
      </x:c>
      <x:c r="E212" s="40">
        <x:v>4</x:v>
      </x:c>
      <x:c r="F212" s="40">
        <x:v>4</x:v>
      </x:c>
      <x:c r="G212" s="33" t="s">
        <x:v>238</x:v>
      </x:c>
      <x:c r="H212" s="33" t="s">
        <x:v>264</x:v>
      </x:c>
      <x:c r="I212" s="33" t="n">
        <x:f>IFERROR(XLOOKUP(G212,'模型SKU'!$A$5:$A$504,'模型SKU'!$E$5:$E$504),"")</x:f>
        <x:v>1280</x:v>
      </x:c>
      <x:c r="J212" s="33" t="n">
        <x:f>IFERROR(XLOOKUP(G212,'模型SKU'!$A$5:$A$504,'模型SKU'!$F$5:$F$504),"")</x:f>
        <x:v>720</x:v>
      </x:c>
      <x:c r="K212" s="33" t="n">
        <x:f>IFERROR(XLOOKUP(G212,'模型SKU'!$A$5:$A$504,'模型SKU'!$G$5:$G$504),"")</x:f>
        <x:v>24</x:v>
      </x:c>
      <x:c r="L212" s="35" t="n">
        <x:f>IFERROR((E212+F212)*I212*J212*K212/'参数'!$B$7,0)</x:f>
        <x:v>172800</x:v>
      </x:c>
      <x:c r="M212" s="33" t="s">
        <x:v>331</x:v>
      </x:c>
      <x:c r="N212" s="36" t="n">
        <x:f>IFERROR(XLOOKUP(C212,'渠道成本'!$A$5:$A$1004,'渠道成本'!$U$5:$U$1004),"")</x:f>
        <x:v>0.2013698630136986</x:v>
      </x:c>
      <x:c r="O212" s="36" t="n">
        <x:f>IFERROR(XLOOKUP(B212,'官方售价'!$A$5:$A$504,'官方售价'!$M$5:$M$504),"")</x:f>
        <x:v>3.013698630136986</x:v>
      </x:c>
      <x:c r="P212" s="36" t="n">
        <x:f>IF(M212="per_token",N212*L212/'参数'!$B$8,N212)</x:f>
        <x:v>0.2013698630136986</x:v>
      </x:c>
      <x:c r="Q212" s="36" t="n">
        <x:f>IFERROR(O212*D212,"")</x:f>
        <x:v>3.013698630136986</x:v>
      </x:c>
      <x:c r="R212" s="36" t="n">
        <x:f>IFERROR(Q212-P212,"")</x:f>
        <x:v>2.8123287671232875</x:v>
      </x:c>
      <x:c r="S212" s="41" t="n">
        <x:f>IFERROR(R212/Q212,"")</x:f>
        <x:v>0.9331818181818182</x:v>
      </x:c>
      <x:c r="T212" s="33" t="s">
        <x:v>224</x:v>
      </x:c>
      <x:c r="U212" s="17" t="s">
        <x:v>1162</x:v>
      </x:c>
    </x:row>
    <x:row r="213">
      <x:c r="A213" t="s">
        <x:v>1370</x:v>
      </x:c>
      <x:c r="B213" t="s">
        <x:v>293</x:v>
      </x:c>
      <x:c r="C213" t="s">
        <x:v>739</x:v>
      </x:c>
      <x:c r="D213" t="s">
        <x:v>151</x:v>
      </x:c>
      <x:c r="E213">
        <x:v>4</x:v>
      </x:c>
      <x:c r="F213">
        <x:v>4</x:v>
      </x:c>
      <x:c r="G213" t="s">
        <x:v>240</x:v>
      </x:c>
      <x:c r="H213" t="s">
        <x:v>258</x:v>
      </x:c>
      <x:c r="I213" t="n">
        <x:f>IFERROR(XLOOKUP(G213,'模型SKU'!$A$5:$A$504,'模型SKU'!$E$5:$E$504),"")</x:f>
        <x:v>864</x:v>
      </x:c>
      <x:c r="J213" t="n">
        <x:f>IFERROR(XLOOKUP(G213,'模型SKU'!$A$5:$A$504,'模型SKU'!$F$5:$F$504),"")</x:f>
        <x:v>496</x:v>
      </x:c>
      <x:c r="K213" t="n">
        <x:f>IFERROR(XLOOKUP(G213,'模型SKU'!$A$5:$A$504,'模型SKU'!$G$5:$G$504),"")</x:f>
        <x:v>24</x:v>
      </x:c>
      <x:c r="L213" t="n">
        <x:f>IFERROR((E213+F213)*I213*J213*K213/'参数'!$B$7,0)</x:f>
        <x:v>80352</x:v>
      </x:c>
      <x:c r="M213" t="s">
        <x:v>331</x:v>
      </x:c>
      <x:c r="N213" t="n">
        <x:f>IFERROR(XLOOKUP(C213,'渠道成本'!$A$5:$A$1004,'渠道成本'!$U$5:$U$1004),"")</x:f>
        <x:v>0.2876712328767123</x:v>
      </x:c>
      <x:c r="O213" t="n">
        <x:f>IFERROR(XLOOKUP(B213,'官方售价'!$A$5:$A$504,'官方售价'!$M$5:$M$504),"")</x:f>
        <x:v>3.150684931506849</x:v>
      </x:c>
      <x:c r="P213" t="n">
        <x:f>IF(M213="per_token",N213*L213/'参数'!$B$8,N213)</x:f>
        <x:v>0.2876712328767123</x:v>
      </x:c>
      <x:c r="Q213" t="n">
        <x:f>IFERROR(O213*D213,"")</x:f>
        <x:v>3.150684931506849</x:v>
      </x:c>
      <x:c r="R213" t="n">
        <x:f>IFERROR(Q213-P213,"")</x:f>
        <x:v>2.863013698630137</x:v>
      </x:c>
      <x:c r="S213" t="n">
        <x:f>IFERROR(R213/Q213,"")</x:f>
        <x:v>0.9086956521739131</x:v>
      </x:c>
      <x:c r="T213" t="s">
        <x:v>224</x:v>
      </x:c>
      <x:c r="U213" t="s">
        <x:v>1162</x:v>
      </x:c>
    </x:row>
    <x:row r="214">
      <x:c r="A214" t="s">
        <x:v>1371</x:v>
      </x:c>
      <x:c r="B214" t="s">
        <x:v>296</x:v>
      </x:c>
      <x:c r="C214" t="s">
        <x:v>742</x:v>
      </x:c>
      <x:c r="D214" t="s">
        <x:v>151</x:v>
      </x:c>
      <x:c r="E214">
        <x:v>4</x:v>
      </x:c>
      <x:c r="F214">
        <x:v>4</x:v>
      </x:c>
      <x:c r="G214" t="s">
        <x:v>240</x:v>
      </x:c>
      <x:c r="H214" t="s">
        <x:v>264</x:v>
      </x:c>
      <x:c r="I214" t="n">
        <x:f>IFERROR(XLOOKUP(G214,'模型SKU'!$A$5:$A$504,'模型SKU'!$E$5:$E$504),"")</x:f>
        <x:v>864</x:v>
      </x:c>
      <x:c r="J214" t="n">
        <x:f>IFERROR(XLOOKUP(G214,'模型SKU'!$A$5:$A$504,'模型SKU'!$F$5:$F$504),"")</x:f>
        <x:v>496</x:v>
      </x:c>
      <x:c r="K214" t="n">
        <x:f>IFERROR(XLOOKUP(G214,'模型SKU'!$A$5:$A$504,'模型SKU'!$G$5:$G$504),"")</x:f>
        <x:v>24</x:v>
      </x:c>
      <x:c r="L214" t="n">
        <x:f>IFERROR((E214+F214)*I214*J214*K214/'参数'!$B$7,0)</x:f>
        <x:v>80352</x:v>
      </x:c>
      <x:c r="M214" t="s">
        <x:v>331</x:v>
      </x:c>
      <x:c r="N214" t="n">
        <x:f>IFERROR(XLOOKUP(C214,'渠道成本'!$A$5:$A$1004,'渠道成本'!$U$5:$U$1004),"")</x:f>
        <x:v>0.2876712328767123</x:v>
      </x:c>
      <x:c r="O214" t="n">
        <x:f>IFERROR(XLOOKUP(B214,'官方售价'!$A$5:$A$504,'官方售价'!$M$5:$M$504),"")</x:f>
        <x:v>1.917808219178082</x:v>
      </x:c>
      <x:c r="P214" t="n">
        <x:f>IF(M214="per_token",N214*L214/'参数'!$B$8,N214)</x:f>
        <x:v>0.2876712328767123</x:v>
      </x:c>
      <x:c r="Q214" t="n">
        <x:f>IFERROR(O214*D214,"")</x:f>
        <x:v>1.917808219178082</x:v>
      </x:c>
      <x:c r="R214" t="n">
        <x:f>IFERROR(Q214-P214,"")</x:f>
        <x:v>1.6301369863013697</x:v>
      </x:c>
      <x:c r="S214" t="n">
        <x:f>IFERROR(R214/Q214,"")</x:f>
        <x:v>0.85</x:v>
      </x:c>
      <x:c r="T214" t="s">
        <x:v>224</x:v>
      </x:c>
      <x:c r="U214" t="s">
        <x:v>1162</x:v>
      </x:c>
    </x:row>
    <x:row r="215">
      <x:c r="A215" t="s">
        <x:v>1372</x:v>
      </x:c>
      <x:c r="B215" t="s">
        <x:v>299</x:v>
      </x:c>
      <x:c r="C215" t="s">
        <x:v>743</x:v>
      </x:c>
      <x:c r="D215" t="s">
        <x:v>151</x:v>
      </x:c>
      <x:c r="E215">
        <x:v>4</x:v>
      </x:c>
      <x:c r="F215">
        <x:v>4</x:v>
      </x:c>
      <x:c r="G215" t="s">
        <x:v>244</x:v>
      </x:c>
      <x:c r="H215" t="s">
        <x:v>258</x:v>
      </x:c>
      <x:c r="I215" t="n">
        <x:f>IFERROR(XLOOKUP(G215,'模型SKU'!$A$5:$A$504,'模型SKU'!$E$5:$E$504),"")</x:f>
        <x:v>1280</x:v>
      </x:c>
      <x:c r="J215" t="n">
        <x:f>IFERROR(XLOOKUP(G215,'模型SKU'!$A$5:$A$504,'模型SKU'!$F$5:$F$504),"")</x:f>
        <x:v>720</x:v>
      </x:c>
      <x:c r="K215" t="n">
        <x:f>IFERROR(XLOOKUP(G215,'模型SKU'!$A$5:$A$504,'模型SKU'!$G$5:$G$504),"")</x:f>
        <x:v>24</x:v>
      </x:c>
      <x:c r="L215" t="n">
        <x:f>IFERROR((E215+F215)*I215*J215*K215/'参数'!$B$7,0)</x:f>
        <x:v>172800</x:v>
      </x:c>
      <x:c r="M215" t="s">
        <x:v>331</x:v>
      </x:c>
      <x:c r="N215" t="n">
        <x:f>IFERROR(XLOOKUP(C215,'渠道成本'!$A$5:$A$1004,'渠道成本'!$U$5:$U$1004),"")</x:f>
        <x:v>0.4794520547945205</x:v>
      </x:c>
      <x:c r="O215" t="n">
        <x:f>IFERROR(XLOOKUP(B215,'官方售价'!$A$5:$A$504,'官方售价'!$M$5:$M$504),"")</x:f>
        <x:v>3.150684931506849</x:v>
      </x:c>
      <x:c r="P215" t="n">
        <x:f>IF(M215="per_token",N215*L215/'参数'!$B$8,N215)</x:f>
        <x:v>0.4794520547945205</x:v>
      </x:c>
      <x:c r="Q215" t="n">
        <x:f>IFERROR(O215*D215,"")</x:f>
        <x:v>3.150684931506849</x:v>
      </x:c>
      <x:c r="R215" t="n">
        <x:f>IFERROR(Q215-P215,"")</x:f>
        <x:v>2.6712328767123283</x:v>
      </x:c>
      <x:c r="S215" t="n">
        <x:f>IFERROR(R215/Q215,"")</x:f>
        <x:v>0.8478260869565217</x:v>
      </x:c>
      <x:c r="T215" t="s">
        <x:v>224</x:v>
      </x:c>
      <x:c r="U215" t="s">
        <x:v>1162</x:v>
      </x:c>
    </x:row>
    <x:row r="216">
      <x:c r="A216" t="s">
        <x:v>1373</x:v>
      </x:c>
      <x:c r="B216" t="s">
        <x:v>301</x:v>
      </x:c>
      <x:c r="C216" t="s">
        <x:v>744</x:v>
      </x:c>
      <x:c r="D216" t="s">
        <x:v>151</x:v>
      </x:c>
      <x:c r="E216">
        <x:v>4</x:v>
      </x:c>
      <x:c r="F216">
        <x:v>4</x:v>
      </x:c>
      <x:c r="G216" t="s">
        <x:v>244</x:v>
      </x:c>
      <x:c r="H216" t="s">
        <x:v>264</x:v>
      </x:c>
      <x:c r="I216" t="n">
        <x:f>IFERROR(XLOOKUP(G216,'模型SKU'!$A$5:$A$504,'模型SKU'!$E$5:$E$504),"")</x:f>
        <x:v>1280</x:v>
      </x:c>
      <x:c r="J216" t="n">
        <x:f>IFERROR(XLOOKUP(G216,'模型SKU'!$A$5:$A$504,'模型SKU'!$F$5:$F$504),"")</x:f>
        <x:v>720</x:v>
      </x:c>
      <x:c r="K216" t="n">
        <x:f>IFERROR(XLOOKUP(G216,'模型SKU'!$A$5:$A$504,'模型SKU'!$G$5:$G$504),"")</x:f>
        <x:v>24</x:v>
      </x:c>
      <x:c r="L216" t="n">
        <x:f>IFERROR((E216+F216)*I216*J216*K216/'参数'!$B$7,0)</x:f>
        <x:v>172800</x:v>
      </x:c>
      <x:c r="M216" t="s">
        <x:v>331</x:v>
      </x:c>
      <x:c r="N216" t="n">
        <x:f>IFERROR(XLOOKUP(C216,'渠道成本'!$A$5:$A$1004,'渠道成本'!$U$5:$U$1004),"")</x:f>
        <x:v>0.4794520547945205</x:v>
      </x:c>
      <x:c r="O216" t="n">
        <x:f>IFERROR(XLOOKUP(B216,'官方售价'!$A$5:$A$504,'官方售价'!$M$5:$M$504),"")</x:f>
        <x:v>1.917808219178082</x:v>
      </x:c>
      <x:c r="P216" t="n">
        <x:f>IF(M216="per_token",N216*L216/'参数'!$B$8,N216)</x:f>
        <x:v>0.4794520547945205</x:v>
      </x:c>
      <x:c r="Q216" t="n">
        <x:f>IFERROR(O216*D216,"")</x:f>
        <x:v>1.917808219178082</x:v>
      </x:c>
      <x:c r="R216" t="n">
        <x:f>IFERROR(Q216-P216,"")</x:f>
        <x:v>1.4383561643835616</x:v>
      </x:c>
      <x:c r="S216" t="n">
        <x:f>IFERROR(R216/Q216,"")</x:f>
        <x:v>0.75</x:v>
      </x:c>
      <x:c r="T216" t="s">
        <x:v>224</x:v>
      </x:c>
      <x:c r="U216" t="s">
        <x:v>1162</x:v>
      </x:c>
    </x:row>
    <x:row r="217">
      <x:c r="A217" t="s">
        <x:v>1374</x:v>
      </x:c>
      <x:c r="B217" t="s">
        <x:v>279</x:v>
      </x:c>
      <x:c r="C217" t="s">
        <x:v>745</x:v>
      </x:c>
      <x:c r="D217" t="s">
        <x:v>151</x:v>
      </x:c>
      <x:c r="E217">
        <x:v>4</x:v>
      </x:c>
      <x:c r="F217">
        <x:v>4</x:v>
      </x:c>
      <x:c r="G217" t="s">
        <x:v>232</x:v>
      </x:c>
      <x:c r="H217" t="s">
        <x:v>258</x:v>
      </x:c>
      <x:c r="I217" t="n">
        <x:f>IFERROR(XLOOKUP(G217,'模型SKU'!$A$5:$A$504,'模型SKU'!$E$5:$E$504),"")</x:f>
        <x:v>1280</x:v>
      </x:c>
      <x:c r="J217" t="n">
        <x:f>IFERROR(XLOOKUP(G217,'模型SKU'!$A$5:$A$504,'模型SKU'!$F$5:$F$504),"")</x:f>
        <x:v>720</x:v>
      </x:c>
      <x:c r="K217" t="n">
        <x:f>IFERROR(XLOOKUP(G217,'模型SKU'!$A$5:$A$504,'模型SKU'!$G$5:$G$504),"")</x:f>
        <x:v>24</x:v>
      </x:c>
      <x:c r="L217" t="n">
        <x:f>IFERROR((E217+F217)*I217*J217*K217/'参数'!$B$7,0)</x:f>
        <x:v>172800</x:v>
      </x:c>
      <x:c r="M217" t="s">
        <x:v>318</x:v>
      </x:c>
      <x:c r="N217" t="n">
        <x:f>IFERROR(XLOOKUP(C217,'渠道成本'!$A$5:$A$1004,'渠道成本'!$U$5:$U$1004),"")</x:f>
        <x:v>0.045205479452054796</x:v>
      </x:c>
      <x:c r="O217" t="n">
        <x:f>IFERROR(XLOOKUP(B217,'官方售价'!$A$5:$A$504,'官方售价'!$M$5:$M$504),"")</x:f>
        <x:v>6.301369863013698</x:v>
      </x:c>
      <x:c r="P217" t="n">
        <x:f>IF(M217="per_token",N217*L217/'参数'!$B$8,N217)</x:f>
        <x:v>0.045205479452054796</x:v>
      </x:c>
      <x:c r="Q217" t="n">
        <x:f>IFERROR(O217*D217,"")</x:f>
        <x:v>6.301369863013698</x:v>
      </x:c>
      <x:c r="R217" t="n">
        <x:f>IFERROR(Q217-P217,"")</x:f>
        <x:v>6.256164383561643</x:v>
      </x:c>
      <x:c r="S217" t="n">
        <x:f>IFERROR(R217/Q217,"")</x:f>
        <x:v>0.9928260869565216</x:v>
      </x:c>
      <x:c r="T217" t="s">
        <x:v>224</x:v>
      </x:c>
      <x:c r="U217" t="s">
        <x:v>1162</x:v>
      </x:c>
    </x:row>
    <x:row r="218">
      <x:c r="A218" t="s">
        <x:v>1375</x:v>
      </x:c>
      <x:c r="B218" t="s">
        <x:v>281</x:v>
      </x:c>
      <x:c r="C218" t="s">
        <x:v>748</x:v>
      </x:c>
      <x:c r="D218" t="s">
        <x:v>151</x:v>
      </x:c>
      <x:c r="E218">
        <x:v>4</x:v>
      </x:c>
      <x:c r="F218">
        <x:v>4</x:v>
      </x:c>
      <x:c r="G218" t="s">
        <x:v>232</x:v>
      </x:c>
      <x:c r="H218" t="s">
        <x:v>264</x:v>
      </x:c>
      <x:c r="I218" t="n">
        <x:f>IFERROR(XLOOKUP(G218,'模型SKU'!$A$5:$A$504,'模型SKU'!$E$5:$E$504),"")</x:f>
        <x:v>1280</x:v>
      </x:c>
      <x:c r="J218" t="n">
        <x:f>IFERROR(XLOOKUP(G218,'模型SKU'!$A$5:$A$504,'模型SKU'!$F$5:$F$504),"")</x:f>
        <x:v>720</x:v>
      </x:c>
      <x:c r="K218" t="n">
        <x:f>IFERROR(XLOOKUP(G218,'模型SKU'!$A$5:$A$504,'模型SKU'!$G$5:$G$504),"")</x:f>
        <x:v>24</x:v>
      </x:c>
      <x:c r="L218" t="n">
        <x:f>IFERROR((E218+F218)*I218*J218*K218/'参数'!$B$7,0)</x:f>
        <x:v>172800</x:v>
      </x:c>
      <x:c r="M218" t="s">
        <x:v>318</x:v>
      </x:c>
      <x:c r="N218" t="n">
        <x:f>IFERROR(XLOOKUP(C218,'渠道成本'!$A$5:$A$1004,'渠道成本'!$U$5:$U$1004),"")</x:f>
        <x:v>0.045205479452054796</x:v>
      </x:c>
      <x:c r="O218" t="n">
        <x:f>IFERROR(XLOOKUP(B218,'官方售价'!$A$5:$A$504,'官方售价'!$M$5:$M$504),"")</x:f>
        <x:v>3.835616438356164</x:v>
      </x:c>
      <x:c r="P218" t="n">
        <x:f>IF(M218="per_token",N218*L218/'参数'!$B$8,N218)</x:f>
        <x:v>0.045205479452054796</x:v>
      </x:c>
      <x:c r="Q218" t="n">
        <x:f>IFERROR(O218*D218,"")</x:f>
        <x:v>3.835616438356164</x:v>
      </x:c>
      <x:c r="R218" t="n">
        <x:f>IFERROR(Q218-P218,"")</x:f>
        <x:v>3.7904109589041095</x:v>
      </x:c>
      <x:c r="S218" t="n">
        <x:f>IFERROR(R218/Q218,"")</x:f>
        <x:v>0.9882142857142857</x:v>
      </x:c>
      <x:c r="T218" t="s">
        <x:v>224</x:v>
      </x:c>
      <x:c r="U218" t="s">
        <x:v>1162</x:v>
      </x:c>
    </x:row>
    <x:row r="219">
      <x:c r="A219" t="s">
        <x:v>1376</x:v>
      </x:c>
      <x:c r="B219" t="s">
        <x:v>267</x:v>
      </x:c>
      <x:c r="C219" t="s">
        <x:v>749</x:v>
      </x:c>
      <x:c r="D219" t="s">
        <x:v>151</x:v>
      </x:c>
      <x:c r="E219">
        <x:v>4</x:v>
      </x:c>
      <x:c r="F219">
        <x:v>4</x:v>
      </x:c>
      <x:c r="G219" t="s">
        <x:v>227</x:v>
      </x:c>
      <x:c r="H219" t="s">
        <x:v>258</x:v>
      </x:c>
      <x:c r="I219" t="n">
        <x:f>IFERROR(XLOOKUP(G219,'模型SKU'!$A$5:$A$504,'模型SKU'!$E$5:$E$504),"")</x:f>
        <x:v>864</x:v>
      </x:c>
      <x:c r="J219" t="n">
        <x:f>IFERROR(XLOOKUP(G219,'模型SKU'!$A$5:$A$504,'模型SKU'!$F$5:$F$504),"")</x:f>
        <x:v>496</x:v>
      </x:c>
      <x:c r="K219" t="n">
        <x:f>IFERROR(XLOOKUP(G219,'模型SKU'!$A$5:$A$504,'模型SKU'!$G$5:$G$504),"")</x:f>
        <x:v>24</x:v>
      </x:c>
      <x:c r="L219" t="n">
        <x:f>IFERROR((E219+F219)*I219*J219*K219/'参数'!$B$7,0)</x:f>
        <x:v>80352</x:v>
      </x:c>
      <x:c r="M219" t="s">
        <x:v>318</x:v>
      </x:c>
      <x:c r="N219" t="n">
        <x:f>IFERROR(XLOOKUP(C219,'渠道成本'!$A$5:$A$1004,'渠道成本'!$U$5:$U$1004),"")</x:f>
        <x:v>0.031506849315068496</x:v>
      </x:c>
      <x:c r="O219" t="n">
        <x:f>IFERROR(XLOOKUP(B219,'官方售价'!$A$5:$A$504,'官方售价'!$M$5:$M$504),"")</x:f>
        <x:v>6.301369863013698</x:v>
      </x:c>
      <x:c r="P219" t="n">
        <x:f>IF(M219="per_token",N219*L219/'参数'!$B$8,N219)</x:f>
        <x:v>0.031506849315068496</x:v>
      </x:c>
      <x:c r="Q219" t="n">
        <x:f>IFERROR(O219*D219,"")</x:f>
        <x:v>6.301369863013698</x:v>
      </x:c>
      <x:c r="R219" t="n">
        <x:f>IFERROR(Q219-P219,"")</x:f>
        <x:v>6.26986301369863</x:v>
      </x:c>
      <x:c r="S219" t="n">
        <x:f>IFERROR(R219/Q219,"")</x:f>
        <x:v>0.995</x:v>
      </x:c>
      <x:c r="T219" t="s">
        <x:v>224</x:v>
      </x:c>
      <x:c r="U219" t="s">
        <x:v>1162</x:v>
      </x:c>
    </x:row>
    <x:row r="220">
      <x:c r="A220" t="s">
        <x:v>1377</x:v>
      </x:c>
      <x:c r="B220" t="s">
        <x:v>270</x:v>
      </x:c>
      <x:c r="C220" t="s">
        <x:v>751</x:v>
      </x:c>
      <x:c r="D220" t="s">
        <x:v>151</x:v>
      </x:c>
      <x:c r="E220">
        <x:v>4</x:v>
      </x:c>
      <x:c r="F220">
        <x:v>4</x:v>
      </x:c>
      <x:c r="G220" t="s">
        <x:v>227</x:v>
      </x:c>
      <x:c r="H220" t="s">
        <x:v>264</x:v>
      </x:c>
      <x:c r="I220" t="n">
        <x:f>IFERROR(XLOOKUP(G220,'模型SKU'!$A$5:$A$504,'模型SKU'!$E$5:$E$504),"")</x:f>
        <x:v>864</x:v>
      </x:c>
      <x:c r="J220" t="n">
        <x:f>IFERROR(XLOOKUP(G220,'模型SKU'!$A$5:$A$504,'模型SKU'!$F$5:$F$504),"")</x:f>
        <x:v>496</x:v>
      </x:c>
      <x:c r="K220" t="n">
        <x:f>IFERROR(XLOOKUP(G220,'模型SKU'!$A$5:$A$504,'模型SKU'!$G$5:$G$504),"")</x:f>
        <x:v>24</x:v>
      </x:c>
      <x:c r="L220" t="n">
        <x:f>IFERROR((E220+F220)*I220*J220*K220/'参数'!$B$7,0)</x:f>
        <x:v>80352</x:v>
      </x:c>
      <x:c r="M220" t="s">
        <x:v>318</x:v>
      </x:c>
      <x:c r="N220" t="n">
        <x:f>IFERROR(XLOOKUP(C220,'渠道成本'!$A$5:$A$1004,'渠道成本'!$U$5:$U$1004),"")</x:f>
        <x:v>0.031506849315068496</x:v>
      </x:c>
      <x:c r="O220" t="n">
        <x:f>IFERROR(XLOOKUP(B220,'官方售价'!$A$5:$A$504,'官方售价'!$M$5:$M$504),"")</x:f>
        <x:v>3.835616438356164</x:v>
      </x:c>
      <x:c r="P220" t="n">
        <x:f>IF(M220="per_token",N220*L220/'参数'!$B$8,N220)</x:f>
        <x:v>0.031506849315068496</x:v>
      </x:c>
      <x:c r="Q220" t="n">
        <x:f>IFERROR(O220*D220,"")</x:f>
        <x:v>3.835616438356164</x:v>
      </x:c>
      <x:c r="R220" t="n">
        <x:f>IFERROR(Q220-P220,"")</x:f>
        <x:v>3.804109589041096</x:v>
      </x:c>
      <x:c r="S220" t="n">
        <x:f>IFERROR(R220/Q220,"")</x:f>
        <x:v>0.9917857142857144</x:v>
      </x:c>
      <x:c r="T220" t="s">
        <x:v>224</x:v>
      </x:c>
      <x:c r="U220" t="s">
        <x:v>1162</x:v>
      </x:c>
    </x:row>
    <x:row r="221">
      <x:c r="A221" t="s">
        <x:v>1378</x:v>
      </x:c>
      <x:c r="B221" t="s">
        <x:v>279</x:v>
      </x:c>
      <x:c r="C221" t="s">
        <x:v>752</x:v>
      </x:c>
      <x:c r="D221" t="s">
        <x:v>151</x:v>
      </x:c>
      <x:c r="E221">
        <x:v>4</x:v>
      </x:c>
      <x:c r="F221">
        <x:v>4</x:v>
      </x:c>
      <x:c r="G221" t="s">
        <x:v>232</x:v>
      </x:c>
      <x:c r="H221" t="s">
        <x:v>258</x:v>
      </x:c>
      <x:c r="I221" t="n">
        <x:f>IFERROR(XLOOKUP(G221,'模型SKU'!$A$5:$A$504,'模型SKU'!$E$5:$E$504),"")</x:f>
        <x:v>1280</x:v>
      </x:c>
      <x:c r="J221" t="n">
        <x:f>IFERROR(XLOOKUP(G221,'模型SKU'!$A$5:$A$504,'模型SKU'!$F$5:$F$504),"")</x:f>
        <x:v>720</x:v>
      </x:c>
      <x:c r="K221" t="n">
        <x:f>IFERROR(XLOOKUP(G221,'模型SKU'!$A$5:$A$504,'模型SKU'!$G$5:$G$504),"")</x:f>
        <x:v>24</x:v>
      </x:c>
      <x:c r="L221" t="n">
        <x:f>IFERROR((E221+F221)*I221*J221*K221/'参数'!$B$7,0)</x:f>
        <x:v>172800</x:v>
      </x:c>
      <x:c r="M221" t="s">
        <x:v>318</x:v>
      </x:c>
      <x:c r="N221" t="n">
        <x:f>IFERROR(XLOOKUP(C221,'渠道成本'!$A$5:$A$1004,'渠道成本'!$U$5:$U$1004),"")</x:f>
        <x:v>0.045205479452054796</x:v>
      </x:c>
      <x:c r="O221" t="n">
        <x:f>IFERROR(XLOOKUP(B221,'官方售价'!$A$5:$A$504,'官方售价'!$M$5:$M$504),"")</x:f>
        <x:v>6.301369863013698</x:v>
      </x:c>
      <x:c r="P221" t="n">
        <x:f>IF(M221="per_token",N221*L221/'参数'!$B$8,N221)</x:f>
        <x:v>0.045205479452054796</x:v>
      </x:c>
      <x:c r="Q221" t="n">
        <x:f>IFERROR(O221*D221,"")</x:f>
        <x:v>6.301369863013698</x:v>
      </x:c>
      <x:c r="R221" t="n">
        <x:f>IFERROR(Q221-P221,"")</x:f>
        <x:v>6.256164383561643</x:v>
      </x:c>
      <x:c r="S221" t="n">
        <x:f>IFERROR(R221/Q221,"")</x:f>
        <x:v>0.9928260869565216</x:v>
      </x:c>
      <x:c r="T221" t="s">
        <x:v>224</x:v>
      </x:c>
      <x:c r="U221" t="s">
        <x:v>1162</x:v>
      </x:c>
    </x:row>
    <x:row r="222">
      <x:c r="A222" t="s">
        <x:v>1379</x:v>
      </x:c>
      <x:c r="B222" t="s">
        <x:v>281</x:v>
      </x:c>
      <x:c r="C222" t="s">
        <x:v>753</x:v>
      </x:c>
      <x:c r="D222" t="s">
        <x:v>151</x:v>
      </x:c>
      <x:c r="E222">
        <x:v>4</x:v>
      </x:c>
      <x:c r="F222">
        <x:v>4</x:v>
      </x:c>
      <x:c r="G222" t="s">
        <x:v>232</x:v>
      </x:c>
      <x:c r="H222" t="s">
        <x:v>264</x:v>
      </x:c>
      <x:c r="I222" t="n">
        <x:f>IFERROR(XLOOKUP(G222,'模型SKU'!$A$5:$A$504,'模型SKU'!$E$5:$E$504),"")</x:f>
        <x:v>1280</x:v>
      </x:c>
      <x:c r="J222" t="n">
        <x:f>IFERROR(XLOOKUP(G222,'模型SKU'!$A$5:$A$504,'模型SKU'!$F$5:$F$504),"")</x:f>
        <x:v>720</x:v>
      </x:c>
      <x:c r="K222" t="n">
        <x:f>IFERROR(XLOOKUP(G222,'模型SKU'!$A$5:$A$504,'模型SKU'!$G$5:$G$504),"")</x:f>
        <x:v>24</x:v>
      </x:c>
      <x:c r="L222" t="n">
        <x:f>IFERROR((E222+F222)*I222*J222*K222/'参数'!$B$7,0)</x:f>
        <x:v>172800</x:v>
      </x:c>
      <x:c r="M222" t="s">
        <x:v>318</x:v>
      </x:c>
      <x:c r="N222" t="n">
        <x:f>IFERROR(XLOOKUP(C222,'渠道成本'!$A$5:$A$1004,'渠道成本'!$U$5:$U$1004),"")</x:f>
        <x:v>0.045205479452054796</x:v>
      </x:c>
      <x:c r="O222" t="n">
        <x:f>IFERROR(XLOOKUP(B222,'官方售价'!$A$5:$A$504,'官方售价'!$M$5:$M$504),"")</x:f>
        <x:v>3.835616438356164</x:v>
      </x:c>
      <x:c r="P222" t="n">
        <x:f>IF(M222="per_token",N222*L222/'参数'!$B$8,N222)</x:f>
        <x:v>0.045205479452054796</x:v>
      </x:c>
      <x:c r="Q222" t="n">
        <x:f>IFERROR(O222*D222,"")</x:f>
        <x:v>3.835616438356164</x:v>
      </x:c>
      <x:c r="R222" t="n">
        <x:f>IFERROR(Q222-P222,"")</x:f>
        <x:v>3.7904109589041095</x:v>
      </x:c>
      <x:c r="S222" t="n">
        <x:f>IFERROR(R222/Q222,"")</x:f>
        <x:v>0.9882142857142857</x:v>
      </x:c>
      <x:c r="T222" t="s">
        <x:v>224</x:v>
      </x:c>
      <x:c r="U222" t="s">
        <x:v>1162</x:v>
      </x:c>
    </x:row>
    <x:row r="223">
      <x:c r="A223" t="s">
        <x:v>1380</x:v>
      </x:c>
      <x:c r="B223" t="s">
        <x:v>283</x:v>
      </x:c>
      <x:c r="C223" t="s">
        <x:v>754</x:v>
      </x:c>
      <x:c r="D223" t="s">
        <x:v>151</x:v>
      </x:c>
      <x:c r="E223">
        <x:v>4</x:v>
      </x:c>
      <x:c r="F223">
        <x:v>4</x:v>
      </x:c>
      <x:c r="G223" t="s">
        <x:v>234</x:v>
      </x:c>
      <x:c r="H223" t="s">
        <x:v>258</x:v>
      </x:c>
      <x:c r="I223" t="n">
        <x:f>IFERROR(XLOOKUP(G223,'模型SKU'!$A$5:$A$504,'模型SKU'!$E$5:$E$504),"")</x:f>
        <x:v>864</x:v>
      </x:c>
      <x:c r="J223" t="n">
        <x:f>IFERROR(XLOOKUP(G223,'模型SKU'!$A$5:$A$504,'模型SKU'!$F$5:$F$504),"")</x:f>
        <x:v>496</x:v>
      </x:c>
      <x:c r="K223" t="n">
        <x:f>IFERROR(XLOOKUP(G223,'模型SKU'!$A$5:$A$504,'模型SKU'!$G$5:$G$504),"")</x:f>
        <x:v>24</x:v>
      </x:c>
      <x:c r="L223" t="n">
        <x:f>IFERROR((E223+F223)*I223*J223*K223/'参数'!$B$7,0)</x:f>
        <x:v>80352</x:v>
      </x:c>
      <x:c r="M223" t="s">
        <x:v>318</x:v>
      </x:c>
      <x:c r="N223" t="n">
        <x:f>IFERROR(XLOOKUP(C223,'渠道成本'!$A$5:$A$1004,'渠道成本'!$U$5:$U$1004),"")</x:f>
        <x:v>0.01780821917808219</x:v>
      </x:c>
      <x:c r="O223" t="n">
        <x:f>IFERROR(XLOOKUP(B223,'官方售价'!$A$5:$A$504,'官方售价'!$M$5:$M$504),"")</x:f>
        <x:v>5.068493150684931</x:v>
      </x:c>
      <x:c r="P223" t="n">
        <x:f>IF(M223="per_token",N223*L223/'参数'!$B$8,N223)</x:f>
        <x:v>0.01780821917808219</x:v>
      </x:c>
      <x:c r="Q223" t="n">
        <x:f>IFERROR(O223*D223,"")</x:f>
        <x:v>5.068493150684931</x:v>
      </x:c>
      <x:c r="R223" t="n">
        <x:f>IFERROR(Q223-P223,"")</x:f>
        <x:v>5.050684931506849</x:v>
      </x:c>
      <x:c r="S223" t="n">
        <x:f>IFERROR(R223/Q223,"")</x:f>
        <x:v>0.9964864864864864</x:v>
      </x:c>
      <x:c r="T223" t="s">
        <x:v>224</x:v>
      </x:c>
      <x:c r="U223" t="s">
        <x:v>1162</x:v>
      </x:c>
    </x:row>
    <x:row r="224">
      <x:c r="A224" t="s">
        <x:v>1381</x:v>
      </x:c>
      <x:c r="B224" t="s">
        <x:v>286</x:v>
      </x:c>
      <x:c r="C224" t="s">
        <x:v>757</x:v>
      </x:c>
      <x:c r="D224" t="s">
        <x:v>151</x:v>
      </x:c>
      <x:c r="E224">
        <x:v>4</x:v>
      </x:c>
      <x:c r="F224">
        <x:v>4</x:v>
      </x:c>
      <x:c r="G224" t="s">
        <x:v>234</x:v>
      </x:c>
      <x:c r="H224" t="s">
        <x:v>264</x:v>
      </x:c>
      <x:c r="I224" t="n">
        <x:f>IFERROR(XLOOKUP(G224,'模型SKU'!$A$5:$A$504,'模型SKU'!$E$5:$E$504),"")</x:f>
        <x:v>864</x:v>
      </x:c>
      <x:c r="J224" t="n">
        <x:f>IFERROR(XLOOKUP(G224,'模型SKU'!$A$5:$A$504,'模型SKU'!$F$5:$F$504),"")</x:f>
        <x:v>496</x:v>
      </x:c>
      <x:c r="K224" t="n">
        <x:f>IFERROR(XLOOKUP(G224,'模型SKU'!$A$5:$A$504,'模型SKU'!$G$5:$G$504),"")</x:f>
        <x:v>24</x:v>
      </x:c>
      <x:c r="L224" t="n">
        <x:f>IFERROR((E224+F224)*I224*J224*K224/'参数'!$B$7,0)</x:f>
        <x:v>80352</x:v>
      </x:c>
      <x:c r="M224" t="s">
        <x:v>318</x:v>
      </x:c>
      <x:c r="N224" t="n">
        <x:f>IFERROR(XLOOKUP(C224,'渠道成本'!$A$5:$A$1004,'渠道成本'!$U$5:$U$1004),"")</x:f>
        <x:v>0.01780821917808219</x:v>
      </x:c>
      <x:c r="O224" t="n">
        <x:f>IFERROR(XLOOKUP(B224,'官方售价'!$A$5:$A$504,'官方售价'!$M$5:$M$504),"")</x:f>
        <x:v>3.013698630136986</x:v>
      </x:c>
      <x:c r="P224" t="n">
        <x:f>IF(M224="per_token",N224*L224/'参数'!$B$8,N224)</x:f>
        <x:v>0.01780821917808219</x:v>
      </x:c>
      <x:c r="Q224" t="n">
        <x:f>IFERROR(O224*D224,"")</x:f>
        <x:v>3.013698630136986</x:v>
      </x:c>
      <x:c r="R224" t="n">
        <x:f>IFERROR(Q224-P224,"")</x:f>
        <x:v>2.9958904109589035</x:v>
      </x:c>
      <x:c r="S224" t="n">
        <x:f>IFERROR(R224/Q224,"")</x:f>
        <x:v>0.994090909090909</x:v>
      </x:c>
      <x:c r="T224" t="s">
        <x:v>224</x:v>
      </x:c>
      <x:c r="U224" t="s">
        <x:v>1162</x:v>
      </x:c>
    </x:row>
    <x:row r="225">
      <x:c r="A225" t="s">
        <x:v>1382</x:v>
      </x:c>
      <x:c r="B225" t="s">
        <x:v>289</x:v>
      </x:c>
      <x:c r="C225" t="s">
        <x:v>758</x:v>
      </x:c>
      <x:c r="D225" t="s">
        <x:v>151</x:v>
      </x:c>
      <x:c r="E225">
        <x:v>4</x:v>
      </x:c>
      <x:c r="F225">
        <x:v>4</x:v>
      </x:c>
      <x:c r="G225" t="s">
        <x:v>238</x:v>
      </x:c>
      <x:c r="H225" t="s">
        <x:v>258</x:v>
      </x:c>
      <x:c r="I225" t="n">
        <x:f>IFERROR(XLOOKUP(G225,'模型SKU'!$A$5:$A$504,'模型SKU'!$E$5:$E$504),"")</x:f>
        <x:v>1280</x:v>
      </x:c>
      <x:c r="J225" t="n">
        <x:f>IFERROR(XLOOKUP(G225,'模型SKU'!$A$5:$A$504,'模型SKU'!$F$5:$F$504),"")</x:f>
        <x:v>720</x:v>
      </x:c>
      <x:c r="K225" t="n">
        <x:f>IFERROR(XLOOKUP(G225,'模型SKU'!$A$5:$A$504,'模型SKU'!$G$5:$G$504),"")</x:f>
        <x:v>24</x:v>
      </x:c>
      <x:c r="L225" t="n">
        <x:f>IFERROR((E225+F225)*I225*J225*K225/'参数'!$B$7,0)</x:f>
        <x:v>172800</x:v>
      </x:c>
      <x:c r="M225" t="s">
        <x:v>318</x:v>
      </x:c>
      <x:c r="N225" t="n">
        <x:f>IFERROR(XLOOKUP(C225,'渠道成本'!$A$5:$A$1004,'渠道成本'!$U$5:$U$1004),"")</x:f>
        <x:v>0.031506849315068496</x:v>
      </x:c>
      <x:c r="O225" t="n">
        <x:f>IFERROR(XLOOKUP(B225,'官方售价'!$A$5:$A$504,'官方售价'!$M$5:$M$504),"")</x:f>
        <x:v>5.068493150684931</x:v>
      </x:c>
      <x:c r="P225" t="n">
        <x:f>IF(M225="per_token",N225*L225/'参数'!$B$8,N225)</x:f>
        <x:v>0.031506849315068496</x:v>
      </x:c>
      <x:c r="Q225" t="n">
        <x:f>IFERROR(O225*D225,"")</x:f>
        <x:v>5.068493150684931</x:v>
      </x:c>
      <x:c r="R225" t="n">
        <x:f>IFERROR(Q225-P225,"")</x:f>
        <x:v>5.036986301369863</x:v>
      </x:c>
      <x:c r="S225" t="n">
        <x:f>IFERROR(R225/Q225,"")</x:f>
        <x:v>0.9937837837837838</x:v>
      </x:c>
      <x:c r="T225" t="s">
        <x:v>224</x:v>
      </x:c>
      <x:c r="U225" t="s">
        <x:v>1162</x:v>
      </x:c>
    </x:row>
    <x:row r="226">
      <x:c r="A226" t="s">
        <x:v>1383</x:v>
      </x:c>
      <x:c r="B226" t="s">
        <x:v>291</x:v>
      </x:c>
      <x:c r="C226" t="s">
        <x:v>760</x:v>
      </x:c>
      <x:c r="D226" t="s">
        <x:v>151</x:v>
      </x:c>
      <x:c r="E226">
        <x:v>4</x:v>
      </x:c>
      <x:c r="F226">
        <x:v>4</x:v>
      </x:c>
      <x:c r="G226" t="s">
        <x:v>238</x:v>
      </x:c>
      <x:c r="H226" t="s">
        <x:v>264</x:v>
      </x:c>
      <x:c r="I226" t="n">
        <x:f>IFERROR(XLOOKUP(G226,'模型SKU'!$A$5:$A$504,'模型SKU'!$E$5:$E$504),"")</x:f>
        <x:v>1280</x:v>
      </x:c>
      <x:c r="J226" t="n">
        <x:f>IFERROR(XLOOKUP(G226,'模型SKU'!$A$5:$A$504,'模型SKU'!$F$5:$F$504),"")</x:f>
        <x:v>720</x:v>
      </x:c>
      <x:c r="K226" t="n">
        <x:f>IFERROR(XLOOKUP(G226,'模型SKU'!$A$5:$A$504,'模型SKU'!$G$5:$G$504),"")</x:f>
        <x:v>24</x:v>
      </x:c>
      <x:c r="L226" t="n">
        <x:f>IFERROR((E226+F226)*I226*J226*K226/'参数'!$B$7,0)</x:f>
        <x:v>172800</x:v>
      </x:c>
      <x:c r="M226" t="s">
        <x:v>318</x:v>
      </x:c>
      <x:c r="N226" t="n">
        <x:f>IFERROR(XLOOKUP(C226,'渠道成本'!$A$5:$A$1004,'渠道成本'!$U$5:$U$1004),"")</x:f>
        <x:v>0.031506849315068496</x:v>
      </x:c>
      <x:c r="O226" t="n">
        <x:f>IFERROR(XLOOKUP(B226,'官方售价'!$A$5:$A$504,'官方售价'!$M$5:$M$504),"")</x:f>
        <x:v>3.013698630136986</x:v>
      </x:c>
      <x:c r="P226" t="n">
        <x:f>IF(M226="per_token",N226*L226/'参数'!$B$8,N226)</x:f>
        <x:v>0.031506849315068496</x:v>
      </x:c>
      <x:c r="Q226" t="n">
        <x:f>IFERROR(O226*D226,"")</x:f>
        <x:v>3.013698630136986</x:v>
      </x:c>
      <x:c r="R226" t="n">
        <x:f>IFERROR(Q226-P226,"")</x:f>
        <x:v>2.9821917808219176</x:v>
      </x:c>
      <x:c r="S226" t="n">
        <x:f>IFERROR(R226/Q226,"")</x:f>
        <x:v>0.9895454545454546</x:v>
      </x:c>
      <x:c r="T226" t="s">
        <x:v>224</x:v>
      </x:c>
      <x:c r="U226" t="s">
        <x:v>1162</x:v>
      </x:c>
    </x:row>
    <x:row r="227">
      <x:c r="A227" t="s">
        <x:v>1384</x:v>
      </x:c>
      <x:c r="B227" t="s">
        <x:v>293</x:v>
      </x:c>
      <x:c r="C227" t="s">
        <x:v>761</x:v>
      </x:c>
      <x:c r="D227" t="s">
        <x:v>151</x:v>
      </x:c>
      <x:c r="E227">
        <x:v>4</x:v>
      </x:c>
      <x:c r="F227">
        <x:v>4</x:v>
      </x:c>
      <x:c r="G227" t="s">
        <x:v>240</x:v>
      </x:c>
      <x:c r="H227" t="s">
        <x:v>258</x:v>
      </x:c>
      <x:c r="I227" t="n">
        <x:f>IFERROR(XLOOKUP(G227,'模型SKU'!$A$5:$A$504,'模型SKU'!$E$5:$E$504),"")</x:f>
        <x:v>864</x:v>
      </x:c>
      <x:c r="J227" t="n">
        <x:f>IFERROR(XLOOKUP(G227,'模型SKU'!$A$5:$A$504,'模型SKU'!$F$5:$F$504),"")</x:f>
        <x:v>496</x:v>
      </x:c>
      <x:c r="K227" t="n">
        <x:f>IFERROR(XLOOKUP(G227,'模型SKU'!$A$5:$A$504,'模型SKU'!$G$5:$G$504),"")</x:f>
        <x:v>24</x:v>
      </x:c>
      <x:c r="L227" t="n">
        <x:f>IFERROR((E227+F227)*I227*J227*K227/'参数'!$B$7,0)</x:f>
        <x:v>80352</x:v>
      </x:c>
      <x:c r="M227" t="s">
        <x:v>318</x:v>
      </x:c>
      <x:c r="N227" t="n">
        <x:f>IFERROR(XLOOKUP(C227,'渠道成本'!$A$5:$A$1004,'渠道成本'!$U$5:$U$1004),"")</x:f>
        <x:v>0.012328767123287671</x:v>
      </x:c>
      <x:c r="O227" t="n">
        <x:f>IFERROR(XLOOKUP(B227,'官方售价'!$A$5:$A$504,'官方售价'!$M$5:$M$504),"")</x:f>
        <x:v>3.150684931506849</x:v>
      </x:c>
      <x:c r="P227" t="n">
        <x:f>IF(M227="per_token",N227*L227/'参数'!$B$8,N227)</x:f>
        <x:v>0.012328767123287671</x:v>
      </x:c>
      <x:c r="Q227" t="n">
        <x:f>IFERROR(O227*D227,"")</x:f>
        <x:v>3.150684931506849</x:v>
      </x:c>
      <x:c r="R227" t="n">
        <x:f>IFERROR(Q227-P227,"")</x:f>
        <x:v>3.1383561643835614</x:v>
      </x:c>
      <x:c r="S227" t="n">
        <x:f>IFERROR(R227/Q227,"")</x:f>
        <x:v>0.9960869565217392</x:v>
      </x:c>
      <x:c r="T227" t="s">
        <x:v>224</x:v>
      </x:c>
      <x:c r="U227" t="s">
        <x:v>1162</x:v>
      </x:c>
    </x:row>
    <x:row r="228">
      <x:c r="A228" t="s">
        <x:v>1385</x:v>
      </x:c>
      <x:c r="B228" t="s">
        <x:v>296</x:v>
      </x:c>
      <x:c r="C228" t="s">
        <x:v>764</x:v>
      </x:c>
      <x:c r="D228" t="s">
        <x:v>151</x:v>
      </x:c>
      <x:c r="E228">
        <x:v>4</x:v>
      </x:c>
      <x:c r="F228">
        <x:v>4</x:v>
      </x:c>
      <x:c r="G228" t="s">
        <x:v>240</x:v>
      </x:c>
      <x:c r="H228" t="s">
        <x:v>264</x:v>
      </x:c>
      <x:c r="I228" t="n">
        <x:f>IFERROR(XLOOKUP(G228,'模型SKU'!$A$5:$A$504,'模型SKU'!$E$5:$E$504),"")</x:f>
        <x:v>864</x:v>
      </x:c>
      <x:c r="J228" t="n">
        <x:f>IFERROR(XLOOKUP(G228,'模型SKU'!$A$5:$A$504,'模型SKU'!$F$5:$F$504),"")</x:f>
        <x:v>496</x:v>
      </x:c>
      <x:c r="K228" t="n">
        <x:f>IFERROR(XLOOKUP(G228,'模型SKU'!$A$5:$A$504,'模型SKU'!$G$5:$G$504),"")</x:f>
        <x:v>24</x:v>
      </x:c>
      <x:c r="L228" t="n">
        <x:f>IFERROR((E228+F228)*I228*J228*K228/'参数'!$B$7,0)</x:f>
        <x:v>80352</x:v>
      </x:c>
      <x:c r="M228" t="s">
        <x:v>318</x:v>
      </x:c>
      <x:c r="N228" t="n">
        <x:f>IFERROR(XLOOKUP(C228,'渠道成本'!$A$5:$A$1004,'渠道成本'!$U$5:$U$1004),"")</x:f>
        <x:v>0.012328767123287671</x:v>
      </x:c>
      <x:c r="O228" t="n">
        <x:f>IFERROR(XLOOKUP(B228,'官方售价'!$A$5:$A$504,'官方售价'!$M$5:$M$504),"")</x:f>
        <x:v>1.917808219178082</x:v>
      </x:c>
      <x:c r="P228" t="n">
        <x:f>IF(M228="per_token",N228*L228/'参数'!$B$8,N228)</x:f>
        <x:v>0.012328767123287671</x:v>
      </x:c>
      <x:c r="Q228" t="n">
        <x:f>IFERROR(O228*D228,"")</x:f>
        <x:v>1.917808219178082</x:v>
      </x:c>
      <x:c r="R228" t="n">
        <x:f>IFERROR(Q228-P228,"")</x:f>
        <x:v>1.9054794520547944</x:v>
      </x:c>
      <x:c r="S228" t="n">
        <x:f>IFERROR(R228/Q228,"")</x:f>
        <x:v>0.9935714285714285</x:v>
      </x:c>
      <x:c r="T228" t="s">
        <x:v>224</x:v>
      </x:c>
      <x:c r="U228" t="s">
        <x:v>1162</x:v>
      </x:c>
    </x:row>
    <x:row r="229">
      <x:c r="A229" t="s">
        <x:v>1386</x:v>
      </x:c>
      <x:c r="B229" t="s">
        <x:v>299</x:v>
      </x:c>
      <x:c r="C229" t="s">
        <x:v>765</x:v>
      </x:c>
      <x:c r="D229" t="s">
        <x:v>151</x:v>
      </x:c>
      <x:c r="E229">
        <x:v>4</x:v>
      </x:c>
      <x:c r="F229">
        <x:v>4</x:v>
      </x:c>
      <x:c r="G229" t="s">
        <x:v>244</x:v>
      </x:c>
      <x:c r="H229" t="s">
        <x:v>258</x:v>
      </x:c>
      <x:c r="I229" t="n">
        <x:f>IFERROR(XLOOKUP(G229,'模型SKU'!$A$5:$A$504,'模型SKU'!$E$5:$E$504),"")</x:f>
        <x:v>1280</x:v>
      </x:c>
      <x:c r="J229" t="n">
        <x:f>IFERROR(XLOOKUP(G229,'模型SKU'!$A$5:$A$504,'模型SKU'!$F$5:$F$504),"")</x:f>
        <x:v>720</x:v>
      </x:c>
      <x:c r="K229" t="n">
        <x:f>IFERROR(XLOOKUP(G229,'模型SKU'!$A$5:$A$504,'模型SKU'!$G$5:$G$504),"")</x:f>
        <x:v>24</x:v>
      </x:c>
      <x:c r="L229" t="n">
        <x:f>IFERROR((E229+F229)*I229*J229*K229/'参数'!$B$7,0)</x:f>
        <x:v>172800</x:v>
      </x:c>
      <x:c r="M229" t="s">
        <x:v>318</x:v>
      </x:c>
      <x:c r="N229" t="n">
        <x:f>IFERROR(XLOOKUP(C229,'渠道成本'!$A$5:$A$1004,'渠道成本'!$U$5:$U$1004),"")</x:f>
        <x:v>0.021917808219178082</x:v>
      </x:c>
      <x:c r="O229" t="n">
        <x:f>IFERROR(XLOOKUP(B229,'官方售价'!$A$5:$A$504,'官方售价'!$M$5:$M$504),"")</x:f>
        <x:v>3.150684931506849</x:v>
      </x:c>
      <x:c r="P229" t="n">
        <x:f>IF(M229="per_token",N229*L229/'参数'!$B$8,N229)</x:f>
        <x:v>0.021917808219178082</x:v>
      </x:c>
      <x:c r="Q229" t="n">
        <x:f>IFERROR(O229*D229,"")</x:f>
        <x:v>3.150684931506849</x:v>
      </x:c>
      <x:c r="R229" t="n">
        <x:f>IFERROR(Q229-P229,"")</x:f>
        <x:v>3.128767123287671</x:v>
      </x:c>
      <x:c r="S229" t="n">
        <x:f>IFERROR(R229/Q229,"")</x:f>
        <x:v>0.9930434782608696</x:v>
      </x:c>
      <x:c r="T229" t="s">
        <x:v>224</x:v>
      </x:c>
      <x:c r="U229" t="s">
        <x:v>1162</x:v>
      </x:c>
    </x:row>
    <x:row r="230">
      <x:c r="A230" t="s">
        <x:v>1387</x:v>
      </x:c>
      <x:c r="B230" t="s">
        <x:v>301</x:v>
      </x:c>
      <x:c r="C230" t="s">
        <x:v>767</x:v>
      </x:c>
      <x:c r="D230" t="s">
        <x:v>151</x:v>
      </x:c>
      <x:c r="E230">
        <x:v>4</x:v>
      </x:c>
      <x:c r="F230">
        <x:v>4</x:v>
      </x:c>
      <x:c r="G230" t="s">
        <x:v>244</x:v>
      </x:c>
      <x:c r="H230" t="s">
        <x:v>264</x:v>
      </x:c>
      <x:c r="I230" t="n">
        <x:f>IFERROR(XLOOKUP(G230,'模型SKU'!$A$5:$A$504,'模型SKU'!$E$5:$E$504),"")</x:f>
        <x:v>1280</x:v>
      </x:c>
      <x:c r="J230" t="n">
        <x:f>IFERROR(XLOOKUP(G230,'模型SKU'!$A$5:$A$504,'模型SKU'!$F$5:$F$504),"")</x:f>
        <x:v>720</x:v>
      </x:c>
      <x:c r="K230" t="n">
        <x:f>IFERROR(XLOOKUP(G230,'模型SKU'!$A$5:$A$504,'模型SKU'!$G$5:$G$504),"")</x:f>
        <x:v>24</x:v>
      </x:c>
      <x:c r="L230" t="n">
        <x:f>IFERROR((E230+F230)*I230*J230*K230/'参数'!$B$7,0)</x:f>
        <x:v>172800</x:v>
      </x:c>
      <x:c r="M230" t="s">
        <x:v>318</x:v>
      </x:c>
      <x:c r="N230" t="n">
        <x:f>IFERROR(XLOOKUP(C230,'渠道成本'!$A$5:$A$1004,'渠道成本'!$U$5:$U$1004),"")</x:f>
        <x:v>0.021917808219178082</x:v>
      </x:c>
      <x:c r="O230" t="n">
        <x:f>IFERROR(XLOOKUP(B230,'官方售价'!$A$5:$A$504,'官方售价'!$M$5:$M$504),"")</x:f>
        <x:v>1.917808219178082</x:v>
      </x:c>
      <x:c r="P230" t="n">
        <x:f>IF(M230="per_token",N230*L230/'参数'!$B$8,N230)</x:f>
        <x:v>0.021917808219178082</x:v>
      </x:c>
      <x:c r="Q230" t="n">
        <x:f>IFERROR(O230*D230,"")</x:f>
        <x:v>1.917808219178082</x:v>
      </x:c>
      <x:c r="R230" t="n">
        <x:f>IFERROR(Q230-P230,"")</x:f>
        <x:v>1.895890410958904</x:v>
      </x:c>
      <x:c r="S230" t="n">
        <x:f>IFERROR(R230/Q230,"")</x:f>
        <x:v>0.9885714285714287</x:v>
      </x:c>
      <x:c r="T230" t="s">
        <x:v>224</x:v>
      </x:c>
      <x:c r="U230" t="s">
        <x:v>1162</x:v>
      </x:c>
    </x:row>
    <x:row r="231">
      <x:c r="A231" t="s">
        <x:v>1388</x:v>
      </x:c>
      <x:c r="B231" t="s">
        <x:v>279</x:v>
      </x:c>
      <x:c r="C231" t="s">
        <x:v>768</x:v>
      </x:c>
      <x:c r="D231" t="s">
        <x:v>151</x:v>
      </x:c>
      <x:c r="E231">
        <x:v>4</x:v>
      </x:c>
      <x:c r="F231">
        <x:v>4</x:v>
      </x:c>
      <x:c r="G231" t="s">
        <x:v>232</x:v>
      </x:c>
      <x:c r="H231" t="s">
        <x:v>258</x:v>
      </x:c>
      <x:c r="I231" t="n">
        <x:f>IFERROR(XLOOKUP(G231,'模型SKU'!$A$5:$A$504,'模型SKU'!$E$5:$E$504),"")</x:f>
        <x:v>1280</x:v>
      </x:c>
      <x:c r="J231" t="n">
        <x:f>IFERROR(XLOOKUP(G231,'模型SKU'!$A$5:$A$504,'模型SKU'!$F$5:$F$504),"")</x:f>
        <x:v>720</x:v>
      </x:c>
      <x:c r="K231" t="n">
        <x:f>IFERROR(XLOOKUP(G231,'模型SKU'!$A$5:$A$504,'模型SKU'!$G$5:$G$504),"")</x:f>
        <x:v>24</x:v>
      </x:c>
      <x:c r="L231" t="n">
        <x:f>IFERROR((E231+F231)*I231*J231*K231/'参数'!$B$7,0)</x:f>
        <x:v>172800</x:v>
      </x:c>
      <x:c r="M231" t="s">
        <x:v>331</x:v>
      </x:c>
      <x:c r="N231" t="n">
        <x:f>IFERROR(XLOOKUP(C231,'渠道成本'!$A$5:$A$1004,'渠道成本'!$U$5:$U$1004),"")</x:f>
        <x:v>0.5205479452054794</x:v>
      </x:c>
      <x:c r="O231" t="n">
        <x:f>IFERROR(XLOOKUP(B231,'官方售价'!$A$5:$A$504,'官方售价'!$M$5:$M$504),"")</x:f>
        <x:v>6.301369863013698</x:v>
      </x:c>
      <x:c r="P231" t="n">
        <x:f>IF(M231="per_token",N231*L231/'参数'!$B$8,N231)</x:f>
        <x:v>0.5205479452054794</x:v>
      </x:c>
      <x:c r="Q231" t="n">
        <x:f>IFERROR(O231*D231,"")</x:f>
        <x:v>6.301369863013698</x:v>
      </x:c>
      <x:c r="R231" t="n">
        <x:f>IFERROR(Q231-P231,"")</x:f>
        <x:v>5.780821917808218</x:v>
      </x:c>
      <x:c r="S231" t="n">
        <x:f>IFERROR(R231/Q231,"")</x:f>
        <x:v>0.917391304347826</x:v>
      </x:c>
      <x:c r="T231" t="s">
        <x:v>224</x:v>
      </x:c>
      <x:c r="U231" t="s">
        <x:v>1162</x:v>
      </x:c>
    </x:row>
    <x:row r="232">
      <x:c r="A232" t="s">
        <x:v>1389</x:v>
      </x:c>
      <x:c r="B232" t="s">
        <x:v>281</x:v>
      </x:c>
      <x:c r="C232" t="s">
        <x:v>772</x:v>
      </x:c>
      <x:c r="D232" t="s">
        <x:v>151</x:v>
      </x:c>
      <x:c r="E232">
        <x:v>4</x:v>
      </x:c>
      <x:c r="F232">
        <x:v>4</x:v>
      </x:c>
      <x:c r="G232" t="s">
        <x:v>232</x:v>
      </x:c>
      <x:c r="H232" t="s">
        <x:v>264</x:v>
      </x:c>
      <x:c r="I232" t="n">
        <x:f>IFERROR(XLOOKUP(G232,'模型SKU'!$A$5:$A$504,'模型SKU'!$E$5:$E$504),"")</x:f>
        <x:v>1280</x:v>
      </x:c>
      <x:c r="J232" t="n">
        <x:f>IFERROR(XLOOKUP(G232,'模型SKU'!$A$5:$A$504,'模型SKU'!$F$5:$F$504),"")</x:f>
        <x:v>720</x:v>
      </x:c>
      <x:c r="K232" t="n">
        <x:f>IFERROR(XLOOKUP(G232,'模型SKU'!$A$5:$A$504,'模型SKU'!$G$5:$G$504),"")</x:f>
        <x:v>24</x:v>
      </x:c>
      <x:c r="L232" t="n">
        <x:f>IFERROR((E232+F232)*I232*J232*K232/'参数'!$B$7,0)</x:f>
        <x:v>172800</x:v>
      </x:c>
      <x:c r="M232" t="s">
        <x:v>331</x:v>
      </x:c>
      <x:c r="N232" t="n">
        <x:f>IFERROR(XLOOKUP(C232,'渠道成本'!$A$5:$A$1004,'渠道成本'!$U$5:$U$1004),"")</x:f>
        <x:v>0.5205479452054794</x:v>
      </x:c>
      <x:c r="O232" t="n">
        <x:f>IFERROR(XLOOKUP(B232,'官方售价'!$A$5:$A$504,'官方售价'!$M$5:$M$504),"")</x:f>
        <x:v>3.835616438356164</x:v>
      </x:c>
      <x:c r="P232" t="n">
        <x:f>IF(M232="per_token",N232*L232/'参数'!$B$8,N232)</x:f>
        <x:v>0.5205479452054794</x:v>
      </x:c>
      <x:c r="Q232" t="n">
        <x:f>IFERROR(O232*D232,"")</x:f>
        <x:v>3.835616438356164</x:v>
      </x:c>
      <x:c r="R232" t="n">
        <x:f>IFERROR(Q232-P232,"")</x:f>
        <x:v>3.315068493150685</x:v>
      </x:c>
      <x:c r="S232" t="n">
        <x:f>IFERROR(R232/Q232,"")</x:f>
        <x:v>0.8642857142857143</x:v>
      </x:c>
      <x:c r="T232" t="s">
        <x:v>224</x:v>
      </x:c>
      <x:c r="U232" t="s">
        <x:v>1162</x:v>
      </x:c>
    </x:row>
    <x:row r="233">
      <x:c r="A233" t="s">
        <x:v>1390</x:v>
      </x:c>
      <x:c r="B233" t="s">
        <x:v>279</x:v>
      </x:c>
      <x:c r="C233" t="s">
        <x:v>773</x:v>
      </x:c>
      <x:c r="D233" t="s">
        <x:v>151</x:v>
      </x:c>
      <x:c r="E233">
        <x:v>4</x:v>
      </x:c>
      <x:c r="F233">
        <x:v>4</x:v>
      </x:c>
      <x:c r="G233" t="s">
        <x:v>232</x:v>
      </x:c>
      <x:c r="H233" t="s">
        <x:v>258</x:v>
      </x:c>
      <x:c r="I233" t="n">
        <x:f>IFERROR(XLOOKUP(G233,'模型SKU'!$A$5:$A$504,'模型SKU'!$E$5:$E$504),"")</x:f>
        <x:v>1280</x:v>
      </x:c>
      <x:c r="J233" t="n">
        <x:f>IFERROR(XLOOKUP(G233,'模型SKU'!$A$5:$A$504,'模型SKU'!$F$5:$F$504),"")</x:f>
        <x:v>720</x:v>
      </x:c>
      <x:c r="K233" t="n">
        <x:f>IFERROR(XLOOKUP(G233,'模型SKU'!$A$5:$A$504,'模型SKU'!$G$5:$G$504),"")</x:f>
        <x:v>24</x:v>
      </x:c>
      <x:c r="L233" t="n">
        <x:f>IFERROR((E233+F233)*I233*J233*K233/'参数'!$B$7,0)</x:f>
        <x:v>172800</x:v>
      </x:c>
      <x:c r="M233" t="s">
        <x:v>318</x:v>
      </x:c>
      <x:c r="N233" t="n">
        <x:f>IFERROR(XLOOKUP(C233,'渠道成本'!$A$5:$A$1004,'渠道成本'!$U$5:$U$1004),"")</x:f>
        <x:v>0.02054794520547945</x:v>
      </x:c>
      <x:c r="O233" t="n">
        <x:f>IFERROR(XLOOKUP(B233,'官方售价'!$A$5:$A$504,'官方售价'!$M$5:$M$504),"")</x:f>
        <x:v>6.301369863013698</x:v>
      </x:c>
      <x:c r="P233" t="n">
        <x:f>IF(M233="per_token",N233*L233/'参数'!$B$8,N233)</x:f>
        <x:v>0.02054794520547945</x:v>
      </x:c>
      <x:c r="Q233" t="n">
        <x:f>IFERROR(O233*D233,"")</x:f>
        <x:v>6.301369863013698</x:v>
      </x:c>
      <x:c r="R233" t="n">
        <x:f>IFERROR(Q233-P233,"")</x:f>
        <x:v>6.280821917808218</x:v>
      </x:c>
      <x:c r="S233" t="n">
        <x:f>IFERROR(R233/Q233,"")</x:f>
        <x:v>0.9967391304347826</x:v>
      </x:c>
      <x:c r="T233" t="s">
        <x:v>224</x:v>
      </x:c>
      <x:c r="U233" t="s">
        <x:v>1162</x:v>
      </x:c>
    </x:row>
    <x:row r="234">
      <x:c r="A234" t="s">
        <x:v>1391</x:v>
      </x:c>
      <x:c r="B234" t="s">
        <x:v>281</x:v>
      </x:c>
      <x:c r="C234" t="s">
        <x:v>776</x:v>
      </x:c>
      <x:c r="D234" t="s">
        <x:v>151</x:v>
      </x:c>
      <x:c r="E234">
        <x:v>4</x:v>
      </x:c>
      <x:c r="F234">
        <x:v>4</x:v>
      </x:c>
      <x:c r="G234" t="s">
        <x:v>232</x:v>
      </x:c>
      <x:c r="H234" t="s">
        <x:v>264</x:v>
      </x:c>
      <x:c r="I234" t="n">
        <x:f>IFERROR(XLOOKUP(G234,'模型SKU'!$A$5:$A$504,'模型SKU'!$E$5:$E$504),"")</x:f>
        <x:v>1280</x:v>
      </x:c>
      <x:c r="J234" t="n">
        <x:f>IFERROR(XLOOKUP(G234,'模型SKU'!$A$5:$A$504,'模型SKU'!$F$5:$F$504),"")</x:f>
        <x:v>720</x:v>
      </x:c>
      <x:c r="K234" t="n">
        <x:f>IFERROR(XLOOKUP(G234,'模型SKU'!$A$5:$A$504,'模型SKU'!$G$5:$G$504),"")</x:f>
        <x:v>24</x:v>
      </x:c>
      <x:c r="L234" t="n">
        <x:f>IFERROR((E234+F234)*I234*J234*K234/'参数'!$B$7,0)</x:f>
        <x:v>172800</x:v>
      </x:c>
      <x:c r="M234" t="s">
        <x:v>318</x:v>
      </x:c>
      <x:c r="N234" t="n">
        <x:f>IFERROR(XLOOKUP(C234,'渠道成本'!$A$5:$A$1004,'渠道成本'!$U$5:$U$1004),"")</x:f>
        <x:v>0.02054794520547945</x:v>
      </x:c>
      <x:c r="O234" t="n">
        <x:f>IFERROR(XLOOKUP(B234,'官方售价'!$A$5:$A$504,'官方售价'!$M$5:$M$504),"")</x:f>
        <x:v>3.835616438356164</x:v>
      </x:c>
      <x:c r="P234" t="n">
        <x:f>IF(M234="per_token",N234*L234/'参数'!$B$8,N234)</x:f>
        <x:v>0.02054794520547945</x:v>
      </x:c>
      <x:c r="Q234" t="n">
        <x:f>IFERROR(O234*D234,"")</x:f>
        <x:v>3.835616438356164</x:v>
      </x:c>
      <x:c r="R234" t="n">
        <x:f>IFERROR(Q234-P234,"")</x:f>
        <x:v>3.815068493150685</x:v>
      </x:c>
      <x:c r="S234" t="n">
        <x:f>IFERROR(R234/Q234,"")</x:f>
        <x:v>0.9946428571428572</x:v>
      </x:c>
      <x:c r="T234" t="s">
        <x:v>224</x:v>
      </x:c>
      <x:c r="U234" t="s">
        <x:v>1162</x:v>
      </x:c>
    </x:row>
    <x:row r="235">
      <x:c r="A235" t="s">
        <x:v>1392</x:v>
      </x:c>
      <x:c r="B235" t="s">
        <x:v>279</x:v>
      </x:c>
      <x:c r="C235" t="s">
        <x:v>777</x:v>
      </x:c>
      <x:c r="D235" t="s">
        <x:v>151</x:v>
      </x:c>
      <x:c r="E235">
        <x:v>4</x:v>
      </x:c>
      <x:c r="F235">
        <x:v>4</x:v>
      </x:c>
      <x:c r="G235" t="s">
        <x:v>232</x:v>
      </x:c>
      <x:c r="H235" t="s">
        <x:v>258</x:v>
      </x:c>
      <x:c r="I235" t="n">
        <x:f>IFERROR(XLOOKUP(G235,'模型SKU'!$A$5:$A$504,'模型SKU'!$E$5:$E$504),"")</x:f>
        <x:v>1280</x:v>
      </x:c>
      <x:c r="J235" t="n">
        <x:f>IFERROR(XLOOKUP(G235,'模型SKU'!$A$5:$A$504,'模型SKU'!$F$5:$F$504),"")</x:f>
        <x:v>720</x:v>
      </x:c>
      <x:c r="K235" t="n">
        <x:f>IFERROR(XLOOKUP(G235,'模型SKU'!$A$5:$A$504,'模型SKU'!$G$5:$G$504),"")</x:f>
        <x:v>24</x:v>
      </x:c>
      <x:c r="L235" t="n">
        <x:f>IFERROR((E235+F235)*I235*J235*K235/'参数'!$B$7,0)</x:f>
        <x:v>172800</x:v>
      </x:c>
      <x:c r="M235" t="s">
        <x:v>318</x:v>
      </x:c>
      <x:c r="N235" t="n">
        <x:f>IFERROR(XLOOKUP(C235,'渠道成本'!$A$5:$A$1004,'渠道成本'!$U$5:$U$1004),"")</x:f>
        <x:v>0.01643835616438356</x:v>
      </x:c>
      <x:c r="O235" t="n">
        <x:f>IFERROR(XLOOKUP(B235,'官方售价'!$A$5:$A$504,'官方售价'!$M$5:$M$504),"")</x:f>
        <x:v>6.301369863013698</x:v>
      </x:c>
      <x:c r="P235" t="n">
        <x:f>IF(M235="per_token",N235*L235/'参数'!$B$8,N235)</x:f>
        <x:v>0.01643835616438356</x:v>
      </x:c>
      <x:c r="Q235" t="n">
        <x:f>IFERROR(O235*D235,"")</x:f>
        <x:v>6.301369863013698</x:v>
      </x:c>
      <x:c r="R235" t="n">
        <x:f>IFERROR(Q235-P235,"")</x:f>
        <x:v>6.284931506849315</x:v>
      </x:c>
      <x:c r="S235" t="n">
        <x:f>IFERROR(R235/Q235,"")</x:f>
        <x:v>0.9973913043478261</x:v>
      </x:c>
      <x:c r="T235" t="s">
        <x:v>224</x:v>
      </x:c>
      <x:c r="U235" t="s">
        <x:v>1162</x:v>
      </x:c>
    </x:row>
    <x:row r="236">
      <x:c r="A236" t="s">
        <x:v>1393</x:v>
      </x:c>
      <x:c r="B236" t="s">
        <x:v>281</x:v>
      </x:c>
      <x:c r="C236" t="s">
        <x:v>781</x:v>
      </x:c>
      <x:c r="D236" t="s">
        <x:v>151</x:v>
      </x:c>
      <x:c r="E236">
        <x:v>4</x:v>
      </x:c>
      <x:c r="F236">
        <x:v>4</x:v>
      </x:c>
      <x:c r="G236" t="s">
        <x:v>232</x:v>
      </x:c>
      <x:c r="H236" t="s">
        <x:v>264</x:v>
      </x:c>
      <x:c r="I236" t="n">
        <x:f>IFERROR(XLOOKUP(G236,'模型SKU'!$A$5:$A$504,'模型SKU'!$E$5:$E$504),"")</x:f>
        <x:v>1280</x:v>
      </x:c>
      <x:c r="J236" t="n">
        <x:f>IFERROR(XLOOKUP(G236,'模型SKU'!$A$5:$A$504,'模型SKU'!$F$5:$F$504),"")</x:f>
        <x:v>720</x:v>
      </x:c>
      <x:c r="K236" t="n">
        <x:f>IFERROR(XLOOKUP(G236,'模型SKU'!$A$5:$A$504,'模型SKU'!$G$5:$G$504),"")</x:f>
        <x:v>24</x:v>
      </x:c>
      <x:c r="L236" t="n">
        <x:f>IFERROR((E236+F236)*I236*J236*K236/'参数'!$B$7,0)</x:f>
        <x:v>172800</x:v>
      </x:c>
      <x:c r="M236" t="s">
        <x:v>318</x:v>
      </x:c>
      <x:c r="N236" t="n">
        <x:f>IFERROR(XLOOKUP(C236,'渠道成本'!$A$5:$A$1004,'渠道成本'!$U$5:$U$1004),"")</x:f>
        <x:v>0.01643835616438356</x:v>
      </x:c>
      <x:c r="O236" t="n">
        <x:f>IFERROR(XLOOKUP(B236,'官方售价'!$A$5:$A$504,'官方售价'!$M$5:$M$504),"")</x:f>
        <x:v>3.835616438356164</x:v>
      </x:c>
      <x:c r="P236" t="n">
        <x:f>IF(M236="per_token",N236*L236/'参数'!$B$8,N236)</x:f>
        <x:v>0.01643835616438356</x:v>
      </x:c>
      <x:c r="Q236" t="n">
        <x:f>IFERROR(O236*D236,"")</x:f>
        <x:v>3.835616438356164</x:v>
      </x:c>
      <x:c r="R236" t="n">
        <x:f>IFERROR(Q236-P236,"")</x:f>
        <x:v>3.8191780821917805</x:v>
      </x:c>
      <x:c r="S236" t="n">
        <x:f>IFERROR(R236/Q236,"")</x:f>
        <x:v>0.9957142857142857</x:v>
      </x:c>
      <x:c r="T236" t="s">
        <x:v>224</x:v>
      </x:c>
      <x:c r="U236" t="s">
        <x:v>1162</x:v>
      </x:c>
    </x:row>
    <x:row r="237">
      <x:c r="A237" t="s">
        <x:v>1394</x:v>
      </x:c>
      <x:c r="B237" t="s">
        <x:v>279</x:v>
      </x:c>
      <x:c r="C237" t="s">
        <x:v>782</x:v>
      </x:c>
      <x:c r="D237" t="s">
        <x:v>151</x:v>
      </x:c>
      <x:c r="E237">
        <x:v>4</x:v>
      </x:c>
      <x:c r="F237">
        <x:v>4</x:v>
      </x:c>
      <x:c r="G237" t="s">
        <x:v>232</x:v>
      </x:c>
      <x:c r="H237" t="s">
        <x:v>258</x:v>
      </x:c>
      <x:c r="I237" t="n">
        <x:f>IFERROR(XLOOKUP(G237,'模型SKU'!$A$5:$A$504,'模型SKU'!$E$5:$E$504),"")</x:f>
        <x:v>1280</x:v>
      </x:c>
      <x:c r="J237" t="n">
        <x:f>IFERROR(XLOOKUP(G237,'模型SKU'!$A$5:$A$504,'模型SKU'!$F$5:$F$504),"")</x:f>
        <x:v>720</x:v>
      </x:c>
      <x:c r="K237" t="n">
        <x:f>IFERROR(XLOOKUP(G237,'模型SKU'!$A$5:$A$504,'模型SKU'!$G$5:$G$504),"")</x:f>
        <x:v>24</x:v>
      </x:c>
      <x:c r="L237" t="n">
        <x:f>IFERROR((E237+F237)*I237*J237*K237/'参数'!$B$7,0)</x:f>
        <x:v>172800</x:v>
      </x:c>
      <x:c r="M237" t="s">
        <x:v>318</x:v>
      </x:c>
      <x:c r="N237" t="n">
        <x:f>IFERROR(XLOOKUP(C237,'渠道成本'!$A$5:$A$1004,'渠道成本'!$U$5:$U$1004),"")</x:f>
        <x:v>0.03013698630136986</x:v>
      </x:c>
      <x:c r="O237" t="n">
        <x:f>IFERROR(XLOOKUP(B237,'官方售价'!$A$5:$A$504,'官方售价'!$M$5:$M$504),"")</x:f>
        <x:v>6.301369863013698</x:v>
      </x:c>
      <x:c r="P237" t="n">
        <x:f>IF(M237="per_token",N237*L237/'参数'!$B$8,N237)</x:f>
        <x:v>0.03013698630136986</x:v>
      </x:c>
      <x:c r="Q237" t="n">
        <x:f>IFERROR(O237*D237,"")</x:f>
        <x:v>6.301369863013698</x:v>
      </x:c>
      <x:c r="R237" t="n">
        <x:f>IFERROR(Q237-P237,"")</x:f>
        <x:v>6.271232876712328</x:v>
      </x:c>
      <x:c r="S237" t="n">
        <x:f>IFERROR(R237/Q237,"")</x:f>
        <x:v>0.9952173913043478</x:v>
      </x:c>
      <x:c r="T237" t="s">
        <x:v>224</x:v>
      </x:c>
      <x:c r="U237" t="s">
        <x:v>1162</x:v>
      </x:c>
    </x:row>
    <x:row r="238">
      <x:c r="A238" t="s">
        <x:v>1395</x:v>
      </x:c>
      <x:c r="B238" t="s">
        <x:v>281</x:v>
      </x:c>
      <x:c r="C238" t="s">
        <x:v>786</x:v>
      </x:c>
      <x:c r="D238" t="s">
        <x:v>151</x:v>
      </x:c>
      <x:c r="E238">
        <x:v>4</x:v>
      </x:c>
      <x:c r="F238">
        <x:v>4</x:v>
      </x:c>
      <x:c r="G238" t="s">
        <x:v>232</x:v>
      </x:c>
      <x:c r="H238" t="s">
        <x:v>264</x:v>
      </x:c>
      <x:c r="I238" t="n">
        <x:f>IFERROR(XLOOKUP(G238,'模型SKU'!$A$5:$A$504,'模型SKU'!$E$5:$E$504),"")</x:f>
        <x:v>1280</x:v>
      </x:c>
      <x:c r="J238" t="n">
        <x:f>IFERROR(XLOOKUP(G238,'模型SKU'!$A$5:$A$504,'模型SKU'!$F$5:$F$504),"")</x:f>
        <x:v>720</x:v>
      </x:c>
      <x:c r="K238" t="n">
        <x:f>IFERROR(XLOOKUP(G238,'模型SKU'!$A$5:$A$504,'模型SKU'!$G$5:$G$504),"")</x:f>
        <x:v>24</x:v>
      </x:c>
      <x:c r="L238" t="n">
        <x:f>IFERROR((E238+F238)*I238*J238*K238/'参数'!$B$7,0)</x:f>
        <x:v>172800</x:v>
      </x:c>
      <x:c r="M238" t="s">
        <x:v>318</x:v>
      </x:c>
      <x:c r="N238" t="n">
        <x:f>IFERROR(XLOOKUP(C238,'渠道成本'!$A$5:$A$1004,'渠道成本'!$U$5:$U$1004),"")</x:f>
        <x:v>0.03013698630136986</x:v>
      </x:c>
      <x:c r="O238" t="n">
        <x:f>IFERROR(XLOOKUP(B238,'官方售价'!$A$5:$A$504,'官方售价'!$M$5:$M$504),"")</x:f>
        <x:v>3.835616438356164</x:v>
      </x:c>
      <x:c r="P238" t="n">
        <x:f>IF(M238="per_token",N238*L238/'参数'!$B$8,N238)</x:f>
        <x:v>0.03013698630136986</x:v>
      </x:c>
      <x:c r="Q238" t="n">
        <x:f>IFERROR(O238*D238,"")</x:f>
        <x:v>3.835616438356164</x:v>
      </x:c>
      <x:c r="R238" t="n">
        <x:f>IFERROR(Q238-P238,"")</x:f>
        <x:v>3.805479452054794</x:v>
      </x:c>
      <x:c r="S238" t="n">
        <x:f>IFERROR(R238/Q238,"")</x:f>
        <x:v>0.9921428571428571</x:v>
      </x:c>
      <x:c r="T238" t="s">
        <x:v>224</x:v>
      </x:c>
      <x:c r="U238" t="s">
        <x:v>1162</x:v>
      </x:c>
    </x:row>
    <x:row r="239">
      <x:c r="A239" t="s">
        <x:v>1396</x:v>
      </x:c>
      <x:c r="B239" t="s">
        <x:v>279</x:v>
      </x:c>
      <x:c r="C239" t="s">
        <x:v>787</x:v>
      </x:c>
      <x:c r="D239" t="s">
        <x:v>151</x:v>
      </x:c>
      <x:c r="E239">
        <x:v>4</x:v>
      </x:c>
      <x:c r="F239">
        <x:v>4</x:v>
      </x:c>
      <x:c r="G239" t="s">
        <x:v>232</x:v>
      </x:c>
      <x:c r="H239" t="s">
        <x:v>258</x:v>
      </x:c>
      <x:c r="I239" t="n">
        <x:f>IFERROR(XLOOKUP(G239,'模型SKU'!$A$5:$A$504,'模型SKU'!$E$5:$E$504),"")</x:f>
        <x:v>1280</x:v>
      </x:c>
      <x:c r="J239" t="n">
        <x:f>IFERROR(XLOOKUP(G239,'模型SKU'!$A$5:$A$504,'模型SKU'!$F$5:$F$504),"")</x:f>
        <x:v>720</x:v>
      </x:c>
      <x:c r="K239" t="n">
        <x:f>IFERROR(XLOOKUP(G239,'模型SKU'!$A$5:$A$504,'模型SKU'!$G$5:$G$504),"")</x:f>
        <x:v>24</x:v>
      </x:c>
      <x:c r="L239" t="n">
        <x:f>IFERROR((E239+F239)*I239*J239*K239/'参数'!$B$7,0)</x:f>
        <x:v>172800</x:v>
      </x:c>
      <x:c r="M239" t="s">
        <x:v>331</x:v>
      </x:c>
      <x:c r="N239" t="n">
        <x:f>IFERROR(XLOOKUP(C239,'渠道成本'!$A$5:$A$1004,'渠道成本'!$U$5:$U$1004),"")</x:f>
        <x:v>0.3150684931506849</x:v>
      </x:c>
      <x:c r="O239" t="n">
        <x:f>IFERROR(XLOOKUP(B239,'官方售价'!$A$5:$A$504,'官方售价'!$M$5:$M$504),"")</x:f>
        <x:v>6.301369863013698</x:v>
      </x:c>
      <x:c r="P239" t="n">
        <x:f>IF(M239="per_token",N239*L239/'参数'!$B$8,N239)</x:f>
        <x:v>0.3150684931506849</x:v>
      </x:c>
      <x:c r="Q239" t="n">
        <x:f>IFERROR(O239*D239,"")</x:f>
        <x:v>6.301369863013698</x:v>
      </x:c>
      <x:c r="R239" t="n">
        <x:f>IFERROR(Q239-P239,"")</x:f>
        <x:v>5.986301369863013</x:v>
      </x:c>
      <x:c r="S239" t="n">
        <x:f>IFERROR(R239/Q239,"")</x:f>
        <x:v>0.95</x:v>
      </x:c>
      <x:c r="T239" t="s">
        <x:v>224</x:v>
      </x:c>
      <x:c r="U239" t="s">
        <x:v>1162</x:v>
      </x:c>
    </x:row>
    <x:row r="240">
      <x:c r="A240" t="s">
        <x:v>1397</x:v>
      </x:c>
      <x:c r="B240" t="s">
        <x:v>281</x:v>
      </x:c>
      <x:c r="C240" t="s">
        <x:v>791</x:v>
      </x:c>
      <x:c r="D240" t="s">
        <x:v>151</x:v>
      </x:c>
      <x:c r="E240">
        <x:v>4</x:v>
      </x:c>
      <x:c r="F240">
        <x:v>4</x:v>
      </x:c>
      <x:c r="G240" t="s">
        <x:v>232</x:v>
      </x:c>
      <x:c r="H240" t="s">
        <x:v>264</x:v>
      </x:c>
      <x:c r="I240" t="n">
        <x:f>IFERROR(XLOOKUP(G240,'模型SKU'!$A$5:$A$504,'模型SKU'!$E$5:$E$504),"")</x:f>
        <x:v>1280</x:v>
      </x:c>
      <x:c r="J240" t="n">
        <x:f>IFERROR(XLOOKUP(G240,'模型SKU'!$A$5:$A$504,'模型SKU'!$F$5:$F$504),"")</x:f>
        <x:v>720</x:v>
      </x:c>
      <x:c r="K240" t="n">
        <x:f>IFERROR(XLOOKUP(G240,'模型SKU'!$A$5:$A$504,'模型SKU'!$G$5:$G$504),"")</x:f>
        <x:v>24</x:v>
      </x:c>
      <x:c r="L240" t="n">
        <x:f>IFERROR((E240+F240)*I240*J240*K240/'参数'!$B$7,0)</x:f>
        <x:v>172800</x:v>
      </x:c>
      <x:c r="M240" t="s">
        <x:v>331</x:v>
      </x:c>
      <x:c r="N240" t="n">
        <x:f>IFERROR(XLOOKUP(C240,'渠道成本'!$A$5:$A$1004,'渠道成本'!$U$5:$U$1004),"")</x:f>
        <x:v>0.3150684931506849</x:v>
      </x:c>
      <x:c r="O240" t="n">
        <x:f>IFERROR(XLOOKUP(B240,'官方售价'!$A$5:$A$504,'官方售价'!$M$5:$M$504),"")</x:f>
        <x:v>3.835616438356164</x:v>
      </x:c>
      <x:c r="P240" t="n">
        <x:f>IF(M240="per_token",N240*L240/'参数'!$B$8,N240)</x:f>
        <x:v>0.3150684931506849</x:v>
      </x:c>
      <x:c r="Q240" t="n">
        <x:f>IFERROR(O240*D240,"")</x:f>
        <x:v>3.835616438356164</x:v>
      </x:c>
      <x:c r="R240" t="n">
        <x:f>IFERROR(Q240-P240,"")</x:f>
        <x:v>3.5205479452054793</x:v>
      </x:c>
      <x:c r="S240" t="n">
        <x:f>IFERROR(R240/Q240,"")</x:f>
        <x:v>0.9178571428571429</x:v>
      </x:c>
      <x:c r="T240" t="s">
        <x:v>224</x:v>
      </x:c>
      <x:c r="U240" t="s">
        <x:v>1162</x:v>
      </x:c>
    </x:row>
    <x:row r="241">
      <x:c r="A241" t="s">
        <x:v>1398</x:v>
      </x:c>
      <x:c r="B241" t="s">
        <x:v>289</x:v>
      </x:c>
      <x:c r="C241" t="s">
        <x:v>792</x:v>
      </x:c>
      <x:c r="D241" t="s">
        <x:v>151</x:v>
      </x:c>
      <x:c r="E241">
        <x:v>4</x:v>
      </x:c>
      <x:c r="F241">
        <x:v>4</x:v>
      </x:c>
      <x:c r="G241" t="s">
        <x:v>238</x:v>
      </x:c>
      <x:c r="H241" t="s">
        <x:v>258</x:v>
      </x:c>
      <x:c r="I241" t="n">
        <x:f>IFERROR(XLOOKUP(G241,'模型SKU'!$A$5:$A$504,'模型SKU'!$E$5:$E$504),"")</x:f>
        <x:v>1280</x:v>
      </x:c>
      <x:c r="J241" t="n">
        <x:f>IFERROR(XLOOKUP(G241,'模型SKU'!$A$5:$A$504,'模型SKU'!$F$5:$F$504),"")</x:f>
        <x:v>720</x:v>
      </x:c>
      <x:c r="K241" t="n">
        <x:f>IFERROR(XLOOKUP(G241,'模型SKU'!$A$5:$A$504,'模型SKU'!$G$5:$G$504),"")</x:f>
        <x:v>24</x:v>
      </x:c>
      <x:c r="L241" t="n">
        <x:f>IFERROR((E241+F241)*I241*J241*K241/'参数'!$B$7,0)</x:f>
        <x:v>172800</x:v>
      </x:c>
      <x:c r="M241" t="s">
        <x:v>331</x:v>
      </x:c>
      <x:c r="N241" t="n">
        <x:f>IFERROR(XLOOKUP(C241,'渠道成本'!$A$5:$A$1004,'渠道成本'!$U$5:$U$1004),"")</x:f>
        <x:v>0.273972602739726</x:v>
      </x:c>
      <x:c r="O241" t="n">
        <x:f>IFERROR(XLOOKUP(B241,'官方售价'!$A$5:$A$504,'官方售价'!$M$5:$M$504),"")</x:f>
        <x:v>5.068493150684931</x:v>
      </x:c>
      <x:c r="P241" t="n">
        <x:f>IF(M241="per_token",N241*L241/'参数'!$B$8,N241)</x:f>
        <x:v>0.273972602739726</x:v>
      </x:c>
      <x:c r="Q241" t="n">
        <x:f>IFERROR(O241*D241,"")</x:f>
        <x:v>5.068493150684931</x:v>
      </x:c>
      <x:c r="R241" t="n">
        <x:f>IFERROR(Q241-P241,"")</x:f>
        <x:v>4.794520547945205</x:v>
      </x:c>
      <x:c r="S241" t="n">
        <x:f>IFERROR(R241/Q241,"")</x:f>
        <x:v>0.9459459459459459</x:v>
      </x:c>
      <x:c r="T241" t="s">
        <x:v>224</x:v>
      </x:c>
      <x:c r="U241" t="s">
        <x:v>1162</x:v>
      </x:c>
    </x:row>
    <x:row r="242">
      <x:c r="A242" t="s">
        <x:v>1399</x:v>
      </x:c>
      <x:c r="B242" t="s">
        <x:v>291</x:v>
      </x:c>
      <x:c r="C242" t="s">
        <x:v>796</x:v>
      </x:c>
      <x:c r="D242" t="s">
        <x:v>151</x:v>
      </x:c>
      <x:c r="E242">
        <x:v>4</x:v>
      </x:c>
      <x:c r="F242">
        <x:v>4</x:v>
      </x:c>
      <x:c r="G242" t="s">
        <x:v>238</x:v>
      </x:c>
      <x:c r="H242" t="s">
        <x:v>264</x:v>
      </x:c>
      <x:c r="I242" t="n">
        <x:f>IFERROR(XLOOKUP(G242,'模型SKU'!$A$5:$A$504,'模型SKU'!$E$5:$E$504),"")</x:f>
        <x:v>1280</x:v>
      </x:c>
      <x:c r="J242" t="n">
        <x:f>IFERROR(XLOOKUP(G242,'模型SKU'!$A$5:$A$504,'模型SKU'!$F$5:$F$504),"")</x:f>
        <x:v>720</x:v>
      </x:c>
      <x:c r="K242" t="n">
        <x:f>IFERROR(XLOOKUP(G242,'模型SKU'!$A$5:$A$504,'模型SKU'!$G$5:$G$504),"")</x:f>
        <x:v>24</x:v>
      </x:c>
      <x:c r="L242" t="n">
        <x:f>IFERROR((E242+F242)*I242*J242*K242/'参数'!$B$7,0)</x:f>
        <x:v>172800</x:v>
      </x:c>
      <x:c r="M242" t="s">
        <x:v>331</x:v>
      </x:c>
      <x:c r="N242" t="n">
        <x:f>IFERROR(XLOOKUP(C242,'渠道成本'!$A$5:$A$1004,'渠道成本'!$U$5:$U$1004),"")</x:f>
        <x:v>0.273972602739726</x:v>
      </x:c>
      <x:c r="O242" t="n">
        <x:f>IFERROR(XLOOKUP(B242,'官方售价'!$A$5:$A$504,'官方售价'!$M$5:$M$504),"")</x:f>
        <x:v>3.013698630136986</x:v>
      </x:c>
      <x:c r="P242" t="n">
        <x:f>IF(M242="per_token",N242*L242/'参数'!$B$8,N242)</x:f>
        <x:v>0.273972602739726</x:v>
      </x:c>
      <x:c r="Q242" t="n">
        <x:f>IFERROR(O242*D242,"")</x:f>
        <x:v>3.013698630136986</x:v>
      </x:c>
      <x:c r="R242" t="n">
        <x:f>IFERROR(Q242-P242,"")</x:f>
        <x:v>2.7397260273972597</x:v>
      </x:c>
      <x:c r="S242" t="n">
        <x:f>IFERROR(R242/Q242,"")</x:f>
        <x:v>0.9090909090909091</x:v>
      </x:c>
      <x:c r="T242" t="s">
        <x:v>224</x:v>
      </x:c>
      <x:c r="U242" t="s">
        <x:v>1162</x:v>
      </x:c>
    </x:row>
    <x:row r="243">
      <x:c r="A243" t="s">
        <x:v>1400</x:v>
      </x:c>
      <x:c r="B243" t="s">
        <x:v>267</x:v>
      </x:c>
      <x:c r="C243" t="s">
        <x:v>797</x:v>
      </x:c>
      <x:c r="D243" t="s">
        <x:v>151</x:v>
      </x:c>
      <x:c r="E243">
        <x:v>4</x:v>
      </x:c>
      <x:c r="F243">
        <x:v>4</x:v>
      </x:c>
      <x:c r="G243" t="s">
        <x:v>227</x:v>
      </x:c>
      <x:c r="H243" t="s">
        <x:v>258</x:v>
      </x:c>
      <x:c r="I243" t="n">
        <x:f>IFERROR(XLOOKUP(G243,'模型SKU'!$A$5:$A$504,'模型SKU'!$E$5:$E$504),"")</x:f>
        <x:v>864</x:v>
      </x:c>
      <x:c r="J243" t="n">
        <x:f>IFERROR(XLOOKUP(G243,'模型SKU'!$A$5:$A$504,'模型SKU'!$F$5:$F$504),"")</x:f>
        <x:v>496</x:v>
      </x:c>
      <x:c r="K243" t="n">
        <x:f>IFERROR(XLOOKUP(G243,'模型SKU'!$A$5:$A$504,'模型SKU'!$G$5:$G$504),"")</x:f>
        <x:v>24</x:v>
      </x:c>
      <x:c r="L243" t="n">
        <x:f>IFERROR((E243+F243)*I243*J243*K243/'参数'!$B$7,0)</x:f>
        <x:v>80352</x:v>
      </x:c>
      <x:c r="M243" t="s">
        <x:v>331</x:v>
      </x:c>
      <x:c r="N243" t="n">
        <x:f>IFERROR(XLOOKUP(C243,'渠道成本'!$A$5:$A$1004,'渠道成本'!$U$5:$U$1004),"")</x:f>
        <x:v>0.6575342465753424</x:v>
      </x:c>
      <x:c r="O243" t="n">
        <x:f>IFERROR(XLOOKUP(B243,'官方售价'!$A$5:$A$504,'官方售价'!$M$5:$M$504),"")</x:f>
        <x:v>6.301369863013698</x:v>
      </x:c>
      <x:c r="P243" t="n">
        <x:f>IF(M243="per_token",N243*L243/'参数'!$B$8,N243)</x:f>
        <x:v>0.6575342465753424</x:v>
      </x:c>
      <x:c r="Q243" t="n">
        <x:f>IFERROR(O243*D243,"")</x:f>
        <x:v>6.301369863013698</x:v>
      </x:c>
      <x:c r="R243" t="n">
        <x:f>IFERROR(Q243-P243,"")</x:f>
        <x:v>5.643835616438356</x:v>
      </x:c>
      <x:c r="S243" t="n">
        <x:f>IFERROR(R243/Q243,"")</x:f>
        <x:v>0.8956521739130435</x:v>
      </x:c>
      <x:c r="T243" t="s">
        <x:v>224</x:v>
      </x:c>
      <x:c r="U243" t="s">
        <x:v>1162</x:v>
      </x:c>
    </x:row>
    <x:row r="244">
      <x:c r="A244" t="s">
        <x:v>1401</x:v>
      </x:c>
      <x:c r="B244" t="s">
        <x:v>270</x:v>
      </x:c>
      <x:c r="C244" t="s">
        <x:v>801</x:v>
      </x:c>
      <x:c r="D244" t="s">
        <x:v>151</x:v>
      </x:c>
      <x:c r="E244">
        <x:v>4</x:v>
      </x:c>
      <x:c r="F244">
        <x:v>4</x:v>
      </x:c>
      <x:c r="G244" t="s">
        <x:v>227</x:v>
      </x:c>
      <x:c r="H244" t="s">
        <x:v>264</x:v>
      </x:c>
      <x:c r="I244" t="n">
        <x:f>IFERROR(XLOOKUP(G244,'模型SKU'!$A$5:$A$504,'模型SKU'!$E$5:$E$504),"")</x:f>
        <x:v>864</x:v>
      </x:c>
      <x:c r="J244" t="n">
        <x:f>IFERROR(XLOOKUP(G244,'模型SKU'!$A$5:$A$504,'模型SKU'!$F$5:$F$504),"")</x:f>
        <x:v>496</x:v>
      </x:c>
      <x:c r="K244" t="n">
        <x:f>IFERROR(XLOOKUP(G244,'模型SKU'!$A$5:$A$504,'模型SKU'!$G$5:$G$504),"")</x:f>
        <x:v>24</x:v>
      </x:c>
      <x:c r="L244" t="n">
        <x:f>IFERROR((E244+F244)*I244*J244*K244/'参数'!$B$7,0)</x:f>
        <x:v>80352</x:v>
      </x:c>
      <x:c r="M244" t="s">
        <x:v>331</x:v>
      </x:c>
      <x:c r="N244" t="n">
        <x:f>IFERROR(XLOOKUP(C244,'渠道成本'!$A$5:$A$1004,'渠道成本'!$U$5:$U$1004),"")</x:f>
        <x:v>0.6575342465753424</x:v>
      </x:c>
      <x:c r="O244" t="n">
        <x:f>IFERROR(XLOOKUP(B244,'官方售价'!$A$5:$A$504,'官方售价'!$M$5:$M$504),"")</x:f>
        <x:v>3.835616438356164</x:v>
      </x:c>
      <x:c r="P244" t="n">
        <x:f>IF(M244="per_token",N244*L244/'参数'!$B$8,N244)</x:f>
        <x:v>0.6575342465753424</x:v>
      </x:c>
      <x:c r="Q244" t="n">
        <x:f>IFERROR(O244*D244,"")</x:f>
        <x:v>3.835616438356164</x:v>
      </x:c>
      <x:c r="R244" t="n">
        <x:f>IFERROR(Q244-P244,"")</x:f>
        <x:v>3.1780821917808217</x:v>
      </x:c>
      <x:c r="S244" t="n">
        <x:f>IFERROR(R244/Q244,"")</x:f>
        <x:v>0.8285714285714286</x:v>
      </x:c>
      <x:c r="T244" t="s">
        <x:v>224</x:v>
      </x:c>
      <x:c r="U244" t="s">
        <x:v>1162</x:v>
      </x:c>
    </x:row>
    <x:row r="245">
      <x:c r="A245" t="s">
        <x:v>1402</x:v>
      </x:c>
      <x:c r="B245" t="s">
        <x:v>279</x:v>
      </x:c>
      <x:c r="C245" t="s">
        <x:v>802</x:v>
      </x:c>
      <x:c r="D245" t="s">
        <x:v>151</x:v>
      </x:c>
      <x:c r="E245">
        <x:v>4</x:v>
      </x:c>
      <x:c r="F245">
        <x:v>4</x:v>
      </x:c>
      <x:c r="G245" t="s">
        <x:v>232</x:v>
      </x:c>
      <x:c r="H245" t="s">
        <x:v>258</x:v>
      </x:c>
      <x:c r="I245" t="n">
        <x:f>IFERROR(XLOOKUP(G245,'模型SKU'!$A$5:$A$504,'模型SKU'!$E$5:$E$504),"")</x:f>
        <x:v>1280</x:v>
      </x:c>
      <x:c r="J245" t="n">
        <x:f>IFERROR(XLOOKUP(G245,'模型SKU'!$A$5:$A$504,'模型SKU'!$F$5:$F$504),"")</x:f>
        <x:v>720</x:v>
      </x:c>
      <x:c r="K245" t="n">
        <x:f>IFERROR(XLOOKUP(G245,'模型SKU'!$A$5:$A$504,'模型SKU'!$G$5:$G$504),"")</x:f>
        <x:v>24</x:v>
      </x:c>
      <x:c r="L245" t="n">
        <x:f>IFERROR((E245+F245)*I245*J245*K245/'参数'!$B$7,0)</x:f>
        <x:v>172800</x:v>
      </x:c>
      <x:c r="M245" t="s">
        <x:v>331</x:v>
      </x:c>
      <x:c r="N245" t="n">
        <x:f>IFERROR(XLOOKUP(C245,'渠道成本'!$A$5:$A$1004,'渠道成本'!$U$5:$U$1004),"")</x:f>
        <x:v>0.7945205479452054</x:v>
      </x:c>
      <x:c r="O245" t="n">
        <x:f>IFERROR(XLOOKUP(B245,'官方售价'!$A$5:$A$504,'官方售价'!$M$5:$M$504),"")</x:f>
        <x:v>6.301369863013698</x:v>
      </x:c>
      <x:c r="P245" t="n">
        <x:f>IF(M245="per_token",N245*L245/'参数'!$B$8,N245)</x:f>
        <x:v>0.7945205479452054</x:v>
      </x:c>
      <x:c r="Q245" t="n">
        <x:f>IFERROR(O245*D245,"")</x:f>
        <x:v>6.301369863013698</x:v>
      </x:c>
      <x:c r="R245" t="n">
        <x:f>IFERROR(Q245-P245,"")</x:f>
        <x:v>5.506849315068493</x:v>
      </x:c>
      <x:c r="S245" t="n">
        <x:f>IFERROR(R245/Q245,"")</x:f>
        <x:v>0.8739130434782609</x:v>
      </x:c>
      <x:c r="T245" t="s">
        <x:v>224</x:v>
      </x:c>
      <x:c r="U245" t="s">
        <x:v>1162</x:v>
      </x:c>
    </x:row>
    <x:row r="246">
      <x:c r="A246" t="s">
        <x:v>1403</x:v>
      </x:c>
      <x:c r="B246" t="s">
        <x:v>281</x:v>
      </x:c>
      <x:c r="C246" t="s">
        <x:v>804</x:v>
      </x:c>
      <x:c r="D246" t="s">
        <x:v>151</x:v>
      </x:c>
      <x:c r="E246">
        <x:v>4</x:v>
      </x:c>
      <x:c r="F246">
        <x:v>4</x:v>
      </x:c>
      <x:c r="G246" t="s">
        <x:v>232</x:v>
      </x:c>
      <x:c r="H246" t="s">
        <x:v>264</x:v>
      </x:c>
      <x:c r="I246" t="n">
        <x:f>IFERROR(XLOOKUP(G246,'模型SKU'!$A$5:$A$504,'模型SKU'!$E$5:$E$504),"")</x:f>
        <x:v>1280</x:v>
      </x:c>
      <x:c r="J246" t="n">
        <x:f>IFERROR(XLOOKUP(G246,'模型SKU'!$A$5:$A$504,'模型SKU'!$F$5:$F$504),"")</x:f>
        <x:v>720</x:v>
      </x:c>
      <x:c r="K246" t="n">
        <x:f>IFERROR(XLOOKUP(G246,'模型SKU'!$A$5:$A$504,'模型SKU'!$G$5:$G$504),"")</x:f>
        <x:v>24</x:v>
      </x:c>
      <x:c r="L246" t="n">
        <x:f>IFERROR((E246+F246)*I246*J246*K246/'参数'!$B$7,0)</x:f>
        <x:v>172800</x:v>
      </x:c>
      <x:c r="M246" t="s">
        <x:v>331</x:v>
      </x:c>
      <x:c r="N246" t="n">
        <x:f>IFERROR(XLOOKUP(C246,'渠道成本'!$A$5:$A$1004,'渠道成本'!$U$5:$U$1004),"")</x:f>
        <x:v>0.7945205479452054</x:v>
      </x:c>
      <x:c r="O246" t="n">
        <x:f>IFERROR(XLOOKUP(B246,'官方售价'!$A$5:$A$504,'官方售价'!$M$5:$M$504),"")</x:f>
        <x:v>3.835616438356164</x:v>
      </x:c>
      <x:c r="P246" t="n">
        <x:f>IF(M246="per_token",N246*L246/'参数'!$B$8,N246)</x:f>
        <x:v>0.7945205479452054</x:v>
      </x:c>
      <x:c r="Q246" t="n">
        <x:f>IFERROR(O246*D246,"")</x:f>
        <x:v>3.835616438356164</x:v>
      </x:c>
      <x:c r="R246" t="n">
        <x:f>IFERROR(Q246-P246,"")</x:f>
        <x:v>3.0410958904109586</x:v>
      </x:c>
      <x:c r="S246" t="n">
        <x:f>IFERROR(R246/Q246,"")</x:f>
        <x:v>0.7928571428571428</x:v>
      </x:c>
      <x:c r="T246" t="s">
        <x:v>224</x:v>
      </x:c>
      <x:c r="U246" t="s">
        <x:v>1162</x:v>
      </x:c>
    </x:row>
    <x:row r="247">
      <x:c r="A247" t="s">
        <x:v>1404</x:v>
      </x:c>
      <x:c r="B247" t="s">
        <x:v>257</x:v>
      </x:c>
      <x:c r="C247" t="s">
        <x:v>805</x:v>
      </x:c>
      <x:c r="D247" t="s">
        <x:v>151</x:v>
      </x:c>
      <x:c r="E247">
        <x:v>4</x:v>
      </x:c>
      <x:c r="F247">
        <x:v>4</x:v>
      </x:c>
      <x:c r="G247" t="s">
        <x:v>217</x:v>
      </x:c>
      <x:c r="H247" t="s">
        <x:v>258</x:v>
      </x:c>
      <x:c r="I247" t="n">
        <x:f>IFERROR(XLOOKUP(G247,'模型SKU'!$A$5:$A$504,'模型SKU'!$E$5:$E$504),"")</x:f>
        <x:v>1920</x:v>
      </x:c>
      <x:c r="J247" t="n">
        <x:f>IFERROR(XLOOKUP(G247,'模型SKU'!$A$5:$A$504,'模型SKU'!$F$5:$F$504),"")</x:f>
        <x:v>1080</x:v>
      </x:c>
      <x:c r="K247" t="n">
        <x:f>IFERROR(XLOOKUP(G247,'模型SKU'!$A$5:$A$504,'模型SKU'!$G$5:$G$504),"")</x:f>
        <x:v>24</x:v>
      </x:c>
      <x:c r="L247" t="n">
        <x:f>IFERROR((E247+F247)*I247*J247*K247/'参数'!$B$7,0)</x:f>
        <x:v>388800</x:v>
      </x:c>
      <x:c r="M247" t="s">
        <x:v>318</x:v>
      </x:c>
      <x:c r="N247" t="n">
        <x:f>IFERROR(XLOOKUP(C247,'渠道成本'!$A$5:$A$1004,'渠道成本'!$U$5:$U$1004),"")</x:f>
        <x:v>0.0821917808219178</x:v>
      </x:c>
      <x:c r="O247" t="n">
        <x:f>IFERROR(XLOOKUP(B247,'官方售价'!$A$5:$A$504,'官方售价'!$M$5:$M$504),"")</x:f>
        <x:v>6.986301369863013</x:v>
      </x:c>
      <x:c r="P247" t="n">
        <x:f>IF(M247="per_token",N247*L247/'参数'!$B$8,N247)</x:f>
        <x:v>0.0821917808219178</x:v>
      </x:c>
      <x:c r="Q247" t="n">
        <x:f>IFERROR(O247*D247,"")</x:f>
        <x:v>6.986301369863013</x:v>
      </x:c>
      <x:c r="R247" t="n">
        <x:f>IFERROR(Q247-P247,"")</x:f>
        <x:v>6.904109589041095</x:v>
      </x:c>
      <x:c r="S247" t="n">
        <x:f>IFERROR(R247/Q247,"")</x:f>
        <x:v>0.988235294117647</x:v>
      </x:c>
      <x:c r="T247" t="s">
        <x:v>224</x:v>
      </x:c>
      <x:c r="U247" t="s">
        <x:v>1162</x:v>
      </x:c>
    </x:row>
    <x:row r="248">
      <x:c r="A248" t="s">
        <x:v>1405</x:v>
      </x:c>
      <x:c r="B248" t="s">
        <x:v>263</x:v>
      </x:c>
      <x:c r="C248" t="s">
        <x:v>806</x:v>
      </x:c>
      <x:c r="D248" t="s">
        <x:v>151</x:v>
      </x:c>
      <x:c r="E248">
        <x:v>4</x:v>
      </x:c>
      <x:c r="F248">
        <x:v>4</x:v>
      </x:c>
      <x:c r="G248" t="s">
        <x:v>217</x:v>
      </x:c>
      <x:c r="H248" t="s">
        <x:v>264</x:v>
      </x:c>
      <x:c r="I248" t="n">
        <x:f>IFERROR(XLOOKUP(G248,'模型SKU'!$A$5:$A$504,'模型SKU'!$E$5:$E$504),"")</x:f>
        <x:v>1920</x:v>
      </x:c>
      <x:c r="J248" t="n">
        <x:f>IFERROR(XLOOKUP(G248,'模型SKU'!$A$5:$A$504,'模型SKU'!$F$5:$F$504),"")</x:f>
        <x:v>1080</x:v>
      </x:c>
      <x:c r="K248" t="n">
        <x:f>IFERROR(XLOOKUP(G248,'模型SKU'!$A$5:$A$504,'模型SKU'!$G$5:$G$504),"")</x:f>
        <x:v>24</x:v>
      </x:c>
      <x:c r="L248" t="n">
        <x:f>IFERROR((E248+F248)*I248*J248*K248/'参数'!$B$7,0)</x:f>
        <x:v>388800</x:v>
      </x:c>
      <x:c r="M248" t="s">
        <x:v>318</x:v>
      </x:c>
      <x:c r="N248" t="n">
        <x:f>IFERROR(XLOOKUP(C248,'渠道成本'!$A$5:$A$1004,'渠道成本'!$U$5:$U$1004),"")</x:f>
        <x:v>0.0821917808219178</x:v>
      </x:c>
      <x:c r="O248" t="n">
        <x:f>IFERROR(XLOOKUP(B248,'官方售价'!$A$5:$A$504,'官方售价'!$M$5:$M$504),"")</x:f>
        <x:v>4.2465753424657535</x:v>
      </x:c>
      <x:c r="P248" t="n">
        <x:f>IF(M248="per_token",N248*L248/'参数'!$B$8,N248)</x:f>
        <x:v>0.0821917808219178</x:v>
      </x:c>
      <x:c r="Q248" t="n">
        <x:f>IFERROR(O248*D248,"")</x:f>
        <x:v>4.2465753424657535</x:v>
      </x:c>
      <x:c r="R248" t="n">
        <x:f>IFERROR(Q248-P248,"")</x:f>
        <x:v>4.164383561643835</x:v>
      </x:c>
      <x:c r="S248" t="n">
        <x:f>IFERROR(R248/Q248,"")</x:f>
        <x:v>0.9806451612903225</x:v>
      </x:c>
      <x:c r="T248" t="s">
        <x:v>224</x:v>
      </x:c>
      <x:c r="U248" t="s">
        <x:v>1162</x:v>
      </x:c>
    </x:row>
    <x:row r="249">
      <x:c r="A249" t="s">
        <x:v>1406</x:v>
      </x:c>
      <x:c r="B249" t="s">
        <x:v>273</x:v>
      </x:c>
      <x:c r="C249" t="s">
        <x:v>807</x:v>
      </x:c>
      <x:c r="D249" t="s">
        <x:v>151</x:v>
      </x:c>
      <x:c r="E249">
        <x:v>4</x:v>
      </x:c>
      <x:c r="F249">
        <x:v>4</x:v>
      </x:c>
      <x:c r="G249" t="s">
        <x:v>230</x:v>
      </x:c>
      <x:c r="H249" t="s">
        <x:v>258</x:v>
      </x:c>
      <x:c r="I249" t="n">
        <x:f>IFERROR(XLOOKUP(G249,'模型SKU'!$A$5:$A$504,'模型SKU'!$E$5:$E$504),"")</x:f>
        <x:v>3840</x:v>
      </x:c>
      <x:c r="J249" t="n">
        <x:f>IFERROR(XLOOKUP(G249,'模型SKU'!$A$5:$A$504,'模型SKU'!$F$5:$F$504),"")</x:f>
        <x:v>2160</x:v>
      </x:c>
      <x:c r="K249" t="n">
        <x:f>IFERROR(XLOOKUP(G249,'模型SKU'!$A$5:$A$504,'模型SKU'!$G$5:$G$504),"")</x:f>
        <x:v>24</x:v>
      </x:c>
      <x:c r="L249" t="n">
        <x:f>IFERROR((E249+F249)*I249*J249*K249/'参数'!$B$7,0)</x:f>
        <x:v>1555200</x:v>
      </x:c>
      <x:c r="M249" t="s">
        <x:v>318</x:v>
      </x:c>
      <x:c r="N249" t="n">
        <x:f>IFERROR(XLOOKUP(C249,'渠道成本'!$A$5:$A$1004,'渠道成本'!$U$5:$U$1004),"")</x:f>
        <x:v>0.23424657534246573</x:v>
      </x:c>
      <x:c r="O249" t="n">
        <x:f>IFERROR(XLOOKUP(B249,'官方售价'!$A$5:$A$504,'官方售价'!$M$5:$M$504),"")</x:f>
        <x:v>3.5616438356164384</x:v>
      </x:c>
      <x:c r="P249" t="n">
        <x:f>IF(M249="per_token",N249*L249/'参数'!$B$8,N249)</x:f>
        <x:v>0.23424657534246573</x:v>
      </x:c>
      <x:c r="Q249" t="n">
        <x:f>IFERROR(O249*D249,"")</x:f>
        <x:v>3.5616438356164384</x:v>
      </x:c>
      <x:c r="R249" t="n">
        <x:f>IFERROR(Q249-P249,"")</x:f>
        <x:v>3.3273972602739725</x:v>
      </x:c>
      <x:c r="S249" t="n">
        <x:f>IFERROR(R249/Q249,"")</x:f>
        <x:v>0.9342307692307692</x:v>
      </x:c>
      <x:c r="T249" t="s">
        <x:v>224</x:v>
      </x:c>
      <x:c r="U249" t="s">
        <x:v>1162</x:v>
      </x:c>
    </x:row>
    <x:row r="250">
      <x:c r="A250" t="s">
        <x:v>1407</x:v>
      </x:c>
      <x:c r="B250" t="s">
        <x:v>276</x:v>
      </x:c>
      <x:c r="C250" t="s">
        <x:v>809</x:v>
      </x:c>
      <x:c r="D250" t="s">
        <x:v>151</x:v>
      </x:c>
      <x:c r="E250">
        <x:v>4</x:v>
      </x:c>
      <x:c r="F250">
        <x:v>4</x:v>
      </x:c>
      <x:c r="G250" t="s">
        <x:v>230</x:v>
      </x:c>
      <x:c r="H250" t="s">
        <x:v>264</x:v>
      </x:c>
      <x:c r="I250" t="n">
        <x:f>IFERROR(XLOOKUP(G250,'模型SKU'!$A$5:$A$504,'模型SKU'!$E$5:$E$504),"")</x:f>
        <x:v>3840</x:v>
      </x:c>
      <x:c r="J250" t="n">
        <x:f>IFERROR(XLOOKUP(G250,'模型SKU'!$A$5:$A$504,'模型SKU'!$F$5:$F$504),"")</x:f>
        <x:v>2160</x:v>
      </x:c>
      <x:c r="K250" t="n">
        <x:f>IFERROR(XLOOKUP(G250,'模型SKU'!$A$5:$A$504,'模型SKU'!$G$5:$G$504),"")</x:f>
        <x:v>24</x:v>
      </x:c>
      <x:c r="L250" t="n">
        <x:f>IFERROR((E250+F250)*I250*J250*K250/'参数'!$B$7,0)</x:f>
        <x:v>1555200</x:v>
      </x:c>
      <x:c r="M250" t="s">
        <x:v>318</x:v>
      </x:c>
      <x:c r="N250" t="n">
        <x:f>IFERROR(XLOOKUP(C250,'渠道成本'!$A$5:$A$1004,'渠道成本'!$U$5:$U$1004),"")</x:f>
        <x:v>0.23424657534246573</x:v>
      </x:c>
      <x:c r="O250" t="n">
        <x:f>IFERROR(XLOOKUP(B250,'官方售价'!$A$5:$A$504,'官方售价'!$M$5:$M$504),"")</x:f>
        <x:v>2.191780821917808</x:v>
      </x:c>
      <x:c r="P250" t="n">
        <x:f>IF(M250="per_token",N250*L250/'参数'!$B$8,N250)</x:f>
        <x:v>0.23424657534246573</x:v>
      </x:c>
      <x:c r="Q250" t="n">
        <x:f>IFERROR(O250*D250,"")</x:f>
        <x:v>2.191780821917808</x:v>
      </x:c>
      <x:c r="R250" t="n">
        <x:f>IFERROR(Q250-P250,"")</x:f>
        <x:v>1.9575342465753423</x:v>
      </x:c>
      <x:c r="S250" t="n">
        <x:f>IFERROR(R250/Q250,"")</x:f>
        <x:v>0.893125</x:v>
      </x:c>
      <x:c r="T250" t="s">
        <x:v>224</x:v>
      </x:c>
      <x:c r="U250" t="s">
        <x:v>1162</x:v>
      </x:c>
    </x:row>
    <x:row r="251">
      <x:c r="A251" t="s">
        <x:v>1408</x:v>
      </x:c>
      <x:c r="B251" t="s">
        <x:v>283</x:v>
      </x:c>
      <x:c r="C251" t="s">
        <x:v>810</x:v>
      </x:c>
      <x:c r="D251" t="s">
        <x:v>151</x:v>
      </x:c>
      <x:c r="E251">
        <x:v>4</x:v>
      </x:c>
      <x:c r="F251">
        <x:v>4</x:v>
      </x:c>
      <x:c r="G251" t="s">
        <x:v>234</x:v>
      </x:c>
      <x:c r="H251" t="s">
        <x:v>258</x:v>
      </x:c>
      <x:c r="I251" t="n">
        <x:f>IFERROR(XLOOKUP(G251,'模型SKU'!$A$5:$A$504,'模型SKU'!$E$5:$E$504),"")</x:f>
        <x:v>864</x:v>
      </x:c>
      <x:c r="J251" t="n">
        <x:f>IFERROR(XLOOKUP(G251,'模型SKU'!$A$5:$A$504,'模型SKU'!$F$5:$F$504),"")</x:f>
        <x:v>496</x:v>
      </x:c>
      <x:c r="K251" t="n">
        <x:f>IFERROR(XLOOKUP(G251,'模型SKU'!$A$5:$A$504,'模型SKU'!$G$5:$G$504),"")</x:f>
        <x:v>24</x:v>
      </x:c>
      <x:c r="L251" t="n">
        <x:f>IFERROR((E251+F251)*I251*J251*K251/'参数'!$B$7,0)</x:f>
        <x:v>80352</x:v>
      </x:c>
      <x:c r="M251" t="s">
        <x:v>331</x:v>
      </x:c>
      <x:c r="N251" t="n">
        <x:f>IFERROR(XLOOKUP(C251,'渠道成本'!$A$5:$A$1004,'渠道成本'!$U$5:$U$1004),"")</x:f>
        <x:v>0.4520547945205479</x:v>
      </x:c>
      <x:c r="O251" t="n">
        <x:f>IFERROR(XLOOKUP(B251,'官方售价'!$A$5:$A$504,'官方售价'!$M$5:$M$504),"")</x:f>
        <x:v>5.068493150684931</x:v>
      </x:c>
      <x:c r="P251" t="n">
        <x:f>IF(M251="per_token",N251*L251/'参数'!$B$8,N251)</x:f>
        <x:v>0.4520547945205479</x:v>
      </x:c>
      <x:c r="Q251" t="n">
        <x:f>IFERROR(O251*D251,"")</x:f>
        <x:v>5.068493150684931</x:v>
      </x:c>
      <x:c r="R251" t="n">
        <x:f>IFERROR(Q251-P251,"")</x:f>
        <x:v>4.616438356164384</x:v>
      </x:c>
      <x:c r="S251" t="n">
        <x:f>IFERROR(R251/Q251,"")</x:f>
        <x:v>0.910810810810811</x:v>
      </x:c>
      <x:c r="T251" t="s">
        <x:v>224</x:v>
      </x:c>
      <x:c r="U251" t="s">
        <x:v>1162</x:v>
      </x:c>
    </x:row>
    <x:row r="252">
      <x:c r="A252" t="s">
        <x:v>1409</x:v>
      </x:c>
      <x:c r="B252" t="s">
        <x:v>286</x:v>
      </x:c>
      <x:c r="C252" t="s">
        <x:v>814</x:v>
      </x:c>
      <x:c r="D252" t="s">
        <x:v>151</x:v>
      </x:c>
      <x:c r="E252">
        <x:v>4</x:v>
      </x:c>
      <x:c r="F252">
        <x:v>4</x:v>
      </x:c>
      <x:c r="G252" t="s">
        <x:v>234</x:v>
      </x:c>
      <x:c r="H252" t="s">
        <x:v>264</x:v>
      </x:c>
      <x:c r="I252" t="n">
        <x:f>IFERROR(XLOOKUP(G252,'模型SKU'!$A$5:$A$504,'模型SKU'!$E$5:$E$504),"")</x:f>
        <x:v>864</x:v>
      </x:c>
      <x:c r="J252" t="n">
        <x:f>IFERROR(XLOOKUP(G252,'模型SKU'!$A$5:$A$504,'模型SKU'!$F$5:$F$504),"")</x:f>
        <x:v>496</x:v>
      </x:c>
      <x:c r="K252" t="n">
        <x:f>IFERROR(XLOOKUP(G252,'模型SKU'!$A$5:$A$504,'模型SKU'!$G$5:$G$504),"")</x:f>
        <x:v>24</x:v>
      </x:c>
      <x:c r="L252" t="n">
        <x:f>IFERROR((E252+F252)*I252*J252*K252/'参数'!$B$7,0)</x:f>
        <x:v>80352</x:v>
      </x:c>
      <x:c r="M252" t="s">
        <x:v>331</x:v>
      </x:c>
      <x:c r="N252" t="n">
        <x:f>IFERROR(XLOOKUP(C252,'渠道成本'!$A$5:$A$1004,'渠道成本'!$U$5:$U$1004),"")</x:f>
        <x:v>0.4520547945205479</x:v>
      </x:c>
      <x:c r="O252" t="n">
        <x:f>IFERROR(XLOOKUP(B252,'官方售价'!$A$5:$A$504,'官方售价'!$M$5:$M$504),"")</x:f>
        <x:v>3.013698630136986</x:v>
      </x:c>
      <x:c r="P252" t="n">
        <x:f>IF(M252="per_token",N252*L252/'参数'!$B$8,N252)</x:f>
        <x:v>0.4520547945205479</x:v>
      </x:c>
      <x:c r="Q252" t="n">
        <x:f>IFERROR(O252*D252,"")</x:f>
        <x:v>3.013698630136986</x:v>
      </x:c>
      <x:c r="R252" t="n">
        <x:f>IFERROR(Q252-P252,"")</x:f>
        <x:v>2.561643835616438</x:v>
      </x:c>
      <x:c r="S252" t="n">
        <x:f>IFERROR(R252/Q252,"")</x:f>
        <x:v>0.85</x:v>
      </x:c>
      <x:c r="T252" t="s">
        <x:v>224</x:v>
      </x:c>
      <x:c r="U252" t="s">
        <x:v>1162</x:v>
      </x:c>
    </x:row>
    <x:row r="253">
      <x:c r="A253" t="s">
        <x:v>1410</x:v>
      </x:c>
      <x:c r="B253" t="s">
        <x:v>289</x:v>
      </x:c>
      <x:c r="C253" t="s">
        <x:v>815</x:v>
      </x:c>
      <x:c r="D253" t="s">
        <x:v>151</x:v>
      </x:c>
      <x:c r="E253">
        <x:v>4</x:v>
      </x:c>
      <x:c r="F253">
        <x:v>4</x:v>
      </x:c>
      <x:c r="G253" t="s">
        <x:v>238</x:v>
      </x:c>
      <x:c r="H253" t="s">
        <x:v>258</x:v>
      </x:c>
      <x:c r="I253" t="n">
        <x:f>IFERROR(XLOOKUP(G253,'模型SKU'!$A$5:$A$504,'模型SKU'!$E$5:$E$504),"")</x:f>
        <x:v>1280</x:v>
      </x:c>
      <x:c r="J253" t="n">
        <x:f>IFERROR(XLOOKUP(G253,'模型SKU'!$A$5:$A$504,'模型SKU'!$F$5:$F$504),"")</x:f>
        <x:v>720</x:v>
      </x:c>
      <x:c r="K253" t="n">
        <x:f>IFERROR(XLOOKUP(G253,'模型SKU'!$A$5:$A$504,'模型SKU'!$G$5:$G$504),"")</x:f>
        <x:v>24</x:v>
      </x:c>
      <x:c r="L253" t="n">
        <x:f>IFERROR((E253+F253)*I253*J253*K253/'参数'!$B$7,0)</x:f>
        <x:v>172800</x:v>
      </x:c>
      <x:c r="M253" t="s">
        <x:v>331</x:v>
      </x:c>
      <x:c r="N253" t="n">
        <x:f>IFERROR(XLOOKUP(C253,'渠道成本'!$A$5:$A$1004,'渠道成本'!$U$5:$U$1004),"")</x:f>
        <x:v>0.4520547945205479</x:v>
      </x:c>
      <x:c r="O253" t="n">
        <x:f>IFERROR(XLOOKUP(B253,'官方售价'!$A$5:$A$504,'官方售价'!$M$5:$M$504),"")</x:f>
        <x:v>5.068493150684931</x:v>
      </x:c>
      <x:c r="P253" t="n">
        <x:f>IF(M253="per_token",N253*L253/'参数'!$B$8,N253)</x:f>
        <x:v>0.4520547945205479</x:v>
      </x:c>
      <x:c r="Q253" t="n">
        <x:f>IFERROR(O253*D253,"")</x:f>
        <x:v>5.068493150684931</x:v>
      </x:c>
      <x:c r="R253" t="n">
        <x:f>IFERROR(Q253-P253,"")</x:f>
        <x:v>4.616438356164384</x:v>
      </x:c>
      <x:c r="S253" t="n">
        <x:f>IFERROR(R253/Q253,"")</x:f>
        <x:v>0.910810810810811</x:v>
      </x:c>
      <x:c r="T253" t="s">
        <x:v>224</x:v>
      </x:c>
      <x:c r="U253" t="s">
        <x:v>1162</x:v>
      </x:c>
    </x:row>
    <x:row r="254">
      <x:c r="A254" t="s">
        <x:v>1411</x:v>
      </x:c>
      <x:c r="B254" t="s">
        <x:v>291</x:v>
      </x:c>
      <x:c r="C254" t="s">
        <x:v>816</x:v>
      </x:c>
      <x:c r="D254" t="s">
        <x:v>151</x:v>
      </x:c>
      <x:c r="E254">
        <x:v>4</x:v>
      </x:c>
      <x:c r="F254">
        <x:v>4</x:v>
      </x:c>
      <x:c r="G254" t="s">
        <x:v>238</x:v>
      </x:c>
      <x:c r="H254" t="s">
        <x:v>264</x:v>
      </x:c>
      <x:c r="I254" t="n">
        <x:f>IFERROR(XLOOKUP(G254,'模型SKU'!$A$5:$A$504,'模型SKU'!$E$5:$E$504),"")</x:f>
        <x:v>1280</x:v>
      </x:c>
      <x:c r="J254" t="n">
        <x:f>IFERROR(XLOOKUP(G254,'模型SKU'!$A$5:$A$504,'模型SKU'!$F$5:$F$504),"")</x:f>
        <x:v>720</x:v>
      </x:c>
      <x:c r="K254" t="n">
        <x:f>IFERROR(XLOOKUP(G254,'模型SKU'!$A$5:$A$504,'模型SKU'!$G$5:$G$504),"")</x:f>
        <x:v>24</x:v>
      </x:c>
      <x:c r="L254" t="n">
        <x:f>IFERROR((E254+F254)*I254*J254*K254/'参数'!$B$7,0)</x:f>
        <x:v>172800</x:v>
      </x:c>
      <x:c r="M254" t="s">
        <x:v>331</x:v>
      </x:c>
      <x:c r="N254" t="n">
        <x:f>IFERROR(XLOOKUP(C254,'渠道成本'!$A$5:$A$1004,'渠道成本'!$U$5:$U$1004),"")</x:f>
        <x:v>0.4520547945205479</x:v>
      </x:c>
      <x:c r="O254" t="n">
        <x:f>IFERROR(XLOOKUP(B254,'官方售价'!$A$5:$A$504,'官方售价'!$M$5:$M$504),"")</x:f>
        <x:v>3.013698630136986</x:v>
      </x:c>
      <x:c r="P254" t="n">
        <x:f>IF(M254="per_token",N254*L254/'参数'!$B$8,N254)</x:f>
        <x:v>0.4520547945205479</x:v>
      </x:c>
      <x:c r="Q254" t="n">
        <x:f>IFERROR(O254*D254,"")</x:f>
        <x:v>3.013698630136986</x:v>
      </x:c>
      <x:c r="R254" t="n">
        <x:f>IFERROR(Q254-P254,"")</x:f>
        <x:v>2.561643835616438</x:v>
      </x:c>
      <x:c r="S254" t="n">
        <x:f>IFERROR(R254/Q254,"")</x:f>
        <x:v>0.85</x:v>
      </x:c>
      <x:c r="T254" t="s">
        <x:v>224</x:v>
      </x:c>
      <x:c r="U254" t="s">
        <x:v>1162</x:v>
      </x:c>
    </x:row>
    <x:row r="255">
      <x:c r="A255" t="s">
        <x:v>1412</x:v>
      </x:c>
      <x:c r="B255" t="s">
        <x:v>293</x:v>
      </x:c>
      <x:c r="C255" t="s">
        <x:v>817</x:v>
      </x:c>
      <x:c r="D255" t="s">
        <x:v>151</x:v>
      </x:c>
      <x:c r="E255">
        <x:v>4</x:v>
      </x:c>
      <x:c r="F255">
        <x:v>4</x:v>
      </x:c>
      <x:c r="G255" t="s">
        <x:v>240</x:v>
      </x:c>
      <x:c r="H255" t="s">
        <x:v>258</x:v>
      </x:c>
      <x:c r="I255" t="n">
        <x:f>IFERROR(XLOOKUP(G255,'模型SKU'!$A$5:$A$504,'模型SKU'!$E$5:$E$504),"")</x:f>
        <x:v>864</x:v>
      </x:c>
      <x:c r="J255" t="n">
        <x:f>IFERROR(XLOOKUP(G255,'模型SKU'!$A$5:$A$504,'模型SKU'!$F$5:$F$504),"")</x:f>
        <x:v>496</x:v>
      </x:c>
      <x:c r="K255" t="n">
        <x:f>IFERROR(XLOOKUP(G255,'模型SKU'!$A$5:$A$504,'模型SKU'!$G$5:$G$504),"")</x:f>
        <x:v>24</x:v>
      </x:c>
      <x:c r="L255" t="n">
        <x:f>IFERROR((E255+F255)*I255*J255*K255/'参数'!$B$7,0)</x:f>
        <x:v>80352</x:v>
      </x:c>
      <x:c r="M255" t="s">
        <x:v>331</x:v>
      </x:c>
      <x:c r="N255" t="n">
        <x:f>IFERROR(XLOOKUP(C255,'渠道成本'!$A$5:$A$1004,'渠道成本'!$U$5:$U$1004),"")</x:f>
        <x:v>0.3150684931506849</x:v>
      </x:c>
      <x:c r="O255" t="n">
        <x:f>IFERROR(XLOOKUP(B255,'官方售价'!$A$5:$A$504,'官方售价'!$M$5:$M$504),"")</x:f>
        <x:v>3.150684931506849</x:v>
      </x:c>
      <x:c r="P255" t="n">
        <x:f>IF(M255="per_token",N255*L255/'参数'!$B$8,N255)</x:f>
        <x:v>0.3150684931506849</x:v>
      </x:c>
      <x:c r="Q255" t="n">
        <x:f>IFERROR(O255*D255,"")</x:f>
        <x:v>3.150684931506849</x:v>
      </x:c>
      <x:c r="R255" t="n">
        <x:f>IFERROR(Q255-P255,"")</x:f>
        <x:v>2.835616438356164</x:v>
      </x:c>
      <x:c r="S255" t="n">
        <x:f>IFERROR(R255/Q255,"")</x:f>
        <x:v>0.9</x:v>
      </x:c>
      <x:c r="T255" t="s">
        <x:v>224</x:v>
      </x:c>
      <x:c r="U255" t="s">
        <x:v>1162</x:v>
      </x:c>
    </x:row>
    <x:row r="256">
      <x:c r="A256" t="s">
        <x:v>1413</x:v>
      </x:c>
      <x:c r="B256" t="s">
        <x:v>296</x:v>
      </x:c>
      <x:c r="C256" t="s">
        <x:v>820</x:v>
      </x:c>
      <x:c r="D256" t="s">
        <x:v>151</x:v>
      </x:c>
      <x:c r="E256">
        <x:v>4</x:v>
      </x:c>
      <x:c r="F256">
        <x:v>4</x:v>
      </x:c>
      <x:c r="G256" t="s">
        <x:v>240</x:v>
      </x:c>
      <x:c r="H256" t="s">
        <x:v>264</x:v>
      </x:c>
      <x:c r="I256" t="n">
        <x:f>IFERROR(XLOOKUP(G256,'模型SKU'!$A$5:$A$504,'模型SKU'!$E$5:$E$504),"")</x:f>
        <x:v>864</x:v>
      </x:c>
      <x:c r="J256" t="n">
        <x:f>IFERROR(XLOOKUP(G256,'模型SKU'!$A$5:$A$504,'模型SKU'!$F$5:$F$504),"")</x:f>
        <x:v>496</x:v>
      </x:c>
      <x:c r="K256" t="n">
        <x:f>IFERROR(XLOOKUP(G256,'模型SKU'!$A$5:$A$504,'模型SKU'!$G$5:$G$504),"")</x:f>
        <x:v>24</x:v>
      </x:c>
      <x:c r="L256" t="n">
        <x:f>IFERROR((E256+F256)*I256*J256*K256/'参数'!$B$7,0)</x:f>
        <x:v>80352</x:v>
      </x:c>
      <x:c r="M256" t="s">
        <x:v>331</x:v>
      </x:c>
      <x:c r="N256" t="n">
        <x:f>IFERROR(XLOOKUP(C256,'渠道成本'!$A$5:$A$1004,'渠道成本'!$U$5:$U$1004),"")</x:f>
        <x:v>0.3150684931506849</x:v>
      </x:c>
      <x:c r="O256" t="n">
        <x:f>IFERROR(XLOOKUP(B256,'官方售价'!$A$5:$A$504,'官方售价'!$M$5:$M$504),"")</x:f>
        <x:v>1.917808219178082</x:v>
      </x:c>
      <x:c r="P256" t="n">
        <x:f>IF(M256="per_token",N256*L256/'参数'!$B$8,N256)</x:f>
        <x:v>0.3150684931506849</x:v>
      </x:c>
      <x:c r="Q256" t="n">
        <x:f>IFERROR(O256*D256,"")</x:f>
        <x:v>1.917808219178082</x:v>
      </x:c>
      <x:c r="R256" t="n">
        <x:f>IFERROR(Q256-P256,"")</x:f>
        <x:v>1.6027397260273972</x:v>
      </x:c>
      <x:c r="S256" t="n">
        <x:f>IFERROR(R256/Q256,"")</x:f>
        <x:v>0.8357142857142857</x:v>
      </x:c>
      <x:c r="T256" t="s">
        <x:v>224</x:v>
      </x:c>
      <x:c r="U256" t="s">
        <x:v>1162</x:v>
      </x:c>
    </x:row>
    <x:row r="257">
      <x:c r="A257" t="s">
        <x:v>1414</x:v>
      </x:c>
      <x:c r="B257" t="s">
        <x:v>299</x:v>
      </x:c>
      <x:c r="C257" t="s">
        <x:v>821</x:v>
      </x:c>
      <x:c r="D257" t="s">
        <x:v>151</x:v>
      </x:c>
      <x:c r="E257">
        <x:v>4</x:v>
      </x:c>
      <x:c r="F257">
        <x:v>4</x:v>
      </x:c>
      <x:c r="G257" t="s">
        <x:v>244</x:v>
      </x:c>
      <x:c r="H257" t="s">
        <x:v>258</x:v>
      </x:c>
      <x:c r="I257" t="n">
        <x:f>IFERROR(XLOOKUP(G257,'模型SKU'!$A$5:$A$504,'模型SKU'!$E$5:$E$504),"")</x:f>
        <x:v>1280</x:v>
      </x:c>
      <x:c r="J257" t="n">
        <x:f>IFERROR(XLOOKUP(G257,'模型SKU'!$A$5:$A$504,'模型SKU'!$F$5:$F$504),"")</x:f>
        <x:v>720</x:v>
      </x:c>
      <x:c r="K257" t="n">
        <x:f>IFERROR(XLOOKUP(G257,'模型SKU'!$A$5:$A$504,'模型SKU'!$G$5:$G$504),"")</x:f>
        <x:v>24</x:v>
      </x:c>
      <x:c r="L257" t="n">
        <x:f>IFERROR((E257+F257)*I257*J257*K257/'参数'!$B$7,0)</x:f>
        <x:v>172800</x:v>
      </x:c>
      <x:c r="M257" t="s">
        <x:v>331</x:v>
      </x:c>
      <x:c r="N257" t="n">
        <x:f>IFERROR(XLOOKUP(C257,'渠道成本'!$A$5:$A$1004,'渠道成本'!$U$5:$U$1004),"")</x:f>
        <x:v>0.3150684931506849</x:v>
      </x:c>
      <x:c r="O257" t="n">
        <x:f>IFERROR(XLOOKUP(B257,'官方售价'!$A$5:$A$504,'官方售价'!$M$5:$M$504),"")</x:f>
        <x:v>3.150684931506849</x:v>
      </x:c>
      <x:c r="P257" t="n">
        <x:f>IF(M257="per_token",N257*L257/'参数'!$B$8,N257)</x:f>
        <x:v>0.3150684931506849</x:v>
      </x:c>
      <x:c r="Q257" t="n">
        <x:f>IFERROR(O257*D257,"")</x:f>
        <x:v>3.150684931506849</x:v>
      </x:c>
      <x:c r="R257" t="n">
        <x:f>IFERROR(Q257-P257,"")</x:f>
        <x:v>2.835616438356164</x:v>
      </x:c>
      <x:c r="S257" t="n">
        <x:f>IFERROR(R257/Q257,"")</x:f>
        <x:v>0.9</x:v>
      </x:c>
      <x:c r="T257" t="s">
        <x:v>224</x:v>
      </x:c>
      <x:c r="U257" t="s">
        <x:v>1162</x:v>
      </x:c>
    </x:row>
    <x:row r="258">
      <x:c r="A258" t="s">
        <x:v>1415</x:v>
      </x:c>
      <x:c r="B258" t="s">
        <x:v>301</x:v>
      </x:c>
      <x:c r="C258" t="s">
        <x:v>822</x:v>
      </x:c>
      <x:c r="D258" t="s">
        <x:v>151</x:v>
      </x:c>
      <x:c r="E258">
        <x:v>4</x:v>
      </x:c>
      <x:c r="F258">
        <x:v>4</x:v>
      </x:c>
      <x:c r="G258" t="s">
        <x:v>244</x:v>
      </x:c>
      <x:c r="H258" t="s">
        <x:v>264</x:v>
      </x:c>
      <x:c r="I258" t="n">
        <x:f>IFERROR(XLOOKUP(G258,'模型SKU'!$A$5:$A$504,'模型SKU'!$E$5:$E$504),"")</x:f>
        <x:v>1280</x:v>
      </x:c>
      <x:c r="J258" t="n">
        <x:f>IFERROR(XLOOKUP(G258,'模型SKU'!$A$5:$A$504,'模型SKU'!$F$5:$F$504),"")</x:f>
        <x:v>720</x:v>
      </x:c>
      <x:c r="K258" t="n">
        <x:f>IFERROR(XLOOKUP(G258,'模型SKU'!$A$5:$A$504,'模型SKU'!$G$5:$G$504),"")</x:f>
        <x:v>24</x:v>
      </x:c>
      <x:c r="L258" t="n">
        <x:f>IFERROR((E258+F258)*I258*J258*K258/'参数'!$B$7,0)</x:f>
        <x:v>172800</x:v>
      </x:c>
      <x:c r="M258" t="s">
        <x:v>331</x:v>
      </x:c>
      <x:c r="N258" t="n">
        <x:f>IFERROR(XLOOKUP(C258,'渠道成本'!$A$5:$A$1004,'渠道成本'!$U$5:$U$1004),"")</x:f>
        <x:v>0.3150684931506849</x:v>
      </x:c>
      <x:c r="O258" t="n">
        <x:f>IFERROR(XLOOKUP(B258,'官方售价'!$A$5:$A$504,'官方售价'!$M$5:$M$504),"")</x:f>
        <x:v>1.917808219178082</x:v>
      </x:c>
      <x:c r="P258" t="n">
        <x:f>IF(M258="per_token",N258*L258/'参数'!$B$8,N258)</x:f>
        <x:v>0.3150684931506849</x:v>
      </x:c>
      <x:c r="Q258" t="n">
        <x:f>IFERROR(O258*D258,"")</x:f>
        <x:v>1.917808219178082</x:v>
      </x:c>
      <x:c r="R258" t="n">
        <x:f>IFERROR(Q258-P258,"")</x:f>
        <x:v>1.6027397260273972</x:v>
      </x:c>
      <x:c r="S258" t="n">
        <x:f>IFERROR(R258/Q258,"")</x:f>
        <x:v>0.8357142857142857</x:v>
      </x:c>
      <x:c r="T258" t="s">
        <x:v>224</x:v>
      </x:c>
      <x:c r="U258" t="s">
        <x:v>1162</x:v>
      </x:c>
    </x:row>
    <x:row r="259">
      <x:c r="A259" t="s">
        <x:v>1416</x:v>
      </x:c>
      <x:c r="B259" t="s">
        <x:v>267</x:v>
      </x:c>
      <x:c r="C259" t="s">
        <x:v>823</x:v>
      </x:c>
      <x:c r="D259" t="s">
        <x:v>151</x:v>
      </x:c>
      <x:c r="E259">
        <x:v>4</x:v>
      </x:c>
      <x:c r="F259">
        <x:v>4</x:v>
      </x:c>
      <x:c r="G259" t="s">
        <x:v>227</x:v>
      </x:c>
      <x:c r="H259" t="s">
        <x:v>258</x:v>
      </x:c>
      <x:c r="I259" t="n">
        <x:f>IFERROR(XLOOKUP(G259,'模型SKU'!$A$5:$A$504,'模型SKU'!$E$5:$E$504),"")</x:f>
        <x:v>864</x:v>
      </x:c>
      <x:c r="J259" t="n">
        <x:f>IFERROR(XLOOKUP(G259,'模型SKU'!$A$5:$A$504,'模型SKU'!$F$5:$F$504),"")</x:f>
        <x:v>496</x:v>
      </x:c>
      <x:c r="K259" t="n">
        <x:f>IFERROR(XLOOKUP(G259,'模型SKU'!$A$5:$A$504,'模型SKU'!$G$5:$G$504),"")</x:f>
        <x:v>24</x:v>
      </x:c>
      <x:c r="L259" t="n">
        <x:f>IFERROR((E259+F259)*I259*J259*K259/'参数'!$B$7,0)</x:f>
        <x:v>80352</x:v>
      </x:c>
      <x:c r="M259" t="s">
        <x:v>318</x:v>
      </x:c>
      <x:c r="N259" t="n">
        <x:f>IFERROR(XLOOKUP(C259,'渠道成本'!$A$5:$A$1004,'渠道成本'!$U$5:$U$1004),"")</x:f>
        <x:v>0.036986301369863014</x:v>
      </x:c>
      <x:c r="O259" t="n">
        <x:f>IFERROR(XLOOKUP(B259,'官方售价'!$A$5:$A$504,'官方售价'!$M$5:$M$504),"")</x:f>
        <x:v>6.301369863013698</x:v>
      </x:c>
      <x:c r="P259" t="n">
        <x:f>IF(M259="per_token",N259*L259/'参数'!$B$8,N259)</x:f>
        <x:v>0.036986301369863014</x:v>
      </x:c>
      <x:c r="Q259" t="n">
        <x:f>IFERROR(O259*D259,"")</x:f>
        <x:v>6.301369863013698</x:v>
      </x:c>
      <x:c r="R259" t="n">
        <x:f>IFERROR(Q259-P259,"")</x:f>
        <x:v>6.264383561643835</x:v>
      </x:c>
      <x:c r="S259" t="n">
        <x:f>IFERROR(R259/Q259,"")</x:f>
        <x:v>0.9941304347826087</x:v>
      </x:c>
      <x:c r="T259" t="s">
        <x:v>224</x:v>
      </x:c>
      <x:c r="U259" t="s">
        <x:v>1162</x:v>
      </x:c>
    </x:row>
    <x:row r="260">
      <x:c r="A260" t="s">
        <x:v>1417</x:v>
      </x:c>
      <x:c r="B260" t="s">
        <x:v>270</x:v>
      </x:c>
      <x:c r="C260" t="s">
        <x:v>827</x:v>
      </x:c>
      <x:c r="D260" t="s">
        <x:v>151</x:v>
      </x:c>
      <x:c r="E260">
        <x:v>4</x:v>
      </x:c>
      <x:c r="F260">
        <x:v>4</x:v>
      </x:c>
      <x:c r="G260" t="s">
        <x:v>227</x:v>
      </x:c>
      <x:c r="H260" t="s">
        <x:v>264</x:v>
      </x:c>
      <x:c r="I260" t="n">
        <x:f>IFERROR(XLOOKUP(G260,'模型SKU'!$A$5:$A$504,'模型SKU'!$E$5:$E$504),"")</x:f>
        <x:v>864</x:v>
      </x:c>
      <x:c r="J260" t="n">
        <x:f>IFERROR(XLOOKUP(G260,'模型SKU'!$A$5:$A$504,'模型SKU'!$F$5:$F$504),"")</x:f>
        <x:v>496</x:v>
      </x:c>
      <x:c r="K260" t="n">
        <x:f>IFERROR(XLOOKUP(G260,'模型SKU'!$A$5:$A$504,'模型SKU'!$G$5:$G$504),"")</x:f>
        <x:v>24</x:v>
      </x:c>
      <x:c r="L260" t="n">
        <x:f>IFERROR((E260+F260)*I260*J260*K260/'参数'!$B$7,0)</x:f>
        <x:v>80352</x:v>
      </x:c>
      <x:c r="M260" t="s">
        <x:v>318</x:v>
      </x:c>
      <x:c r="N260" t="n">
        <x:f>IFERROR(XLOOKUP(C260,'渠道成本'!$A$5:$A$1004,'渠道成本'!$U$5:$U$1004),"")</x:f>
        <x:v>0.036986301369863014</x:v>
      </x:c>
      <x:c r="O260" t="n">
        <x:f>IFERROR(XLOOKUP(B260,'官方售价'!$A$5:$A$504,'官方售价'!$M$5:$M$504),"")</x:f>
        <x:v>3.835616438356164</x:v>
      </x:c>
      <x:c r="P260" t="n">
        <x:f>IF(M260="per_token",N260*L260/'参数'!$B$8,N260)</x:f>
        <x:v>0.036986301369863014</x:v>
      </x:c>
      <x:c r="Q260" t="n">
        <x:f>IFERROR(O260*D260,"")</x:f>
        <x:v>3.835616438356164</x:v>
      </x:c>
      <x:c r="R260" t="n">
        <x:f>IFERROR(Q260-P260,"")</x:f>
        <x:v>3.798630136986301</x:v>
      </x:c>
      <x:c r="S260" t="n">
        <x:f>IFERROR(R260/Q260,"")</x:f>
        <x:v>0.9903571428571428</x:v>
      </x:c>
      <x:c r="T260" t="s">
        <x:v>224</x:v>
      </x:c>
      <x:c r="U260" t="s">
        <x:v>1162</x:v>
      </x:c>
    </x:row>
    <x:row r="261">
      <x:c r="A261" t="s">
        <x:v>1418</x:v>
      </x:c>
      <x:c r="B261" t="s">
        <x:v>279</x:v>
      </x:c>
      <x:c r="C261" t="s">
        <x:v>828</x:v>
      </x:c>
      <x:c r="D261" t="s">
        <x:v>151</x:v>
      </x:c>
      <x:c r="E261">
        <x:v>4</x:v>
      </x:c>
      <x:c r="F261">
        <x:v>4</x:v>
      </x:c>
      <x:c r="G261" t="s">
        <x:v>232</x:v>
      </x:c>
      <x:c r="H261" t="s">
        <x:v>258</x:v>
      </x:c>
      <x:c r="I261" t="n">
        <x:f>IFERROR(XLOOKUP(G261,'模型SKU'!$A$5:$A$504,'模型SKU'!$E$5:$E$504),"")</x:f>
        <x:v>1280</x:v>
      </x:c>
      <x:c r="J261" t="n">
        <x:f>IFERROR(XLOOKUP(G261,'模型SKU'!$A$5:$A$504,'模型SKU'!$F$5:$F$504),"")</x:f>
        <x:v>720</x:v>
      </x:c>
      <x:c r="K261" t="n">
        <x:f>IFERROR(XLOOKUP(G261,'模型SKU'!$A$5:$A$504,'模型SKU'!$G$5:$G$504),"")</x:f>
        <x:v>24</x:v>
      </x:c>
      <x:c r="L261" t="n">
        <x:f>IFERROR((E261+F261)*I261*J261*K261/'参数'!$B$7,0)</x:f>
        <x:v>172800</x:v>
      </x:c>
      <x:c r="M261" t="s">
        <x:v>318</x:v>
      </x:c>
      <x:c r="N261" t="n">
        <x:f>IFERROR(XLOOKUP(C261,'渠道成本'!$A$5:$A$1004,'渠道成本'!$U$5:$U$1004),"")</x:f>
        <x:v>0.050684931506849315</x:v>
      </x:c>
      <x:c r="O261" t="n">
        <x:f>IFERROR(XLOOKUP(B261,'官方售价'!$A$5:$A$504,'官方售价'!$M$5:$M$504),"")</x:f>
        <x:v>6.301369863013698</x:v>
      </x:c>
      <x:c r="P261" t="n">
        <x:f>IF(M261="per_token",N261*L261/'参数'!$B$8,N261)</x:f>
        <x:v>0.050684931506849315</x:v>
      </x:c>
      <x:c r="Q261" t="n">
        <x:f>IFERROR(O261*D261,"")</x:f>
        <x:v>6.301369863013698</x:v>
      </x:c>
      <x:c r="R261" t="n">
        <x:f>IFERROR(Q261-P261,"")</x:f>
        <x:v>6.250684931506849</x:v>
      </x:c>
      <x:c r="S261" t="n">
        <x:f>IFERROR(R261/Q261,"")</x:f>
        <x:v>0.9919565217391305</x:v>
      </x:c>
      <x:c r="T261" t="s">
        <x:v>224</x:v>
      </x:c>
      <x:c r="U261" t="s">
        <x:v>1162</x:v>
      </x:c>
    </x:row>
    <x:row r="262">
      <x:c r="A262" t="s">
        <x:v>1419</x:v>
      </x:c>
      <x:c r="B262" t="s">
        <x:v>281</x:v>
      </x:c>
      <x:c r="C262" t="s">
        <x:v>830</x:v>
      </x:c>
      <x:c r="D262" t="s">
        <x:v>151</x:v>
      </x:c>
      <x:c r="E262">
        <x:v>4</x:v>
      </x:c>
      <x:c r="F262">
        <x:v>4</x:v>
      </x:c>
      <x:c r="G262" t="s">
        <x:v>232</x:v>
      </x:c>
      <x:c r="H262" t="s">
        <x:v>264</x:v>
      </x:c>
      <x:c r="I262" t="n">
        <x:f>IFERROR(XLOOKUP(G262,'模型SKU'!$A$5:$A$504,'模型SKU'!$E$5:$E$504),"")</x:f>
        <x:v>1280</x:v>
      </x:c>
      <x:c r="J262" t="n">
        <x:f>IFERROR(XLOOKUP(G262,'模型SKU'!$A$5:$A$504,'模型SKU'!$F$5:$F$504),"")</x:f>
        <x:v>720</x:v>
      </x:c>
      <x:c r="K262" t="n">
        <x:f>IFERROR(XLOOKUP(G262,'模型SKU'!$A$5:$A$504,'模型SKU'!$G$5:$G$504),"")</x:f>
        <x:v>24</x:v>
      </x:c>
      <x:c r="L262" t="n">
        <x:f>IFERROR((E262+F262)*I262*J262*K262/'参数'!$B$7,0)</x:f>
        <x:v>172800</x:v>
      </x:c>
      <x:c r="M262" t="s">
        <x:v>318</x:v>
      </x:c>
      <x:c r="N262" t="n">
        <x:f>IFERROR(XLOOKUP(C262,'渠道成本'!$A$5:$A$1004,'渠道成本'!$U$5:$U$1004),"")</x:f>
        <x:v>0.050684931506849315</x:v>
      </x:c>
      <x:c r="O262" t="n">
        <x:f>IFERROR(XLOOKUP(B262,'官方售价'!$A$5:$A$504,'官方售价'!$M$5:$M$504),"")</x:f>
        <x:v>3.835616438356164</x:v>
      </x:c>
      <x:c r="P262" t="n">
        <x:f>IF(M262="per_token",N262*L262/'参数'!$B$8,N262)</x:f>
        <x:v>0.050684931506849315</x:v>
      </x:c>
      <x:c r="Q262" t="n">
        <x:f>IFERROR(O262*D262,"")</x:f>
        <x:v>3.835616438356164</x:v>
      </x:c>
      <x:c r="R262" t="n">
        <x:f>IFERROR(Q262-P262,"")</x:f>
        <x:v>3.784931506849315</x:v>
      </x:c>
      <x:c r="S262" t="n">
        <x:f>IFERROR(R262/Q262,"")</x:f>
        <x:v>0.9867857142857143</x:v>
      </x:c>
      <x:c r="T262" t="s">
        <x:v>224</x:v>
      </x:c>
      <x:c r="U262" t="s">
        <x:v>1162</x:v>
      </x:c>
    </x:row>
    <x:row r="263">
      <x:c r="A263" t="s">
        <x:v>1420</x:v>
      </x:c>
      <x:c r="B263" t="s">
        <x:v>283</x:v>
      </x:c>
      <x:c r="C263" t="s">
        <x:v>831</x:v>
      </x:c>
      <x:c r="D263" t="s">
        <x:v>151</x:v>
      </x:c>
      <x:c r="E263">
        <x:v>4</x:v>
      </x:c>
      <x:c r="F263">
        <x:v>4</x:v>
      </x:c>
      <x:c r="G263" t="s">
        <x:v>234</x:v>
      </x:c>
      <x:c r="H263" t="s">
        <x:v>258</x:v>
      </x:c>
      <x:c r="I263" t="n">
        <x:f>IFERROR(XLOOKUP(G263,'模型SKU'!$A$5:$A$504,'模型SKU'!$E$5:$E$504),"")</x:f>
        <x:v>864</x:v>
      </x:c>
      <x:c r="J263" t="n">
        <x:f>IFERROR(XLOOKUP(G263,'模型SKU'!$A$5:$A$504,'模型SKU'!$F$5:$F$504),"")</x:f>
        <x:v>496</x:v>
      </x:c>
      <x:c r="K263" t="n">
        <x:f>IFERROR(XLOOKUP(G263,'模型SKU'!$A$5:$A$504,'模型SKU'!$G$5:$G$504),"")</x:f>
        <x:v>24</x:v>
      </x:c>
      <x:c r="L263" t="n">
        <x:f>IFERROR((E263+F263)*I263*J263*K263/'参数'!$B$7,0)</x:f>
        <x:v>80352</x:v>
      </x:c>
      <x:c r="M263" t="s">
        <x:v>318</x:v>
      </x:c>
      <x:c r="N263" t="n">
        <x:f>IFERROR(XLOOKUP(C263,'渠道成本'!$A$5:$A$1004,'渠道成本'!$U$5:$U$1004),"")</x:f>
        <x:v>0.023287671232876714</x:v>
      </x:c>
      <x:c r="O263" t="n">
        <x:f>IFERROR(XLOOKUP(B263,'官方售价'!$A$5:$A$504,'官方售价'!$M$5:$M$504),"")</x:f>
        <x:v>5.068493150684931</x:v>
      </x:c>
      <x:c r="P263" t="n">
        <x:f>IF(M263="per_token",N263*L263/'参数'!$B$8,N263)</x:f>
        <x:v>0.023287671232876714</x:v>
      </x:c>
      <x:c r="Q263" t="n">
        <x:f>IFERROR(O263*D263,"")</x:f>
        <x:v>5.068493150684931</x:v>
      </x:c>
      <x:c r="R263" t="n">
        <x:f>IFERROR(Q263-P263,"")</x:f>
        <x:v>5.045205479452054</x:v>
      </x:c>
      <x:c r="S263" t="n">
        <x:f>IFERROR(R263/Q263,"")</x:f>
        <x:v>0.9954054054054053</x:v>
      </x:c>
      <x:c r="T263" t="s">
        <x:v>224</x:v>
      </x:c>
      <x:c r="U263" t="s">
        <x:v>1162</x:v>
      </x:c>
    </x:row>
    <x:row r="264">
      <x:c r="A264" t="s">
        <x:v>1421</x:v>
      </x:c>
      <x:c r="B264" t="s">
        <x:v>286</x:v>
      </x:c>
      <x:c r="C264" t="s">
        <x:v>835</x:v>
      </x:c>
      <x:c r="D264" t="s">
        <x:v>151</x:v>
      </x:c>
      <x:c r="E264">
        <x:v>4</x:v>
      </x:c>
      <x:c r="F264">
        <x:v>4</x:v>
      </x:c>
      <x:c r="G264" t="s">
        <x:v>234</x:v>
      </x:c>
      <x:c r="H264" t="s">
        <x:v>264</x:v>
      </x:c>
      <x:c r="I264" t="n">
        <x:f>IFERROR(XLOOKUP(G264,'模型SKU'!$A$5:$A$504,'模型SKU'!$E$5:$E$504),"")</x:f>
        <x:v>864</x:v>
      </x:c>
      <x:c r="J264" t="n">
        <x:f>IFERROR(XLOOKUP(G264,'模型SKU'!$A$5:$A$504,'模型SKU'!$F$5:$F$504),"")</x:f>
        <x:v>496</x:v>
      </x:c>
      <x:c r="K264" t="n">
        <x:f>IFERROR(XLOOKUP(G264,'模型SKU'!$A$5:$A$504,'模型SKU'!$G$5:$G$504),"")</x:f>
        <x:v>24</x:v>
      </x:c>
      <x:c r="L264" t="n">
        <x:f>IFERROR((E264+F264)*I264*J264*K264/'参数'!$B$7,0)</x:f>
        <x:v>80352</x:v>
      </x:c>
      <x:c r="M264" t="s">
        <x:v>318</x:v>
      </x:c>
      <x:c r="N264" t="n">
        <x:f>IFERROR(XLOOKUP(C264,'渠道成本'!$A$5:$A$1004,'渠道成本'!$U$5:$U$1004),"")</x:f>
        <x:v>0.023287671232876714</x:v>
      </x:c>
      <x:c r="O264" t="n">
        <x:f>IFERROR(XLOOKUP(B264,'官方售价'!$A$5:$A$504,'官方售价'!$M$5:$M$504),"")</x:f>
        <x:v>3.013698630136986</x:v>
      </x:c>
      <x:c r="P264" t="n">
        <x:f>IF(M264="per_token",N264*L264/'参数'!$B$8,N264)</x:f>
        <x:v>0.023287671232876714</x:v>
      </x:c>
      <x:c r="Q264" t="n">
        <x:f>IFERROR(O264*D264,"")</x:f>
        <x:v>3.013698630136986</x:v>
      </x:c>
      <x:c r="R264" t="n">
        <x:f>IFERROR(Q264-P264,"")</x:f>
        <x:v>2.9904109589041092</x:v>
      </x:c>
      <x:c r="S264" t="n">
        <x:f>IFERROR(R264/Q264,"")</x:f>
        <x:v>0.9922727272727273</x:v>
      </x:c>
      <x:c r="T264" t="s">
        <x:v>224</x:v>
      </x:c>
      <x:c r="U264" t="s">
        <x:v>1162</x:v>
      </x:c>
    </x:row>
    <x:row r="265">
      <x:c r="A265" t="s">
        <x:v>1422</x:v>
      </x:c>
      <x:c r="B265" t="s">
        <x:v>289</x:v>
      </x:c>
      <x:c r="C265" t="s">
        <x:v>836</x:v>
      </x:c>
      <x:c r="D265" t="s">
        <x:v>151</x:v>
      </x:c>
      <x:c r="E265">
        <x:v>4</x:v>
      </x:c>
      <x:c r="F265">
        <x:v>4</x:v>
      </x:c>
      <x:c r="G265" t="s">
        <x:v>238</x:v>
      </x:c>
      <x:c r="H265" t="s">
        <x:v>258</x:v>
      </x:c>
      <x:c r="I265" t="n">
        <x:f>IFERROR(XLOOKUP(G265,'模型SKU'!$A$5:$A$504,'模型SKU'!$E$5:$E$504),"")</x:f>
        <x:v>1280</x:v>
      </x:c>
      <x:c r="J265" t="n">
        <x:f>IFERROR(XLOOKUP(G265,'模型SKU'!$A$5:$A$504,'模型SKU'!$F$5:$F$504),"")</x:f>
        <x:v>720</x:v>
      </x:c>
      <x:c r="K265" t="n">
        <x:f>IFERROR(XLOOKUP(G265,'模型SKU'!$A$5:$A$504,'模型SKU'!$G$5:$G$504),"")</x:f>
        <x:v>24</x:v>
      </x:c>
      <x:c r="L265" t="n">
        <x:f>IFERROR((E265+F265)*I265*J265*K265/'参数'!$B$7,0)</x:f>
        <x:v>172800</x:v>
      </x:c>
      <x:c r="M265" t="s">
        <x:v>318</x:v>
      </x:c>
      <x:c r="N265" t="n">
        <x:f>IFERROR(XLOOKUP(C265,'渠道成本'!$A$5:$A$1004,'渠道成本'!$U$5:$U$1004),"")</x:f>
        <x:v>0.036986301369863014</x:v>
      </x:c>
      <x:c r="O265" t="n">
        <x:f>IFERROR(XLOOKUP(B265,'官方售价'!$A$5:$A$504,'官方售价'!$M$5:$M$504),"")</x:f>
        <x:v>5.068493150684931</x:v>
      </x:c>
      <x:c r="P265" t="n">
        <x:f>IF(M265="per_token",N265*L265/'参数'!$B$8,N265)</x:f>
        <x:v>0.036986301369863014</x:v>
      </x:c>
      <x:c r="Q265" t="n">
        <x:f>IFERROR(O265*D265,"")</x:f>
        <x:v>5.068493150684931</x:v>
      </x:c>
      <x:c r="R265" t="n">
        <x:f>IFERROR(Q265-P265,"")</x:f>
        <x:v>5.031506849315068</x:v>
      </x:c>
      <x:c r="S265" t="n">
        <x:f>IFERROR(R265/Q265,"")</x:f>
        <x:v>0.9927027027027027</x:v>
      </x:c>
      <x:c r="T265" t="s">
        <x:v>224</x:v>
      </x:c>
      <x:c r="U265" t="s">
        <x:v>1162</x:v>
      </x:c>
    </x:row>
    <x:row r="266">
      <x:c r="A266" t="s">
        <x:v>1423</x:v>
      </x:c>
      <x:c r="B266" t="s">
        <x:v>291</x:v>
      </x:c>
      <x:c r="C266" t="s">
        <x:v>837</x:v>
      </x:c>
      <x:c r="D266" t="s">
        <x:v>151</x:v>
      </x:c>
      <x:c r="E266">
        <x:v>4</x:v>
      </x:c>
      <x:c r="F266">
        <x:v>4</x:v>
      </x:c>
      <x:c r="G266" t="s">
        <x:v>238</x:v>
      </x:c>
      <x:c r="H266" t="s">
        <x:v>264</x:v>
      </x:c>
      <x:c r="I266" t="n">
        <x:f>IFERROR(XLOOKUP(G266,'模型SKU'!$A$5:$A$504,'模型SKU'!$E$5:$E$504),"")</x:f>
        <x:v>1280</x:v>
      </x:c>
      <x:c r="J266" t="n">
        <x:f>IFERROR(XLOOKUP(G266,'模型SKU'!$A$5:$A$504,'模型SKU'!$F$5:$F$504),"")</x:f>
        <x:v>720</x:v>
      </x:c>
      <x:c r="K266" t="n">
        <x:f>IFERROR(XLOOKUP(G266,'模型SKU'!$A$5:$A$504,'模型SKU'!$G$5:$G$504),"")</x:f>
        <x:v>24</x:v>
      </x:c>
      <x:c r="L266" t="n">
        <x:f>IFERROR((E266+F266)*I266*J266*K266/'参数'!$B$7,0)</x:f>
        <x:v>172800</x:v>
      </x:c>
      <x:c r="M266" t="s">
        <x:v>318</x:v>
      </x:c>
      <x:c r="N266" t="n">
        <x:f>IFERROR(XLOOKUP(C266,'渠道成本'!$A$5:$A$1004,'渠道成本'!$U$5:$U$1004),"")</x:f>
        <x:v>0.036986301369863014</x:v>
      </x:c>
      <x:c r="O266" t="n">
        <x:f>IFERROR(XLOOKUP(B266,'官方售价'!$A$5:$A$504,'官方售价'!$M$5:$M$504),"")</x:f>
        <x:v>3.013698630136986</x:v>
      </x:c>
      <x:c r="P266" t="n">
        <x:f>IF(M266="per_token",N266*L266/'参数'!$B$8,N266)</x:f>
        <x:v>0.036986301369863014</x:v>
      </x:c>
      <x:c r="Q266" t="n">
        <x:f>IFERROR(O266*D266,"")</x:f>
        <x:v>3.013698630136986</x:v>
      </x:c>
      <x:c r="R266" t="n">
        <x:f>IFERROR(Q266-P266,"")</x:f>
        <x:v>2.976712328767123</x:v>
      </x:c>
      <x:c r="S266" t="n">
        <x:f>IFERROR(R266/Q266,"")</x:f>
        <x:v>0.9877272727272727</x:v>
      </x:c>
      <x:c r="T266" t="s">
        <x:v>224</x:v>
      </x:c>
      <x:c r="U266" t="s">
        <x:v>1162</x:v>
      </x:c>
    </x:row>
    <x:row r="267">
      <x:c r="A267" t="s">
        <x:v>1424</x:v>
      </x:c>
      <x:c r="B267" t="s">
        <x:v>293</x:v>
      </x:c>
      <x:c r="C267" t="s">
        <x:v>838</x:v>
      </x:c>
      <x:c r="D267" t="s">
        <x:v>151</x:v>
      </x:c>
      <x:c r="E267">
        <x:v>4</x:v>
      </x:c>
      <x:c r="F267">
        <x:v>4</x:v>
      </x:c>
      <x:c r="G267" t="s">
        <x:v>240</x:v>
      </x:c>
      <x:c r="H267" t="s">
        <x:v>258</x:v>
      </x:c>
      <x:c r="I267" t="n">
        <x:f>IFERROR(XLOOKUP(G267,'模型SKU'!$A$5:$A$504,'模型SKU'!$E$5:$E$504),"")</x:f>
        <x:v>864</x:v>
      </x:c>
      <x:c r="J267" t="n">
        <x:f>IFERROR(XLOOKUP(G267,'模型SKU'!$A$5:$A$504,'模型SKU'!$F$5:$F$504),"")</x:f>
        <x:v>496</x:v>
      </x:c>
      <x:c r="K267" t="n">
        <x:f>IFERROR(XLOOKUP(G267,'模型SKU'!$A$5:$A$504,'模型SKU'!$G$5:$G$504),"")</x:f>
        <x:v>24</x:v>
      </x:c>
      <x:c r="L267" t="n">
        <x:f>IFERROR((E267+F267)*I267*J267*K267/'参数'!$B$7,0)</x:f>
        <x:v>80352</x:v>
      </x:c>
      <x:c r="M267" t="s">
        <x:v>318</x:v>
      </x:c>
      <x:c r="N267" t="n">
        <x:f>IFERROR(XLOOKUP(C267,'渠道成本'!$A$5:$A$1004,'渠道成本'!$U$5:$U$1004),"")</x:f>
        <x:v>0.019178082191780823</x:v>
      </x:c>
      <x:c r="O267" t="n">
        <x:f>IFERROR(XLOOKUP(B267,'官方售价'!$A$5:$A$504,'官方售价'!$M$5:$M$504),"")</x:f>
        <x:v>3.150684931506849</x:v>
      </x:c>
      <x:c r="P267" t="n">
        <x:f>IF(M267="per_token",N267*L267/'参数'!$B$8,N267)</x:f>
        <x:v>0.019178082191780823</x:v>
      </x:c>
      <x:c r="Q267" t="n">
        <x:f>IFERROR(O267*D267,"")</x:f>
        <x:v>3.150684931506849</x:v>
      </x:c>
      <x:c r="R267" t="n">
        <x:f>IFERROR(Q267-P267,"")</x:f>
        <x:v>3.1315068493150684</x:v>
      </x:c>
      <x:c r="S267" t="n">
        <x:f>IFERROR(R267/Q267,"")</x:f>
        <x:v>0.9939130434782609</x:v>
      </x:c>
      <x:c r="T267" t="s">
        <x:v>224</x:v>
      </x:c>
      <x:c r="U267" t="s">
        <x:v>1162</x:v>
      </x:c>
    </x:row>
    <x:row r="268">
      <x:c r="A268" t="s">
        <x:v>1425</x:v>
      </x:c>
      <x:c r="B268" t="s">
        <x:v>296</x:v>
      </x:c>
      <x:c r="C268" t="s">
        <x:v>841</x:v>
      </x:c>
      <x:c r="D268" t="s">
        <x:v>151</x:v>
      </x:c>
      <x:c r="E268">
        <x:v>4</x:v>
      </x:c>
      <x:c r="F268">
        <x:v>4</x:v>
      </x:c>
      <x:c r="G268" t="s">
        <x:v>240</x:v>
      </x:c>
      <x:c r="H268" t="s">
        <x:v>264</x:v>
      </x:c>
      <x:c r="I268" t="n">
        <x:f>IFERROR(XLOOKUP(G268,'模型SKU'!$A$5:$A$504,'模型SKU'!$E$5:$E$504),"")</x:f>
        <x:v>864</x:v>
      </x:c>
      <x:c r="J268" t="n">
        <x:f>IFERROR(XLOOKUP(G268,'模型SKU'!$A$5:$A$504,'模型SKU'!$F$5:$F$504),"")</x:f>
        <x:v>496</x:v>
      </x:c>
      <x:c r="K268" t="n">
        <x:f>IFERROR(XLOOKUP(G268,'模型SKU'!$A$5:$A$504,'模型SKU'!$G$5:$G$504),"")</x:f>
        <x:v>24</x:v>
      </x:c>
      <x:c r="L268" t="n">
        <x:f>IFERROR((E268+F268)*I268*J268*K268/'参数'!$B$7,0)</x:f>
        <x:v>80352</x:v>
      </x:c>
      <x:c r="M268" t="s">
        <x:v>318</x:v>
      </x:c>
      <x:c r="N268" t="n">
        <x:f>IFERROR(XLOOKUP(C268,'渠道成本'!$A$5:$A$1004,'渠道成本'!$U$5:$U$1004),"")</x:f>
        <x:v>0.019178082191780823</x:v>
      </x:c>
      <x:c r="O268" t="n">
        <x:f>IFERROR(XLOOKUP(B268,'官方售价'!$A$5:$A$504,'官方售价'!$M$5:$M$504),"")</x:f>
        <x:v>1.917808219178082</x:v>
      </x:c>
      <x:c r="P268" t="n">
        <x:f>IF(M268="per_token",N268*L268/'参数'!$B$8,N268)</x:f>
        <x:v>0.019178082191780823</x:v>
      </x:c>
      <x:c r="Q268" t="n">
        <x:f>IFERROR(O268*D268,"")</x:f>
        <x:v>1.917808219178082</x:v>
      </x:c>
      <x:c r="R268" t="n">
        <x:f>IFERROR(Q268-P268,"")</x:f>
        <x:v>1.8986301369863012</x:v>
      </x:c>
      <x:c r="S268" t="n">
        <x:f>IFERROR(R268/Q268,"")</x:f>
        <x:v>0.99</x:v>
      </x:c>
      <x:c r="T268" t="s">
        <x:v>224</x:v>
      </x:c>
      <x:c r="U268" t="s">
        <x:v>1162</x:v>
      </x:c>
    </x:row>
    <x:row r="269">
      <x:c r="A269" t="s">
        <x:v>1426</x:v>
      </x:c>
      <x:c r="B269" t="s">
        <x:v>299</x:v>
      </x:c>
      <x:c r="C269" t="s">
        <x:v>842</x:v>
      </x:c>
      <x:c r="D269" t="s">
        <x:v>151</x:v>
      </x:c>
      <x:c r="E269">
        <x:v>4</x:v>
      </x:c>
      <x:c r="F269">
        <x:v>4</x:v>
      </x:c>
      <x:c r="G269" t="s">
        <x:v>244</x:v>
      </x:c>
      <x:c r="H269" t="s">
        <x:v>258</x:v>
      </x:c>
      <x:c r="I269" t="n">
        <x:f>IFERROR(XLOOKUP(G269,'模型SKU'!$A$5:$A$504,'模型SKU'!$E$5:$E$504),"")</x:f>
        <x:v>1280</x:v>
      </x:c>
      <x:c r="J269" t="n">
        <x:f>IFERROR(XLOOKUP(G269,'模型SKU'!$A$5:$A$504,'模型SKU'!$F$5:$F$504),"")</x:f>
        <x:v>720</x:v>
      </x:c>
      <x:c r="K269" t="n">
        <x:f>IFERROR(XLOOKUP(G269,'模型SKU'!$A$5:$A$504,'模型SKU'!$G$5:$G$504),"")</x:f>
        <x:v>24</x:v>
      </x:c>
      <x:c r="L269" t="n">
        <x:f>IFERROR((E269+F269)*I269*J269*K269/'参数'!$B$7,0)</x:f>
        <x:v>172800</x:v>
      </x:c>
      <x:c r="M269" t="s">
        <x:v>318</x:v>
      </x:c>
      <x:c r="N269" t="n">
        <x:f>IFERROR(XLOOKUP(C269,'渠道成本'!$A$5:$A$1004,'渠道成本'!$U$5:$U$1004),"")</x:f>
        <x:v>0.0273972602739726</x:v>
      </x:c>
      <x:c r="O269" t="n">
        <x:f>IFERROR(XLOOKUP(B269,'官方售价'!$A$5:$A$504,'官方售价'!$M$5:$M$504),"")</x:f>
        <x:v>3.150684931506849</x:v>
      </x:c>
      <x:c r="P269" t="n">
        <x:f>IF(M269="per_token",N269*L269/'参数'!$B$8,N269)</x:f>
        <x:v>0.0273972602739726</x:v>
      </x:c>
      <x:c r="Q269" t="n">
        <x:f>IFERROR(O269*D269,"")</x:f>
        <x:v>3.150684931506849</x:v>
      </x:c>
      <x:c r="R269" t="n">
        <x:f>IFERROR(Q269-P269,"")</x:f>
        <x:v>3.1232876712328763</x:v>
      </x:c>
      <x:c r="S269" t="n">
        <x:f>IFERROR(R269/Q269,"")</x:f>
        <x:v>0.9913043478260869</x:v>
      </x:c>
      <x:c r="T269" t="s">
        <x:v>224</x:v>
      </x:c>
      <x:c r="U269" t="s">
        <x:v>1162</x:v>
      </x:c>
    </x:row>
    <x:row r="270">
      <x:c r="A270" t="s">
        <x:v>1427</x:v>
      </x:c>
      <x:c r="B270" t="s">
        <x:v>301</x:v>
      </x:c>
      <x:c r="C270" t="s">
        <x:v>843</x:v>
      </x:c>
      <x:c r="D270" t="s">
        <x:v>151</x:v>
      </x:c>
      <x:c r="E270">
        <x:v>4</x:v>
      </x:c>
      <x:c r="F270">
        <x:v>4</x:v>
      </x:c>
      <x:c r="G270" t="s">
        <x:v>244</x:v>
      </x:c>
      <x:c r="H270" t="s">
        <x:v>264</x:v>
      </x:c>
      <x:c r="I270" t="n">
        <x:f>IFERROR(XLOOKUP(G270,'模型SKU'!$A$5:$A$504,'模型SKU'!$E$5:$E$504),"")</x:f>
        <x:v>1280</x:v>
      </x:c>
      <x:c r="J270" t="n">
        <x:f>IFERROR(XLOOKUP(G270,'模型SKU'!$A$5:$A$504,'模型SKU'!$F$5:$F$504),"")</x:f>
        <x:v>720</x:v>
      </x:c>
      <x:c r="K270" t="n">
        <x:f>IFERROR(XLOOKUP(G270,'模型SKU'!$A$5:$A$504,'模型SKU'!$G$5:$G$504),"")</x:f>
        <x:v>24</x:v>
      </x:c>
      <x:c r="L270" t="n">
        <x:f>IFERROR((E270+F270)*I270*J270*K270/'参数'!$B$7,0)</x:f>
        <x:v>172800</x:v>
      </x:c>
      <x:c r="M270" t="s">
        <x:v>318</x:v>
      </x:c>
      <x:c r="N270" t="n">
        <x:f>IFERROR(XLOOKUP(C270,'渠道成本'!$A$5:$A$1004,'渠道成本'!$U$5:$U$1004),"")</x:f>
        <x:v>0.0273972602739726</x:v>
      </x:c>
      <x:c r="O270" t="n">
        <x:f>IFERROR(XLOOKUP(B270,'官方售价'!$A$5:$A$504,'官方售价'!$M$5:$M$504),"")</x:f>
        <x:v>1.917808219178082</x:v>
      </x:c>
      <x:c r="P270" t="n">
        <x:f>IF(M270="per_token",N270*L270/'参数'!$B$8,N270)</x:f>
        <x:v>0.0273972602739726</x:v>
      </x:c>
      <x:c r="Q270" t="n">
        <x:f>IFERROR(O270*D270,"")</x:f>
        <x:v>1.917808219178082</x:v>
      </x:c>
      <x:c r="R270" t="n">
        <x:f>IFERROR(Q270-P270,"")</x:f>
        <x:v>1.8904109589041096</x:v>
      </x:c>
      <x:c r="S270" t="n">
        <x:f>IFERROR(R270/Q270,"")</x:f>
        <x:v>0.9857142857142858</x:v>
      </x:c>
      <x:c r="T270" t="s">
        <x:v>224</x:v>
      </x:c>
      <x:c r="U270" t="s">
        <x:v>1162</x:v>
      </x:c>
    </x:row>
    <x:row r="271">
      <x:c r="A271" t="s">
        <x:v>1428</x:v>
      </x:c>
      <x:c r="B271" t="s">
        <x:v>279</x:v>
      </x:c>
      <x:c r="C271" t="s">
        <x:v>844</x:v>
      </x:c>
      <x:c r="D271" t="s">
        <x:v>151</x:v>
      </x:c>
      <x:c r="E271">
        <x:v>4</x:v>
      </x:c>
      <x:c r="F271">
        <x:v>4</x:v>
      </x:c>
      <x:c r="G271" t="s">
        <x:v>232</x:v>
      </x:c>
      <x:c r="H271" t="s">
        <x:v>258</x:v>
      </x:c>
      <x:c r="I271" t="n">
        <x:f>IFERROR(XLOOKUP(G271,'模型SKU'!$A$5:$A$504,'模型SKU'!$E$5:$E$504),"")</x:f>
        <x:v>1280</x:v>
      </x:c>
      <x:c r="J271" t="n">
        <x:f>IFERROR(XLOOKUP(G271,'模型SKU'!$A$5:$A$504,'模型SKU'!$F$5:$F$504),"")</x:f>
        <x:v>720</x:v>
      </x:c>
      <x:c r="K271" t="n">
        <x:f>IFERROR(XLOOKUP(G271,'模型SKU'!$A$5:$A$504,'模型SKU'!$G$5:$G$504),"")</x:f>
        <x:v>24</x:v>
      </x:c>
      <x:c r="L271" t="n">
        <x:f>IFERROR((E271+F271)*I271*J271*K271/'参数'!$B$7,0)</x:f>
        <x:v>172800</x:v>
      </x:c>
      <x:c r="M271" t="s">
        <x:v>331</x:v>
      </x:c>
      <x:c r="N271" t="n">
        <x:f>IFERROR(XLOOKUP(C271,'渠道成本'!$A$5:$A$1004,'渠道成本'!$U$5:$U$1004),"")</x:f>
        <x:v>0.547945205479452</x:v>
      </x:c>
      <x:c r="O271" t="n">
        <x:f>IFERROR(XLOOKUP(B271,'官方售价'!$A$5:$A$504,'官方售价'!$M$5:$M$504),"")</x:f>
        <x:v>6.301369863013698</x:v>
      </x:c>
      <x:c r="P271" t="n">
        <x:f>IF(M271="per_token",N271*L271/'参数'!$B$8,N271)</x:f>
        <x:v>0.547945205479452</x:v>
      </x:c>
      <x:c r="Q271" t="n">
        <x:f>IFERROR(O271*D271,"")</x:f>
        <x:v>6.301369863013698</x:v>
      </x:c>
      <x:c r="R271" t="n">
        <x:f>IFERROR(Q271-P271,"")</x:f>
        <x:v>5.7534246575342465</x:v>
      </x:c>
      <x:c r="S271" t="n">
        <x:f>IFERROR(R271/Q271,"")</x:f>
        <x:v>0.9130434782608696</x:v>
      </x:c>
      <x:c r="T271" t="s">
        <x:v>224</x:v>
      </x:c>
      <x:c r="U271" t="s">
        <x:v>1162</x:v>
      </x:c>
    </x:row>
    <x:row r="272">
      <x:c r="A272" t="s">
        <x:v>1429</x:v>
      </x:c>
      <x:c r="B272" t="s">
        <x:v>281</x:v>
      </x:c>
      <x:c r="C272" t="s">
        <x:v>848</x:v>
      </x:c>
      <x:c r="D272" t="s">
        <x:v>151</x:v>
      </x:c>
      <x:c r="E272">
        <x:v>4</x:v>
      </x:c>
      <x:c r="F272">
        <x:v>4</x:v>
      </x:c>
      <x:c r="G272" t="s">
        <x:v>232</x:v>
      </x:c>
      <x:c r="H272" t="s">
        <x:v>264</x:v>
      </x:c>
      <x:c r="I272" t="n">
        <x:f>IFERROR(XLOOKUP(G272,'模型SKU'!$A$5:$A$504,'模型SKU'!$E$5:$E$504),"")</x:f>
        <x:v>1280</x:v>
      </x:c>
      <x:c r="J272" t="n">
        <x:f>IFERROR(XLOOKUP(G272,'模型SKU'!$A$5:$A$504,'模型SKU'!$F$5:$F$504),"")</x:f>
        <x:v>720</x:v>
      </x:c>
      <x:c r="K272" t="n">
        <x:f>IFERROR(XLOOKUP(G272,'模型SKU'!$A$5:$A$504,'模型SKU'!$G$5:$G$504),"")</x:f>
        <x:v>24</x:v>
      </x:c>
      <x:c r="L272" t="n">
        <x:f>IFERROR((E272+F272)*I272*J272*K272/'参数'!$B$7,0)</x:f>
        <x:v>172800</x:v>
      </x:c>
      <x:c r="M272" t="s">
        <x:v>331</x:v>
      </x:c>
      <x:c r="N272" t="n">
        <x:f>IFERROR(XLOOKUP(C272,'渠道成本'!$A$5:$A$1004,'渠道成本'!$U$5:$U$1004),"")</x:f>
        <x:v>0.547945205479452</x:v>
      </x:c>
      <x:c r="O272" t="n">
        <x:f>IFERROR(XLOOKUP(B272,'官方售价'!$A$5:$A$504,'官方售价'!$M$5:$M$504),"")</x:f>
        <x:v>3.835616438356164</x:v>
      </x:c>
      <x:c r="P272" t="n">
        <x:f>IF(M272="per_token",N272*L272/'参数'!$B$8,N272)</x:f>
        <x:v>0.547945205479452</x:v>
      </x:c>
      <x:c r="Q272" t="n">
        <x:f>IFERROR(O272*D272,"")</x:f>
        <x:v>3.835616438356164</x:v>
      </x:c>
      <x:c r="R272" t="n">
        <x:f>IFERROR(Q272-P272,"")</x:f>
        <x:v>3.287671232876712</x:v>
      </x:c>
      <x:c r="S272" t="n">
        <x:f>IFERROR(R272/Q272,"")</x:f>
        <x:v>0.8571428571428571</x:v>
      </x:c>
      <x:c r="T272" t="s">
        <x:v>224</x:v>
      </x:c>
      <x:c r="U272" t="s">
        <x:v>1162</x:v>
      </x:c>
    </x:row>
    <x:row r="273">
      <x:c r="A273" t="s">
        <x:v>1430</x:v>
      </x:c>
      <x:c r="B273" t="s">
        <x:v>279</x:v>
      </x:c>
      <x:c r="C273" t="s">
        <x:v>849</x:v>
      </x:c>
      <x:c r="D273" t="s">
        <x:v>151</x:v>
      </x:c>
      <x:c r="E273">
        <x:v>4</x:v>
      </x:c>
      <x:c r="F273">
        <x:v>4</x:v>
      </x:c>
      <x:c r="G273" t="s">
        <x:v>232</x:v>
      </x:c>
      <x:c r="H273" t="s">
        <x:v>258</x:v>
      </x:c>
      <x:c r="I273" t="n">
        <x:f>IFERROR(XLOOKUP(G273,'模型SKU'!$A$5:$A$504,'模型SKU'!$E$5:$E$504),"")</x:f>
        <x:v>1280</x:v>
      </x:c>
      <x:c r="J273" t="n">
        <x:f>IFERROR(XLOOKUP(G273,'模型SKU'!$A$5:$A$504,'模型SKU'!$F$5:$F$504),"")</x:f>
        <x:v>720</x:v>
      </x:c>
      <x:c r="K273" t="n">
        <x:f>IFERROR(XLOOKUP(G273,'模型SKU'!$A$5:$A$504,'模型SKU'!$G$5:$G$504),"")</x:f>
        <x:v>24</x:v>
      </x:c>
      <x:c r="L273" t="n">
        <x:f>IFERROR((E273+F273)*I273*J273*K273/'参数'!$B$7,0)</x:f>
        <x:v>172800</x:v>
      </x:c>
      <x:c r="M273" t="s">
        <x:v>331</x:v>
      </x:c>
      <x:c r="N273" t="n">
        <x:f>IFERROR(XLOOKUP(C273,'渠道成本'!$A$5:$A$1004,'渠道成本'!$U$5:$U$1004),"")</x:f>
        <x:v>0.547945205479452</x:v>
      </x:c>
      <x:c r="O273" t="n">
        <x:f>IFERROR(XLOOKUP(B273,'官方售价'!$A$5:$A$504,'官方售价'!$M$5:$M$504),"")</x:f>
        <x:v>6.301369863013698</x:v>
      </x:c>
      <x:c r="P273" t="n">
        <x:f>IF(M273="per_token",N273*L273/'参数'!$B$8,N273)</x:f>
        <x:v>0.547945205479452</x:v>
      </x:c>
      <x:c r="Q273" t="n">
        <x:f>IFERROR(O273*D273,"")</x:f>
        <x:v>6.301369863013698</x:v>
      </x:c>
      <x:c r="R273" t="n">
        <x:f>IFERROR(Q273-P273,"")</x:f>
        <x:v>5.7534246575342465</x:v>
      </x:c>
      <x:c r="S273" t="n">
        <x:f>IFERROR(R273/Q273,"")</x:f>
        <x:v>0.9130434782608696</x:v>
      </x:c>
      <x:c r="T273" t="s">
        <x:v>224</x:v>
      </x:c>
      <x:c r="U273" t="s">
        <x:v>1162</x:v>
      </x:c>
    </x:row>
    <x:row r="274">
      <x:c r="A274" t="s">
        <x:v>1431</x:v>
      </x:c>
      <x:c r="B274" t="s">
        <x:v>281</x:v>
      </x:c>
      <x:c r="C274" t="s">
        <x:v>852</x:v>
      </x:c>
      <x:c r="D274" t="s">
        <x:v>151</x:v>
      </x:c>
      <x:c r="E274">
        <x:v>4</x:v>
      </x:c>
      <x:c r="F274">
        <x:v>4</x:v>
      </x:c>
      <x:c r="G274" t="s">
        <x:v>232</x:v>
      </x:c>
      <x:c r="H274" t="s">
        <x:v>264</x:v>
      </x:c>
      <x:c r="I274" t="n">
        <x:f>IFERROR(XLOOKUP(G274,'模型SKU'!$A$5:$A$504,'模型SKU'!$E$5:$E$504),"")</x:f>
        <x:v>1280</x:v>
      </x:c>
      <x:c r="J274" t="n">
        <x:f>IFERROR(XLOOKUP(G274,'模型SKU'!$A$5:$A$504,'模型SKU'!$F$5:$F$504),"")</x:f>
        <x:v>720</x:v>
      </x:c>
      <x:c r="K274" t="n">
        <x:f>IFERROR(XLOOKUP(G274,'模型SKU'!$A$5:$A$504,'模型SKU'!$G$5:$G$504),"")</x:f>
        <x:v>24</x:v>
      </x:c>
      <x:c r="L274" t="n">
        <x:f>IFERROR((E274+F274)*I274*J274*K274/'参数'!$B$7,0)</x:f>
        <x:v>172800</x:v>
      </x:c>
      <x:c r="M274" t="s">
        <x:v>331</x:v>
      </x:c>
      <x:c r="N274" t="n">
        <x:f>IFERROR(XLOOKUP(C274,'渠道成本'!$A$5:$A$1004,'渠道成本'!$U$5:$U$1004),"")</x:f>
        <x:v>0.547945205479452</x:v>
      </x:c>
      <x:c r="O274" t="n">
        <x:f>IFERROR(XLOOKUP(B274,'官方售价'!$A$5:$A$504,'官方售价'!$M$5:$M$504),"")</x:f>
        <x:v>3.835616438356164</x:v>
      </x:c>
      <x:c r="P274" t="n">
        <x:f>IF(M274="per_token",N274*L274/'参数'!$B$8,N274)</x:f>
        <x:v>0.547945205479452</x:v>
      </x:c>
      <x:c r="Q274" t="n">
        <x:f>IFERROR(O274*D274,"")</x:f>
        <x:v>3.835616438356164</x:v>
      </x:c>
      <x:c r="R274" t="n">
        <x:f>IFERROR(Q274-P274,"")</x:f>
        <x:v>3.287671232876712</x:v>
      </x:c>
      <x:c r="S274" t="n">
        <x:f>IFERROR(R274/Q274,"")</x:f>
        <x:v>0.8571428571428571</x:v>
      </x:c>
      <x:c r="T274" t="s">
        <x:v>224</x:v>
      </x:c>
      <x:c r="U274" t="s">
        <x:v>1162</x:v>
      </x:c>
    </x:row>
    <x:row r="275">
      <x:c r="A275" t="s">
        <x:v>1432</x:v>
      </x:c>
      <x:c r="B275" t="s">
        <x:v>279</x:v>
      </x:c>
      <x:c r="C275" t="s">
        <x:v>853</x:v>
      </x:c>
      <x:c r="D275" t="s">
        <x:v>151</x:v>
      </x:c>
      <x:c r="E275">
        <x:v>4</x:v>
      </x:c>
      <x:c r="F275">
        <x:v>4</x:v>
      </x:c>
      <x:c r="G275" t="s">
        <x:v>232</x:v>
      </x:c>
      <x:c r="H275" t="s">
        <x:v>258</x:v>
      </x:c>
      <x:c r="I275" t="n">
        <x:f>IFERROR(XLOOKUP(G275,'模型SKU'!$A$5:$A$504,'模型SKU'!$E$5:$E$504),"")</x:f>
        <x:v>1280</x:v>
      </x:c>
      <x:c r="J275" t="n">
        <x:f>IFERROR(XLOOKUP(G275,'模型SKU'!$A$5:$A$504,'模型SKU'!$F$5:$F$504),"")</x:f>
        <x:v>720</x:v>
      </x:c>
      <x:c r="K275" t="n">
        <x:f>IFERROR(XLOOKUP(G275,'模型SKU'!$A$5:$A$504,'模型SKU'!$G$5:$G$504),"")</x:f>
        <x:v>24</x:v>
      </x:c>
      <x:c r="L275" t="n">
        <x:f>IFERROR((E275+F275)*I275*J275*K275/'参数'!$B$7,0)</x:f>
        <x:v>172800</x:v>
      </x:c>
      <x:c r="M275" t="s">
        <x:v>331</x:v>
      </x:c>
      <x:c r="N275" t="n">
        <x:f>IFERROR(XLOOKUP(C275,'渠道成本'!$A$5:$A$1004,'渠道成本'!$U$5:$U$1004),"")</x:f>
        <x:v>0.6164383561643836</x:v>
      </x:c>
      <x:c r="O275" t="n">
        <x:f>IFERROR(XLOOKUP(B275,'官方售价'!$A$5:$A$504,'官方售价'!$M$5:$M$504),"")</x:f>
        <x:v>6.301369863013698</x:v>
      </x:c>
      <x:c r="P275" t="n">
        <x:f>IF(M275="per_token",N275*L275/'参数'!$B$8,N275)</x:f>
        <x:v>0.6164383561643836</x:v>
      </x:c>
      <x:c r="Q275" t="n">
        <x:f>IFERROR(O275*D275,"")</x:f>
        <x:v>6.301369863013698</x:v>
      </x:c>
      <x:c r="R275" t="n">
        <x:f>IFERROR(Q275-P275,"")</x:f>
        <x:v>5.684931506849314</x:v>
      </x:c>
      <x:c r="S275" t="n">
        <x:f>IFERROR(R275/Q275,"")</x:f>
        <x:v>0.9021739130434782</x:v>
      </x:c>
      <x:c r="T275" t="s">
        <x:v>224</x:v>
      </x:c>
      <x:c r="U275" t="s">
        <x:v>1162</x:v>
      </x:c>
    </x:row>
    <x:row r="276">
      <x:c r="A276" t="s">
        <x:v>1433</x:v>
      </x:c>
      <x:c r="B276" t="s">
        <x:v>281</x:v>
      </x:c>
      <x:c r="C276" t="s">
        <x:v>856</x:v>
      </x:c>
      <x:c r="D276" t="s">
        <x:v>151</x:v>
      </x:c>
      <x:c r="E276">
        <x:v>4</x:v>
      </x:c>
      <x:c r="F276">
        <x:v>4</x:v>
      </x:c>
      <x:c r="G276" t="s">
        <x:v>232</x:v>
      </x:c>
      <x:c r="H276" t="s">
        <x:v>264</x:v>
      </x:c>
      <x:c r="I276" t="n">
        <x:f>IFERROR(XLOOKUP(G276,'模型SKU'!$A$5:$A$504,'模型SKU'!$E$5:$E$504),"")</x:f>
        <x:v>1280</x:v>
      </x:c>
      <x:c r="J276" t="n">
        <x:f>IFERROR(XLOOKUP(G276,'模型SKU'!$A$5:$A$504,'模型SKU'!$F$5:$F$504),"")</x:f>
        <x:v>720</x:v>
      </x:c>
      <x:c r="K276" t="n">
        <x:f>IFERROR(XLOOKUP(G276,'模型SKU'!$A$5:$A$504,'模型SKU'!$G$5:$G$504),"")</x:f>
        <x:v>24</x:v>
      </x:c>
      <x:c r="L276" t="n">
        <x:f>IFERROR((E276+F276)*I276*J276*K276/'参数'!$B$7,0)</x:f>
        <x:v>172800</x:v>
      </x:c>
      <x:c r="M276" t="s">
        <x:v>331</x:v>
      </x:c>
      <x:c r="N276" t="n">
        <x:f>IFERROR(XLOOKUP(C276,'渠道成本'!$A$5:$A$1004,'渠道成本'!$U$5:$U$1004),"")</x:f>
        <x:v>0.6164383561643836</x:v>
      </x:c>
      <x:c r="O276" t="n">
        <x:f>IFERROR(XLOOKUP(B276,'官方售价'!$A$5:$A$504,'官方售价'!$M$5:$M$504),"")</x:f>
        <x:v>3.835616438356164</x:v>
      </x:c>
      <x:c r="P276" t="n">
        <x:f>IF(M276="per_token",N276*L276/'参数'!$B$8,N276)</x:f>
        <x:v>0.6164383561643836</x:v>
      </x:c>
      <x:c r="Q276" t="n">
        <x:f>IFERROR(O276*D276,"")</x:f>
        <x:v>3.835616438356164</x:v>
      </x:c>
      <x:c r="R276" t="n">
        <x:f>IFERROR(Q276-P276,"")</x:f>
        <x:v>3.219178082191781</x:v>
      </x:c>
      <x:c r="S276" t="n">
        <x:f>IFERROR(R276/Q276,"")</x:f>
        <x:v>0.8392857142857143</x:v>
      </x:c>
      <x:c r="T276" t="s">
        <x:v>224</x:v>
      </x:c>
      <x:c r="U276" t="s">
        <x:v>1162</x:v>
      </x:c>
    </x:row>
    <x:row r="277">
      <x:c r="A277" t="s">
        <x:v>1434</x:v>
      </x:c>
      <x:c r="B277" t="s">
        <x:v>279</x:v>
      </x:c>
      <x:c r="C277" t="s">
        <x:v>857</x:v>
      </x:c>
      <x:c r="D277" t="s">
        <x:v>151</x:v>
      </x:c>
      <x:c r="E277">
        <x:v>4</x:v>
      </x:c>
      <x:c r="F277">
        <x:v>4</x:v>
      </x:c>
      <x:c r="G277" t="s">
        <x:v>232</x:v>
      </x:c>
      <x:c r="H277" t="s">
        <x:v>258</x:v>
      </x:c>
      <x:c r="I277" t="n">
        <x:f>IFERROR(XLOOKUP(G277,'模型SKU'!$A$5:$A$504,'模型SKU'!$E$5:$E$504),"")</x:f>
        <x:v>1280</x:v>
      </x:c>
      <x:c r="J277" t="n">
        <x:f>IFERROR(XLOOKUP(G277,'模型SKU'!$A$5:$A$504,'模型SKU'!$F$5:$F$504),"")</x:f>
        <x:v>720</x:v>
      </x:c>
      <x:c r="K277" t="n">
        <x:f>IFERROR(XLOOKUP(G277,'模型SKU'!$A$5:$A$504,'模型SKU'!$G$5:$G$504),"")</x:f>
        <x:v>24</x:v>
      </x:c>
      <x:c r="L277" t="n">
        <x:f>IFERROR((E277+F277)*I277*J277*K277/'参数'!$B$7,0)</x:f>
        <x:v>172800</x:v>
      </x:c>
      <x:c r="M277" t="s">
        <x:v>331</x:v>
      </x:c>
      <x:c r="N277" t="n">
        <x:f>IFERROR(XLOOKUP(C277,'渠道成本'!$A$5:$A$1004,'渠道成本'!$U$5:$U$1004),"")</x:f>
        <x:v>0.547945205479452</x:v>
      </x:c>
      <x:c r="O277" t="n">
        <x:f>IFERROR(XLOOKUP(B277,'官方售价'!$A$5:$A$504,'官方售价'!$M$5:$M$504),"")</x:f>
        <x:v>6.301369863013698</x:v>
      </x:c>
      <x:c r="P277" t="n">
        <x:f>IF(M277="per_token",N277*L277/'参数'!$B$8,N277)</x:f>
        <x:v>0.547945205479452</x:v>
      </x:c>
      <x:c r="Q277" t="n">
        <x:f>IFERROR(O277*D277,"")</x:f>
        <x:v>6.301369863013698</x:v>
      </x:c>
      <x:c r="R277" t="n">
        <x:f>IFERROR(Q277-P277,"")</x:f>
        <x:v>5.7534246575342465</x:v>
      </x:c>
      <x:c r="S277" t="n">
        <x:f>IFERROR(R277/Q277,"")</x:f>
        <x:v>0.9130434782608696</x:v>
      </x:c>
      <x:c r="T277" t="s">
        <x:v>224</x:v>
      </x:c>
      <x:c r="U277" t="s">
        <x:v>1162</x:v>
      </x:c>
    </x:row>
    <x:row r="278">
      <x:c r="A278" t="s">
        <x:v>1435</x:v>
      </x:c>
      <x:c r="B278" t="s">
        <x:v>281</x:v>
      </x:c>
      <x:c r="C278" t="s">
        <x:v>860</x:v>
      </x:c>
      <x:c r="D278" t="s">
        <x:v>151</x:v>
      </x:c>
      <x:c r="E278">
        <x:v>4</x:v>
      </x:c>
      <x:c r="F278">
        <x:v>4</x:v>
      </x:c>
      <x:c r="G278" t="s">
        <x:v>232</x:v>
      </x:c>
      <x:c r="H278" t="s">
        <x:v>264</x:v>
      </x:c>
      <x:c r="I278" t="n">
        <x:f>IFERROR(XLOOKUP(G278,'模型SKU'!$A$5:$A$504,'模型SKU'!$E$5:$E$504),"")</x:f>
        <x:v>1280</x:v>
      </x:c>
      <x:c r="J278" t="n">
        <x:f>IFERROR(XLOOKUP(G278,'模型SKU'!$A$5:$A$504,'模型SKU'!$F$5:$F$504),"")</x:f>
        <x:v>720</x:v>
      </x:c>
      <x:c r="K278" t="n">
        <x:f>IFERROR(XLOOKUP(G278,'模型SKU'!$A$5:$A$504,'模型SKU'!$G$5:$G$504),"")</x:f>
        <x:v>24</x:v>
      </x:c>
      <x:c r="L278" t="n">
        <x:f>IFERROR((E278+F278)*I278*J278*K278/'参数'!$B$7,0)</x:f>
        <x:v>172800</x:v>
      </x:c>
      <x:c r="M278" t="s">
        <x:v>331</x:v>
      </x:c>
      <x:c r="N278" t="n">
        <x:f>IFERROR(XLOOKUP(C278,'渠道成本'!$A$5:$A$1004,'渠道成本'!$U$5:$U$1004),"")</x:f>
        <x:v>0.547945205479452</x:v>
      </x:c>
      <x:c r="O278" t="n">
        <x:f>IFERROR(XLOOKUP(B278,'官方售价'!$A$5:$A$504,'官方售价'!$M$5:$M$504),"")</x:f>
        <x:v>3.835616438356164</x:v>
      </x:c>
      <x:c r="P278" t="n">
        <x:f>IF(M278="per_token",N278*L278/'参数'!$B$8,N278)</x:f>
        <x:v>0.547945205479452</x:v>
      </x:c>
      <x:c r="Q278" t="n">
        <x:f>IFERROR(O278*D278,"")</x:f>
        <x:v>3.835616438356164</x:v>
      </x:c>
      <x:c r="R278" t="n">
        <x:f>IFERROR(Q278-P278,"")</x:f>
        <x:v>3.287671232876712</x:v>
      </x:c>
      <x:c r="S278" t="n">
        <x:f>IFERROR(R278/Q278,"")</x:f>
        <x:v>0.8571428571428571</x:v>
      </x:c>
      <x:c r="T278" t="s">
        <x:v>224</x:v>
      </x:c>
      <x:c r="U278" t="s">
        <x:v>1162</x:v>
      </x:c>
    </x:row>
    <x:row r="279">
      <x:c r="A279" t="s">
        <x:v>1436</x:v>
      </x:c>
      <x:c r="B279" t="s">
        <x:v>279</x:v>
      </x:c>
      <x:c r="C279" t="s">
        <x:v>861</x:v>
      </x:c>
      <x:c r="D279" t="s">
        <x:v>151</x:v>
      </x:c>
      <x:c r="E279">
        <x:v>4</x:v>
      </x:c>
      <x:c r="F279">
        <x:v>4</x:v>
      </x:c>
      <x:c r="G279" t="s">
        <x:v>232</x:v>
      </x:c>
      <x:c r="H279" t="s">
        <x:v>258</x:v>
      </x:c>
      <x:c r="I279" t="n">
        <x:f>IFERROR(XLOOKUP(G279,'模型SKU'!$A$5:$A$504,'模型SKU'!$E$5:$E$504),"")</x:f>
        <x:v>1280</x:v>
      </x:c>
      <x:c r="J279" t="n">
        <x:f>IFERROR(XLOOKUP(G279,'模型SKU'!$A$5:$A$504,'模型SKU'!$F$5:$F$504),"")</x:f>
        <x:v>720</x:v>
      </x:c>
      <x:c r="K279" t="n">
        <x:f>IFERROR(XLOOKUP(G279,'模型SKU'!$A$5:$A$504,'模型SKU'!$G$5:$G$504),"")</x:f>
        <x:v>24</x:v>
      </x:c>
      <x:c r="L279" t="n">
        <x:f>IFERROR((E279+F279)*I279*J279*K279/'参数'!$B$7,0)</x:f>
        <x:v>172800</x:v>
      </x:c>
      <x:c r="M279" t="s">
        <x:v>318</x:v>
      </x:c>
      <x:c r="N279" t="n">
        <x:f>IFERROR(XLOOKUP(C279,'渠道成本'!$A$5:$A$1004,'渠道成本'!$U$5:$U$1004),"")</x:f>
        <x:v>0.09171232876712329</x:v>
      </x:c>
      <x:c r="O279" t="n">
        <x:f>IFERROR(XLOOKUP(B279,'官方售价'!$A$5:$A$504,'官方售价'!$M$5:$M$504),"")</x:f>
        <x:v>6.301369863013698</x:v>
      </x:c>
      <x:c r="P279" t="n">
        <x:f>IF(M279="per_token",N279*L279/'参数'!$B$8,N279)</x:f>
        <x:v>0.09171232876712329</x:v>
      </x:c>
      <x:c r="Q279" t="n">
        <x:f>IFERROR(O279*D279,"")</x:f>
        <x:v>6.301369863013698</x:v>
      </x:c>
      <x:c r="R279" t="n">
        <x:f>IFERROR(Q279-P279,"")</x:f>
        <x:v>6.209657534246575</x:v>
      </x:c>
      <x:c r="S279" t="n">
        <x:f>IFERROR(R279/Q279,"")</x:f>
        <x:v>0.9854456521739131</x:v>
      </x:c>
      <x:c r="T279" t="s">
        <x:v>224</x:v>
      </x:c>
      <x:c r="U279" t="s">
        <x:v>1162</x:v>
      </x:c>
    </x:row>
    <x:row r="280">
      <x:c r="A280" t="s">
        <x:v>1437</x:v>
      </x:c>
      <x:c r="B280" t="s">
        <x:v>281</x:v>
      </x:c>
      <x:c r="C280" t="s">
        <x:v>864</x:v>
      </x:c>
      <x:c r="D280" t="s">
        <x:v>151</x:v>
      </x:c>
      <x:c r="E280">
        <x:v>4</x:v>
      </x:c>
      <x:c r="F280">
        <x:v>4</x:v>
      </x:c>
      <x:c r="G280" t="s">
        <x:v>232</x:v>
      </x:c>
      <x:c r="H280" t="s">
        <x:v>264</x:v>
      </x:c>
      <x:c r="I280" t="n">
        <x:f>IFERROR(XLOOKUP(G280,'模型SKU'!$A$5:$A$504,'模型SKU'!$E$5:$E$504),"")</x:f>
        <x:v>1280</x:v>
      </x:c>
      <x:c r="J280" t="n">
        <x:f>IFERROR(XLOOKUP(G280,'模型SKU'!$A$5:$A$504,'模型SKU'!$F$5:$F$504),"")</x:f>
        <x:v>720</x:v>
      </x:c>
      <x:c r="K280" t="n">
        <x:f>IFERROR(XLOOKUP(G280,'模型SKU'!$A$5:$A$504,'模型SKU'!$G$5:$G$504),"")</x:f>
        <x:v>24</x:v>
      </x:c>
      <x:c r="L280" t="n">
        <x:f>IFERROR((E280+F280)*I280*J280*K280/'参数'!$B$7,0)</x:f>
        <x:v>172800</x:v>
      </x:c>
      <x:c r="M280" t="s">
        <x:v>318</x:v>
      </x:c>
      <x:c r="N280" t="n">
        <x:f>IFERROR(XLOOKUP(C280,'渠道成本'!$A$5:$A$1004,'渠道成本'!$U$5:$U$1004),"")</x:f>
        <x:v>0.09171232876712329</x:v>
      </x:c>
      <x:c r="O280" t="n">
        <x:f>IFERROR(XLOOKUP(B280,'官方售价'!$A$5:$A$504,'官方售价'!$M$5:$M$504),"")</x:f>
        <x:v>3.835616438356164</x:v>
      </x:c>
      <x:c r="P280" t="n">
        <x:f>IF(M280="per_token",N280*L280/'参数'!$B$8,N280)</x:f>
        <x:v>0.09171232876712329</x:v>
      </x:c>
      <x:c r="Q280" t="n">
        <x:f>IFERROR(O280*D280,"")</x:f>
        <x:v>3.835616438356164</x:v>
      </x:c>
      <x:c r="R280" t="n">
        <x:f>IFERROR(Q280-P280,"")</x:f>
        <x:v>3.743904109589041</x:v>
      </x:c>
      <x:c r="S280" t="n">
        <x:f>IFERROR(R280/Q280,"")</x:f>
        <x:v>0.9760892857142858</x:v>
      </x:c>
      <x:c r="T280" t="s">
        <x:v>224</x:v>
      </x:c>
      <x:c r="U280" t="s">
        <x:v>1162</x:v>
      </x:c>
    </x:row>
    <x:row r="281">
      <x:c r="A281" t="s">
        <x:v>1438</x:v>
      </x:c>
      <x:c r="B281" t="s">
        <x:v>279</x:v>
      </x:c>
      <x:c r="C281" t="s">
        <x:v>865</x:v>
      </x:c>
      <x:c r="D281" t="s">
        <x:v>151</x:v>
      </x:c>
      <x:c r="E281">
        <x:v>4</x:v>
      </x:c>
      <x:c r="F281">
        <x:v>4</x:v>
      </x:c>
      <x:c r="G281" t="s">
        <x:v>232</x:v>
      </x:c>
      <x:c r="H281" t="s">
        <x:v>258</x:v>
      </x:c>
      <x:c r="I281" t="n">
        <x:f>IFERROR(XLOOKUP(G281,'模型SKU'!$A$5:$A$504,'模型SKU'!$E$5:$E$504),"")</x:f>
        <x:v>1280</x:v>
      </x:c>
      <x:c r="J281" t="n">
        <x:f>IFERROR(XLOOKUP(G281,'模型SKU'!$A$5:$A$504,'模型SKU'!$F$5:$F$504),"")</x:f>
        <x:v>720</x:v>
      </x:c>
      <x:c r="K281" t="n">
        <x:f>IFERROR(XLOOKUP(G281,'模型SKU'!$A$5:$A$504,'模型SKU'!$G$5:$G$504),"")</x:f>
        <x:v>24</x:v>
      </x:c>
      <x:c r="L281" t="n">
        <x:f>IFERROR((E281+F281)*I281*J281*K281/'参数'!$B$7,0)</x:f>
        <x:v>172800</x:v>
      </x:c>
      <x:c r="M281" t="s">
        <x:v>331</x:v>
      </x:c>
      <x:c r="N281" t="n">
        <x:f>IFERROR(XLOOKUP(C281,'渠道成本'!$A$5:$A$1004,'渠道成本'!$U$5:$U$1004),"")</x:f>
        <x:v>0.9594520547945204</x:v>
      </x:c>
      <x:c r="O281" t="n">
        <x:f>IFERROR(XLOOKUP(B281,'官方售价'!$A$5:$A$504,'官方售价'!$M$5:$M$504),"")</x:f>
        <x:v>6.301369863013698</x:v>
      </x:c>
      <x:c r="P281" t="n">
        <x:f>IF(M281="per_token",N281*L281/'参数'!$B$8,N281)</x:f>
        <x:v>0.9594520547945204</x:v>
      </x:c>
      <x:c r="Q281" t="n">
        <x:f>IFERROR(O281*D281,"")</x:f>
        <x:v>6.301369863013698</x:v>
      </x:c>
      <x:c r="R281" t="n">
        <x:f>IFERROR(Q281-P281,"")</x:f>
        <x:v>5.341917808219177</x:v>
      </x:c>
      <x:c r="S281" t="n">
        <x:f>IFERROR(R281/Q281,"")</x:f>
        <x:v>0.8477391304347826</x:v>
      </x:c>
      <x:c r="T281" t="s">
        <x:v>224</x:v>
      </x:c>
      <x:c r="U281" t="s">
        <x:v>1162</x:v>
      </x:c>
    </x:row>
    <x:row r="282">
      <x:c r="A282" t="s">
        <x:v>1439</x:v>
      </x:c>
      <x:c r="B282" t="s">
        <x:v>281</x:v>
      </x:c>
      <x:c r="C282" t="s">
        <x:v>868</x:v>
      </x:c>
      <x:c r="D282" t="s">
        <x:v>151</x:v>
      </x:c>
      <x:c r="E282">
        <x:v>4</x:v>
      </x:c>
      <x:c r="F282">
        <x:v>4</x:v>
      </x:c>
      <x:c r="G282" t="s">
        <x:v>232</x:v>
      </x:c>
      <x:c r="H282" t="s">
        <x:v>264</x:v>
      </x:c>
      <x:c r="I282" t="n">
        <x:f>IFERROR(XLOOKUP(G282,'模型SKU'!$A$5:$A$504,'模型SKU'!$E$5:$E$504),"")</x:f>
        <x:v>1280</x:v>
      </x:c>
      <x:c r="J282" t="n">
        <x:f>IFERROR(XLOOKUP(G282,'模型SKU'!$A$5:$A$504,'模型SKU'!$F$5:$F$504),"")</x:f>
        <x:v>720</x:v>
      </x:c>
      <x:c r="K282" t="n">
        <x:f>IFERROR(XLOOKUP(G282,'模型SKU'!$A$5:$A$504,'模型SKU'!$G$5:$G$504),"")</x:f>
        <x:v>24</x:v>
      </x:c>
      <x:c r="L282" t="n">
        <x:f>IFERROR((E282+F282)*I282*J282*K282/'参数'!$B$7,0)</x:f>
        <x:v>172800</x:v>
      </x:c>
      <x:c r="M282" t="s">
        <x:v>331</x:v>
      </x:c>
      <x:c r="N282" t="n">
        <x:f>IFERROR(XLOOKUP(C282,'渠道成本'!$A$5:$A$1004,'渠道成本'!$U$5:$U$1004),"")</x:f>
        <x:v>0.9594520547945204</x:v>
      </x:c>
      <x:c r="O282" t="n">
        <x:f>IFERROR(XLOOKUP(B282,'官方售价'!$A$5:$A$504,'官方售价'!$M$5:$M$504),"")</x:f>
        <x:v>3.835616438356164</x:v>
      </x:c>
      <x:c r="P282" t="n">
        <x:f>IF(M282="per_token",N282*L282/'参数'!$B$8,N282)</x:f>
        <x:v>0.9594520547945204</x:v>
      </x:c>
      <x:c r="Q282" t="n">
        <x:f>IFERROR(O282*D282,"")</x:f>
        <x:v>3.835616438356164</x:v>
      </x:c>
      <x:c r="R282" t="n">
        <x:f>IFERROR(Q282-P282,"")</x:f>
        <x:v>2.876164383561644</x:v>
      </x:c>
      <x:c r="S282" t="n">
        <x:f>IFERROR(R282/Q282,"")</x:f>
        <x:v>0.7498571428571429</x:v>
      </x:c>
      <x:c r="T282" t="s">
        <x:v>224</x:v>
      </x:c>
      <x:c r="U282" t="s">
        <x:v>1162</x:v>
      </x:c>
    </x:row>
    <x:row r="283">
      <x:c r="A283" t="s">
        <x:v>1440</x:v>
      </x:c>
      <x:c r="B283" t="s">
        <x:v>257</x:v>
      </x:c>
      <x:c r="C283" t="s">
        <x:v>869</x:v>
      </x:c>
      <x:c r="D283" t="s">
        <x:v>151</x:v>
      </x:c>
      <x:c r="E283">
        <x:v>4</x:v>
      </x:c>
      <x:c r="F283">
        <x:v>4</x:v>
      </x:c>
      <x:c r="G283" t="s">
        <x:v>217</x:v>
      </x:c>
      <x:c r="H283" t="s">
        <x:v>258</x:v>
      </x:c>
      <x:c r="I283" t="n">
        <x:f>IFERROR(XLOOKUP(G283,'模型SKU'!$A$5:$A$504,'模型SKU'!$E$5:$E$504),"")</x:f>
        <x:v>1920</x:v>
      </x:c>
      <x:c r="J283" t="n">
        <x:f>IFERROR(XLOOKUP(G283,'模型SKU'!$A$5:$A$504,'模型SKU'!$F$5:$F$504),"")</x:f>
        <x:v>1080</x:v>
      </x:c>
      <x:c r="K283" t="n">
        <x:f>IFERROR(XLOOKUP(G283,'模型SKU'!$A$5:$A$504,'模型SKU'!$G$5:$G$504),"")</x:f>
        <x:v>24</x:v>
      </x:c>
      <x:c r="L283" t="n">
        <x:f>IFERROR((E283+F283)*I283*J283*K283/'参数'!$B$7,0)</x:f>
        <x:v>388800</x:v>
      </x:c>
      <x:c r="M283" t="s">
        <x:v>331</x:v>
      </x:c>
      <x:c r="N283" t="n">
        <x:f>IFERROR(XLOOKUP(C283,'渠道成本'!$A$5:$A$1004,'渠道成本'!$U$5:$U$1004),"")</x:f>
        <x:v>1.918904109589041</x:v>
      </x:c>
      <x:c r="O283" t="n">
        <x:f>IFERROR(XLOOKUP(B283,'官方售价'!$A$5:$A$504,'官方售价'!$M$5:$M$504),"")</x:f>
        <x:v>6.986301369863013</x:v>
      </x:c>
      <x:c r="P283" t="n">
        <x:f>IF(M283="per_token",N283*L283/'参数'!$B$8,N283)</x:f>
        <x:v>1.918904109589041</x:v>
      </x:c>
      <x:c r="Q283" t="n">
        <x:f>IFERROR(O283*D283,"")</x:f>
        <x:v>6.986301369863013</x:v>
      </x:c>
      <x:c r="R283" t="n">
        <x:f>IFERROR(Q283-P283,"")</x:f>
        <x:v>5.067397260273973</x:v>
      </x:c>
      <x:c r="S283" t="n">
        <x:f>IFERROR(R283/Q283,"")</x:f>
        <x:v>0.7253333333333334</x:v>
      </x:c>
      <x:c r="T283" t="s">
        <x:v>224</x:v>
      </x:c>
      <x:c r="U283" t="s">
        <x:v>1162</x:v>
      </x:c>
    </x:row>
    <x:row r="284">
      <x:c r="A284" t="s">
        <x:v>1441</x:v>
      </x:c>
      <x:c r="B284" t="s">
        <x:v>263</x:v>
      </x:c>
      <x:c r="C284" t="s">
        <x:v>872</x:v>
      </x:c>
      <x:c r="D284" t="s">
        <x:v>151</x:v>
      </x:c>
      <x:c r="E284">
        <x:v>4</x:v>
      </x:c>
      <x:c r="F284">
        <x:v>4</x:v>
      </x:c>
      <x:c r="G284" t="s">
        <x:v>217</x:v>
      </x:c>
      <x:c r="H284" t="s">
        <x:v>264</x:v>
      </x:c>
      <x:c r="I284" t="n">
        <x:f>IFERROR(XLOOKUP(G284,'模型SKU'!$A$5:$A$504,'模型SKU'!$E$5:$E$504),"")</x:f>
        <x:v>1920</x:v>
      </x:c>
      <x:c r="J284" t="n">
        <x:f>IFERROR(XLOOKUP(G284,'模型SKU'!$A$5:$A$504,'模型SKU'!$F$5:$F$504),"")</x:f>
        <x:v>1080</x:v>
      </x:c>
      <x:c r="K284" t="n">
        <x:f>IFERROR(XLOOKUP(G284,'模型SKU'!$A$5:$A$504,'模型SKU'!$G$5:$G$504),"")</x:f>
        <x:v>24</x:v>
      </x:c>
      <x:c r="L284" t="n">
        <x:f>IFERROR((E284+F284)*I284*J284*K284/'参数'!$B$7,0)</x:f>
        <x:v>388800</x:v>
      </x:c>
      <x:c r="M284" t="s">
        <x:v>331</x:v>
      </x:c>
      <x:c r="N284" t="n">
        <x:f>IFERROR(XLOOKUP(C284,'渠道成本'!$A$5:$A$1004,'渠道成本'!$U$5:$U$1004),"")</x:f>
        <x:v>1.918904109589041</x:v>
      </x:c>
      <x:c r="O284" t="n">
        <x:f>IFERROR(XLOOKUP(B284,'官方售价'!$A$5:$A$504,'官方售价'!$M$5:$M$504),"")</x:f>
        <x:v>4.2465753424657535</x:v>
      </x:c>
      <x:c r="P284" t="n">
        <x:f>IF(M284="per_token",N284*L284/'参数'!$B$8,N284)</x:f>
        <x:v>1.918904109589041</x:v>
      </x:c>
      <x:c r="Q284" t="n">
        <x:f>IFERROR(O284*D284,"")</x:f>
        <x:v>4.2465753424657535</x:v>
      </x:c>
      <x:c r="R284" t="n">
        <x:f>IFERROR(Q284-P284,"")</x:f>
        <x:v>2.3276712328767126</x:v>
      </x:c>
      <x:c r="S284" t="n">
        <x:f>IFERROR(R284/Q284,"")</x:f>
        <x:v>0.5481290322580645</x:v>
      </x:c>
      <x:c r="T284" t="s">
        <x:v>224</x:v>
      </x:c>
      <x:c r="U284" t="s">
        <x:v>1162</x:v>
      </x:c>
    </x:row>
    <x:row r="285">
      <x:c r="A285" t="s">
        <x:v>1442</x:v>
      </x:c>
      <x:c r="B285" t="s">
        <x:v>273</x:v>
      </x:c>
      <x:c r="C285" t="s">
        <x:v>873</x:v>
      </x:c>
      <x:c r="D285" t="s">
        <x:v>151</x:v>
      </x:c>
      <x:c r="E285">
        <x:v>4</x:v>
      </x:c>
      <x:c r="F285">
        <x:v>4</x:v>
      </x:c>
      <x:c r="G285" t="s">
        <x:v>230</x:v>
      </x:c>
      <x:c r="H285" t="s">
        <x:v>258</x:v>
      </x:c>
      <x:c r="I285" t="n">
        <x:f>IFERROR(XLOOKUP(G285,'模型SKU'!$A$5:$A$504,'模型SKU'!$E$5:$E$504),"")</x:f>
        <x:v>3840</x:v>
      </x:c>
      <x:c r="J285" t="n">
        <x:f>IFERROR(XLOOKUP(G285,'模型SKU'!$A$5:$A$504,'模型SKU'!$F$5:$F$504),"")</x:f>
        <x:v>2160</x:v>
      </x:c>
      <x:c r="K285" t="n">
        <x:f>IFERROR(XLOOKUP(G285,'模型SKU'!$A$5:$A$504,'模型SKU'!$G$5:$G$504),"")</x:f>
        <x:v>24</x:v>
      </x:c>
      <x:c r="L285" t="n">
        <x:f>IFERROR((E285+F285)*I285*J285*K285/'参数'!$B$7,0)</x:f>
        <x:v>1555200</x:v>
      </x:c>
      <x:c r="M285" t="s">
        <x:v>331</x:v>
      </x:c>
      <x:c r="N285" t="n">
        <x:f>IFERROR(XLOOKUP(C285,'渠道成本'!$A$5:$A$1004,'渠道成本'!$U$5:$U$1004),"")</x:f>
        <x:v>3.837808219178082</x:v>
      </x:c>
      <x:c r="O285" t="n">
        <x:f>IFERROR(XLOOKUP(B285,'官方售价'!$A$5:$A$504,'官方售价'!$M$5:$M$504),"")</x:f>
        <x:v>3.5616438356164384</x:v>
      </x:c>
      <x:c r="P285" t="n">
        <x:f>IF(M285="per_token",N285*L285/'参数'!$B$8,N285)</x:f>
        <x:v>3.837808219178082</x:v>
      </x:c>
      <x:c r="Q285" t="n">
        <x:f>IFERROR(O285*D285,"")</x:f>
        <x:v>3.5616438356164384</x:v>
      </x:c>
      <x:c r="R285" t="n">
        <x:f>IFERROR(Q285-P285,"")</x:f>
        <x:v>-0.2761643835616434</x:v>
      </x:c>
      <x:c r="S285" t="n">
        <x:f>IFERROR(R285/Q285,"")</x:f>
        <x:v>-0.07753846153846142</x:v>
      </x:c>
      <x:c r="T285" t="s">
        <x:v>224</x:v>
      </x:c>
      <x:c r="U285" t="s">
        <x:v>1162</x:v>
      </x:c>
    </x:row>
    <x:row r="286">
      <x:c r="A286" t="s">
        <x:v>1443</x:v>
      </x:c>
      <x:c r="B286" t="s">
        <x:v>276</x:v>
      </x:c>
      <x:c r="C286" t="s">
        <x:v>875</x:v>
      </x:c>
      <x:c r="D286" t="s">
        <x:v>151</x:v>
      </x:c>
      <x:c r="E286">
        <x:v>4</x:v>
      </x:c>
      <x:c r="F286">
        <x:v>4</x:v>
      </x:c>
      <x:c r="G286" t="s">
        <x:v>230</x:v>
      </x:c>
      <x:c r="H286" t="s">
        <x:v>264</x:v>
      </x:c>
      <x:c r="I286" t="n">
        <x:f>IFERROR(XLOOKUP(G286,'模型SKU'!$A$5:$A$504,'模型SKU'!$E$5:$E$504),"")</x:f>
        <x:v>3840</x:v>
      </x:c>
      <x:c r="J286" t="n">
        <x:f>IFERROR(XLOOKUP(G286,'模型SKU'!$A$5:$A$504,'模型SKU'!$F$5:$F$504),"")</x:f>
        <x:v>2160</x:v>
      </x:c>
      <x:c r="K286" t="n">
        <x:f>IFERROR(XLOOKUP(G286,'模型SKU'!$A$5:$A$504,'模型SKU'!$G$5:$G$504),"")</x:f>
        <x:v>24</x:v>
      </x:c>
      <x:c r="L286" t="n">
        <x:f>IFERROR((E286+F286)*I286*J286*K286/'参数'!$B$7,0)</x:f>
        <x:v>1555200</x:v>
      </x:c>
      <x:c r="M286" t="s">
        <x:v>331</x:v>
      </x:c>
      <x:c r="N286" t="n">
        <x:f>IFERROR(XLOOKUP(C286,'渠道成本'!$A$5:$A$1004,'渠道成本'!$U$5:$U$1004),"")</x:f>
        <x:v>3.837808219178082</x:v>
      </x:c>
      <x:c r="O286" t="n">
        <x:f>IFERROR(XLOOKUP(B286,'官方售价'!$A$5:$A$504,'官方售价'!$M$5:$M$504),"")</x:f>
        <x:v>2.191780821917808</x:v>
      </x:c>
      <x:c r="P286" t="n">
        <x:f>IF(M286="per_token",N286*L286/'参数'!$B$8,N286)</x:f>
        <x:v>3.837808219178082</x:v>
      </x:c>
      <x:c r="Q286" t="n">
        <x:f>IFERROR(O286*D286,"")</x:f>
        <x:v>2.191780821917808</x:v>
      </x:c>
      <x:c r="R286" t="n">
        <x:f>IFERROR(Q286-P286,"")</x:f>
        <x:v>-1.6460273972602737</x:v>
      </x:c>
      <x:c r="S286" t="n">
        <x:f>IFERROR(R286/Q286,"")</x:f>
        <x:v>-0.7509999999999999</x:v>
      </x:c>
      <x:c r="T286" t="s">
        <x:v>224</x:v>
      </x:c>
      <x:c r="U286" t="s">
        <x:v>1162</x:v>
      </x:c>
    </x:row>
    <x:row r="287">
      <x:c r="A287" t="s">
        <x:v>1444</x:v>
      </x:c>
      <x:c r="B287" t="s">
        <x:v>289</x:v>
      </x:c>
      <x:c r="C287" t="s">
        <x:v>876</x:v>
      </x:c>
      <x:c r="D287" t="s">
        <x:v>151</x:v>
      </x:c>
      <x:c r="E287">
        <x:v>4</x:v>
      </x:c>
      <x:c r="F287">
        <x:v>4</x:v>
      </x:c>
      <x:c r="G287" t="s">
        <x:v>238</x:v>
      </x:c>
      <x:c r="H287" t="s">
        <x:v>258</x:v>
      </x:c>
      <x:c r="I287" t="n">
        <x:f>IFERROR(XLOOKUP(G287,'模型SKU'!$A$5:$A$504,'模型SKU'!$E$5:$E$504),"")</x:f>
        <x:v>1280</x:v>
      </x:c>
      <x:c r="J287" t="n">
        <x:f>IFERROR(XLOOKUP(G287,'模型SKU'!$A$5:$A$504,'模型SKU'!$F$5:$F$504),"")</x:f>
        <x:v>720</x:v>
      </x:c>
      <x:c r="K287" t="n">
        <x:f>IFERROR(XLOOKUP(G287,'模型SKU'!$A$5:$A$504,'模型SKU'!$G$5:$G$504),"")</x:f>
        <x:v>24</x:v>
      </x:c>
      <x:c r="L287" t="n">
        <x:f>IFERROR((E287+F287)*I287*J287*K287/'参数'!$B$7,0)</x:f>
        <x:v>172800</x:v>
      </x:c>
      <x:c r="M287" t="s">
        <x:v>331</x:v>
      </x:c>
      <x:c r="N287" t="n">
        <x:f>IFERROR(XLOOKUP(C287,'渠道成本'!$A$5:$A$1004,'渠道成本'!$U$5:$U$1004),"")</x:f>
        <x:v>0.8183561643835616</x:v>
      </x:c>
      <x:c r="O287" t="n">
        <x:f>IFERROR(XLOOKUP(B287,'官方售价'!$A$5:$A$504,'官方售价'!$M$5:$M$504),"")</x:f>
        <x:v>5.068493150684931</x:v>
      </x:c>
      <x:c r="P287" t="n">
        <x:f>IF(M287="per_token",N287*L287/'参数'!$B$8,N287)</x:f>
        <x:v>0.8183561643835616</x:v>
      </x:c>
      <x:c r="Q287" t="n">
        <x:f>IFERROR(O287*D287,"")</x:f>
        <x:v>5.068493150684931</x:v>
      </x:c>
      <x:c r="R287" t="n">
        <x:f>IFERROR(Q287-P287,"")</x:f>
        <x:v>4.25013698630137</x:v>
      </x:c>
      <x:c r="S287" t="n">
        <x:f>IFERROR(R287/Q287,"")</x:f>
        <x:v>0.8385405405405406</x:v>
      </x:c>
      <x:c r="T287" t="s">
        <x:v>224</x:v>
      </x:c>
      <x:c r="U287" t="s">
        <x:v>1162</x:v>
      </x:c>
    </x:row>
    <x:row r="288">
      <x:c r="A288" t="s">
        <x:v>1445</x:v>
      </x:c>
      <x:c r="B288" t="s">
        <x:v>291</x:v>
      </x:c>
      <x:c r="C288" t="s">
        <x:v>879</x:v>
      </x:c>
      <x:c r="D288" t="s">
        <x:v>151</x:v>
      </x:c>
      <x:c r="E288">
        <x:v>4</x:v>
      </x:c>
      <x:c r="F288">
        <x:v>4</x:v>
      </x:c>
      <x:c r="G288" t="s">
        <x:v>238</x:v>
      </x:c>
      <x:c r="H288" t="s">
        <x:v>264</x:v>
      </x:c>
      <x:c r="I288" t="n">
        <x:f>IFERROR(XLOOKUP(G288,'模型SKU'!$A$5:$A$504,'模型SKU'!$E$5:$E$504),"")</x:f>
        <x:v>1280</x:v>
      </x:c>
      <x:c r="J288" t="n">
        <x:f>IFERROR(XLOOKUP(G288,'模型SKU'!$A$5:$A$504,'模型SKU'!$F$5:$F$504),"")</x:f>
        <x:v>720</x:v>
      </x:c>
      <x:c r="K288" t="n">
        <x:f>IFERROR(XLOOKUP(G288,'模型SKU'!$A$5:$A$504,'模型SKU'!$G$5:$G$504),"")</x:f>
        <x:v>24</x:v>
      </x:c>
      <x:c r="L288" t="n">
        <x:f>IFERROR((E288+F288)*I288*J288*K288/'参数'!$B$7,0)</x:f>
        <x:v>172800</x:v>
      </x:c>
      <x:c r="M288" t="s">
        <x:v>331</x:v>
      </x:c>
      <x:c r="N288" t="n">
        <x:f>IFERROR(XLOOKUP(C288,'渠道成本'!$A$5:$A$1004,'渠道成本'!$U$5:$U$1004),"")</x:f>
        <x:v>0.8183561643835616</x:v>
      </x:c>
      <x:c r="O288" t="n">
        <x:f>IFERROR(XLOOKUP(B288,'官方售价'!$A$5:$A$504,'官方售价'!$M$5:$M$504),"")</x:f>
        <x:v>3.013698630136986</x:v>
      </x:c>
      <x:c r="P288" t="n">
        <x:f>IF(M288="per_token",N288*L288/'参数'!$B$8,N288)</x:f>
        <x:v>0.8183561643835616</x:v>
      </x:c>
      <x:c r="Q288" t="n">
        <x:f>IFERROR(O288*D288,"")</x:f>
        <x:v>3.013698630136986</x:v>
      </x:c>
      <x:c r="R288" t="n">
        <x:f>IFERROR(Q288-P288,"")</x:f>
        <x:v>2.1953424657534244</x:v>
      </x:c>
      <x:c r="S288" t="n">
        <x:f>IFERROR(R288/Q288,"")</x:f>
        <x:v>0.7284545454545455</x:v>
      </x:c>
      <x:c r="T288" t="s">
        <x:v>224</x:v>
      </x:c>
      <x:c r="U288" t="s">
        <x:v>1162</x:v>
      </x:c>
    </x:row>
    <x:row r="289">
      <x:c r="A289" t="s">
        <x:v>1446</x:v>
      </x:c>
      <x:c r="B289" t="s">
        <x:v>299</x:v>
      </x:c>
      <x:c r="C289" t="s">
        <x:v>880</x:v>
      </x:c>
      <x:c r="D289" t="s">
        <x:v>151</x:v>
      </x:c>
      <x:c r="E289">
        <x:v>4</x:v>
      </x:c>
      <x:c r="F289">
        <x:v>4</x:v>
      </x:c>
      <x:c r="G289" t="s">
        <x:v>244</x:v>
      </x:c>
      <x:c r="H289" t="s">
        <x:v>258</x:v>
      </x:c>
      <x:c r="I289" t="n">
        <x:f>IFERROR(XLOOKUP(G289,'模型SKU'!$A$5:$A$504,'模型SKU'!$E$5:$E$504),"")</x:f>
        <x:v>1280</x:v>
      </x:c>
      <x:c r="J289" t="n">
        <x:f>IFERROR(XLOOKUP(G289,'模型SKU'!$A$5:$A$504,'模型SKU'!$F$5:$F$504),"")</x:f>
        <x:v>720</x:v>
      </x:c>
      <x:c r="K289" t="n">
        <x:f>IFERROR(XLOOKUP(G289,'模型SKU'!$A$5:$A$504,'模型SKU'!$G$5:$G$504),"")</x:f>
        <x:v>24</x:v>
      </x:c>
      <x:c r="L289" t="n">
        <x:f>IFERROR((E289+F289)*I289*J289*K289/'参数'!$B$7,0)</x:f>
        <x:v>172800</x:v>
      </x:c>
      <x:c r="M289" t="s">
        <x:v>331</x:v>
      </x:c>
      <x:c r="N289" t="n">
        <x:f>IFERROR(XLOOKUP(C289,'渠道成本'!$A$5:$A$1004,'渠道成本'!$U$5:$U$1004),"")</x:f>
        <x:v>0.6913698630136986</x:v>
      </x:c>
      <x:c r="O289" t="n">
        <x:f>IFERROR(XLOOKUP(B289,'官方售价'!$A$5:$A$504,'官方售价'!$M$5:$M$504),"")</x:f>
        <x:v>3.150684931506849</x:v>
      </x:c>
      <x:c r="P289" t="n">
        <x:f>IF(M289="per_token",N289*L289/'参数'!$B$8,N289)</x:f>
        <x:v>0.6913698630136986</x:v>
      </x:c>
      <x:c r="Q289" t="n">
        <x:f>IFERROR(O289*D289,"")</x:f>
        <x:v>3.150684931506849</x:v>
      </x:c>
      <x:c r="R289" t="n">
        <x:f>IFERROR(Q289-P289,"")</x:f>
        <x:v>2.4593150684931504</x:v>
      </x:c>
      <x:c r="S289" t="n">
        <x:f>IFERROR(R289/Q289,"")</x:f>
        <x:v>0.7805652173913044</x:v>
      </x:c>
      <x:c r="T289" t="s">
        <x:v>224</x:v>
      </x:c>
      <x:c r="U289" t="s">
        <x:v>1162</x:v>
      </x:c>
    </x:row>
    <x:row r="290">
      <x:c r="A290" t="s">
        <x:v>1447</x:v>
      </x:c>
      <x:c r="B290" t="s">
        <x:v>301</x:v>
      </x:c>
      <x:c r="C290" t="s">
        <x:v>883</x:v>
      </x:c>
      <x:c r="D290" t="s">
        <x:v>151</x:v>
      </x:c>
      <x:c r="E290">
        <x:v>4</x:v>
      </x:c>
      <x:c r="F290">
        <x:v>4</x:v>
      </x:c>
      <x:c r="G290" t="s">
        <x:v>244</x:v>
      </x:c>
      <x:c r="H290" t="s">
        <x:v>264</x:v>
      </x:c>
      <x:c r="I290" t="n">
        <x:f>IFERROR(XLOOKUP(G290,'模型SKU'!$A$5:$A$504,'模型SKU'!$E$5:$E$504),"")</x:f>
        <x:v>1280</x:v>
      </x:c>
      <x:c r="J290" t="n">
        <x:f>IFERROR(XLOOKUP(G290,'模型SKU'!$A$5:$A$504,'模型SKU'!$F$5:$F$504),"")</x:f>
        <x:v>720</x:v>
      </x:c>
      <x:c r="K290" t="n">
        <x:f>IFERROR(XLOOKUP(G290,'模型SKU'!$A$5:$A$504,'模型SKU'!$G$5:$G$504),"")</x:f>
        <x:v>24</x:v>
      </x:c>
      <x:c r="L290" t="n">
        <x:f>IFERROR((E290+F290)*I290*J290*K290/'参数'!$B$7,0)</x:f>
        <x:v>172800</x:v>
      </x:c>
      <x:c r="M290" t="s">
        <x:v>331</x:v>
      </x:c>
      <x:c r="N290" t="n">
        <x:f>IFERROR(XLOOKUP(C290,'渠道成本'!$A$5:$A$1004,'渠道成本'!$U$5:$U$1004),"")</x:f>
        <x:v>0.6913698630136986</x:v>
      </x:c>
      <x:c r="O290" t="n">
        <x:f>IFERROR(XLOOKUP(B290,'官方售价'!$A$5:$A$504,'官方售价'!$M$5:$M$504),"")</x:f>
        <x:v>1.917808219178082</x:v>
      </x:c>
      <x:c r="P290" t="n">
        <x:f>IF(M290="per_token",N290*L290/'参数'!$B$8,N290)</x:f>
        <x:v>0.6913698630136986</x:v>
      </x:c>
      <x:c r="Q290" t="n">
        <x:f>IFERROR(O290*D290,"")</x:f>
        <x:v>1.917808219178082</x:v>
      </x:c>
      <x:c r="R290" t="n">
        <x:f>IFERROR(Q290-P290,"")</x:f>
        <x:v>1.2264383561643835</x:v>
      </x:c>
      <x:c r="S290" t="n">
        <x:f>IFERROR(R290/Q290,"")</x:f>
        <x:v>0.6395</x:v>
      </x:c>
      <x:c r="T290" t="s">
        <x:v>224</x:v>
      </x:c>
      <x:c r="U290" t="s">
        <x:v>1162</x:v>
      </x:c>
    </x:row>
    <x:row r="291">
      <x:c r="A291" t="s">
        <x:v>1448</x:v>
      </x:c>
      <x:c r="B291" t="s">
        <x:v>279</x:v>
      </x:c>
      <x:c r="C291" t="s">
        <x:v>884</x:v>
      </x:c>
      <x:c r="D291" t="s">
        <x:v>151</x:v>
      </x:c>
      <x:c r="E291">
        <x:v>4</x:v>
      </x:c>
      <x:c r="F291">
        <x:v>4</x:v>
      </x:c>
      <x:c r="G291" t="s">
        <x:v>232</x:v>
      </x:c>
      <x:c r="H291" t="s">
        <x:v>258</x:v>
      </x:c>
      <x:c r="I291" t="n">
        <x:f>IFERROR(XLOOKUP(G291,'模型SKU'!$A$5:$A$504,'模型SKU'!$E$5:$E$504),"")</x:f>
        <x:v>1280</x:v>
      </x:c>
      <x:c r="J291" t="n">
        <x:f>IFERROR(XLOOKUP(G291,'模型SKU'!$A$5:$A$504,'模型SKU'!$F$5:$F$504),"")</x:f>
        <x:v>720</x:v>
      </x:c>
      <x:c r="K291" t="n">
        <x:f>IFERROR(XLOOKUP(G291,'模型SKU'!$A$5:$A$504,'模型SKU'!$G$5:$G$504),"")</x:f>
        <x:v>24</x:v>
      </x:c>
      <x:c r="L291" t="n">
        <x:f>IFERROR((E291+F291)*I291*J291*K291/'参数'!$B$7,0)</x:f>
        <x:v>172800</x:v>
      </x:c>
      <x:c r="M291" t="s">
        <x:v>318</x:v>
      </x:c>
      <x:c r="N291" t="n">
        <x:f>IFERROR(XLOOKUP(C291,'渠道成本'!$A$5:$A$1004,'渠道成本'!$U$5:$U$1004),"")</x:f>
        <x:v>0.09876712328767122</x:v>
      </x:c>
      <x:c r="O291" t="n">
        <x:f>IFERROR(XLOOKUP(B291,'官方售价'!$A$5:$A$504,'官方售价'!$M$5:$M$504),"")</x:f>
        <x:v>6.301369863013698</x:v>
      </x:c>
      <x:c r="P291" t="n">
        <x:f>IF(M291="per_token",N291*L291/'参数'!$B$8,N291)</x:f>
        <x:v>0.09876712328767122</x:v>
      </x:c>
      <x:c r="Q291" t="n">
        <x:f>IFERROR(O291*D291,"")</x:f>
        <x:v>6.301369863013698</x:v>
      </x:c>
      <x:c r="R291" t="n">
        <x:f>IFERROR(Q291-P291,"")</x:f>
        <x:v>6.202602739726027</x:v>
      </x:c>
      <x:c r="S291" t="n">
        <x:f>IFERROR(R291/Q291,"")</x:f>
        <x:v>0.9843260869565217</x:v>
      </x:c>
      <x:c r="T291" t="s">
        <x:v>224</x:v>
      </x:c>
      <x:c r="U291" t="s">
        <x:v>1162</x:v>
      </x:c>
    </x:row>
    <x:row r="292">
      <x:c r="A292" t="s">
        <x:v>1449</x:v>
      </x:c>
      <x:c r="B292" t="s">
        <x:v>281</x:v>
      </x:c>
      <x:c r="C292" t="s">
        <x:v>887</x:v>
      </x:c>
      <x:c r="D292" t="s">
        <x:v>151</x:v>
      </x:c>
      <x:c r="E292">
        <x:v>4</x:v>
      </x:c>
      <x:c r="F292">
        <x:v>4</x:v>
      </x:c>
      <x:c r="G292" t="s">
        <x:v>232</x:v>
      </x:c>
      <x:c r="H292" t="s">
        <x:v>264</x:v>
      </x:c>
      <x:c r="I292" t="n">
        <x:f>IFERROR(XLOOKUP(G292,'模型SKU'!$A$5:$A$504,'模型SKU'!$E$5:$E$504),"")</x:f>
        <x:v>1280</x:v>
      </x:c>
      <x:c r="J292" t="n">
        <x:f>IFERROR(XLOOKUP(G292,'模型SKU'!$A$5:$A$504,'模型SKU'!$F$5:$F$504),"")</x:f>
        <x:v>720</x:v>
      </x:c>
      <x:c r="K292" t="n">
        <x:f>IFERROR(XLOOKUP(G292,'模型SKU'!$A$5:$A$504,'模型SKU'!$G$5:$G$504),"")</x:f>
        <x:v>24</x:v>
      </x:c>
      <x:c r="L292" t="n">
        <x:f>IFERROR((E292+F292)*I292*J292*K292/'参数'!$B$7,0)</x:f>
        <x:v>172800</x:v>
      </x:c>
      <x:c r="M292" t="s">
        <x:v>318</x:v>
      </x:c>
      <x:c r="N292" t="n">
        <x:f>IFERROR(XLOOKUP(C292,'渠道成本'!$A$5:$A$1004,'渠道成本'!$U$5:$U$1004),"")</x:f>
        <x:v>0.09876712328767122</x:v>
      </x:c>
      <x:c r="O292" t="n">
        <x:f>IFERROR(XLOOKUP(B292,'官方售价'!$A$5:$A$504,'官方售价'!$M$5:$M$504),"")</x:f>
        <x:v>3.835616438356164</x:v>
      </x:c>
      <x:c r="P292" t="n">
        <x:f>IF(M292="per_token",N292*L292/'参数'!$B$8,N292)</x:f>
        <x:v>0.09876712328767122</x:v>
      </x:c>
      <x:c r="Q292" t="n">
        <x:f>IFERROR(O292*D292,"")</x:f>
        <x:v>3.835616438356164</x:v>
      </x:c>
      <x:c r="R292" t="n">
        <x:f>IFERROR(Q292-P292,"")</x:f>
        <x:v>3.736849315068493</x:v>
      </x:c>
      <x:c r="S292" t="n">
        <x:f>IFERROR(R292/Q292,"")</x:f>
        <x:v>0.97425</x:v>
      </x:c>
      <x:c r="T292" t="s">
        <x:v>224</x:v>
      </x:c>
      <x:c r="U292" t="s">
        <x:v>1162</x:v>
      </x:c>
    </x:row>
    <x:row r="293">
      <x:c r="A293" t="s">
        <x:v>1450</x:v>
      </x:c>
      <x:c r="B293" t="s">
        <x:v>257</x:v>
      </x:c>
      <x:c r="C293" t="s">
        <x:v>888</x:v>
      </x:c>
      <x:c r="D293" t="s">
        <x:v>151</x:v>
      </x:c>
      <x:c r="E293">
        <x:v>4</x:v>
      </x:c>
      <x:c r="F293">
        <x:v>4</x:v>
      </x:c>
      <x:c r="G293" t="s">
        <x:v>217</x:v>
      </x:c>
      <x:c r="H293" t="s">
        <x:v>258</x:v>
      </x:c>
      <x:c r="I293" t="n">
        <x:f>IFERROR(XLOOKUP(G293,'模型SKU'!$A$5:$A$504,'模型SKU'!$E$5:$E$504),"")</x:f>
        <x:v>1920</x:v>
      </x:c>
      <x:c r="J293" t="n">
        <x:f>IFERROR(XLOOKUP(G293,'模型SKU'!$A$5:$A$504,'模型SKU'!$F$5:$F$504),"")</x:f>
        <x:v>1080</x:v>
      </x:c>
      <x:c r="K293" t="n">
        <x:f>IFERROR(XLOOKUP(G293,'模型SKU'!$A$5:$A$504,'模型SKU'!$G$5:$G$504),"")</x:f>
        <x:v>24</x:v>
      </x:c>
      <x:c r="L293" t="n">
        <x:f>IFERROR((E293+F293)*I293*J293*K293/'参数'!$B$7,0)</x:f>
        <x:v>388800</x:v>
      </x:c>
      <x:c r="M293" t="s">
        <x:v>318</x:v>
      </x:c>
      <x:c r="N293" t="n">
        <x:f>IFERROR(XLOOKUP(C293,'渠道成本'!$A$5:$A$1004,'渠道成本'!$U$5:$U$1004),"")</x:f>
        <x:v>0.24691780821917808</x:v>
      </x:c>
      <x:c r="O293" t="n">
        <x:f>IFERROR(XLOOKUP(B293,'官方售价'!$A$5:$A$504,'官方售价'!$M$5:$M$504),"")</x:f>
        <x:v>6.986301369863013</x:v>
      </x:c>
      <x:c r="P293" t="n">
        <x:f>IF(M293="per_token",N293*L293/'参数'!$B$8,N293)</x:f>
        <x:v>0.24691780821917808</x:v>
      </x:c>
      <x:c r="Q293" t="n">
        <x:f>IFERROR(O293*D293,"")</x:f>
        <x:v>6.986301369863013</x:v>
      </x:c>
      <x:c r="R293" t="n">
        <x:f>IFERROR(Q293-P293,"")</x:f>
        <x:v>6.739383561643836</x:v>
      </x:c>
      <x:c r="S293" t="n">
        <x:f>IFERROR(R293/Q293,"")</x:f>
        <x:v>0.9646568627450981</x:v>
      </x:c>
      <x:c r="T293" t="s">
        <x:v>224</x:v>
      </x:c>
      <x:c r="U293" t="s">
        <x:v>1162</x:v>
      </x:c>
    </x:row>
    <x:row r="294">
      <x:c r="A294" t="s">
        <x:v>1451</x:v>
      </x:c>
      <x:c r="B294" t="s">
        <x:v>263</x:v>
      </x:c>
      <x:c r="C294" t="s">
        <x:v>890</x:v>
      </x:c>
      <x:c r="D294" t="s">
        <x:v>151</x:v>
      </x:c>
      <x:c r="E294">
        <x:v>4</x:v>
      </x:c>
      <x:c r="F294">
        <x:v>4</x:v>
      </x:c>
      <x:c r="G294" t="s">
        <x:v>217</x:v>
      </x:c>
      <x:c r="H294" t="s">
        <x:v>264</x:v>
      </x:c>
      <x:c r="I294" t="n">
        <x:f>IFERROR(XLOOKUP(G294,'模型SKU'!$A$5:$A$504,'模型SKU'!$E$5:$E$504),"")</x:f>
        <x:v>1920</x:v>
      </x:c>
      <x:c r="J294" t="n">
        <x:f>IFERROR(XLOOKUP(G294,'模型SKU'!$A$5:$A$504,'模型SKU'!$F$5:$F$504),"")</x:f>
        <x:v>1080</x:v>
      </x:c>
      <x:c r="K294" t="n">
        <x:f>IFERROR(XLOOKUP(G294,'模型SKU'!$A$5:$A$504,'模型SKU'!$G$5:$G$504),"")</x:f>
        <x:v>24</x:v>
      </x:c>
      <x:c r="L294" t="n">
        <x:f>IFERROR((E294+F294)*I294*J294*K294/'参数'!$B$7,0)</x:f>
        <x:v>388800</x:v>
      </x:c>
      <x:c r="M294" t="s">
        <x:v>318</x:v>
      </x:c>
      <x:c r="N294" t="n">
        <x:f>IFERROR(XLOOKUP(C294,'渠道成本'!$A$5:$A$1004,'渠道成本'!$U$5:$U$1004),"")</x:f>
        <x:v>0.24691780821917808</x:v>
      </x:c>
      <x:c r="O294" t="n">
        <x:f>IFERROR(XLOOKUP(B294,'官方售价'!$A$5:$A$504,'官方售价'!$M$5:$M$504),"")</x:f>
        <x:v>4.2465753424657535</x:v>
      </x:c>
      <x:c r="P294" t="n">
        <x:f>IF(M294="per_token",N294*L294/'参数'!$B$8,N294)</x:f>
        <x:v>0.24691780821917808</x:v>
      </x:c>
      <x:c r="Q294" t="n">
        <x:f>IFERROR(O294*D294,"")</x:f>
        <x:v>4.2465753424657535</x:v>
      </x:c>
      <x:c r="R294" t="n">
        <x:f>IFERROR(Q294-P294,"")</x:f>
        <x:v>3.9996575342465754</x:v>
      </x:c>
      <x:c r="S294" t="n">
        <x:f>IFERROR(R294/Q294,"")</x:f>
        <x:v>0.9418548387096775</x:v>
      </x:c>
      <x:c r="T294" t="s">
        <x:v>224</x:v>
      </x:c>
      <x:c r="U294" t="s">
        <x:v>1162</x:v>
      </x:c>
    </x:row>
    <x:row r="295">
      <x:c r="A295" t="s">
        <x:v>1452</x:v>
      </x:c>
      <x:c r="B295" t="s">
        <x:v>289</x:v>
      </x:c>
      <x:c r="C295" t="s">
        <x:v>891</x:v>
      </x:c>
      <x:c r="D295" t="s">
        <x:v>151</x:v>
      </x:c>
      <x:c r="E295">
        <x:v>4</x:v>
      </x:c>
      <x:c r="F295">
        <x:v>4</x:v>
      </x:c>
      <x:c r="G295" t="s">
        <x:v>238</x:v>
      </x:c>
      <x:c r="H295" t="s">
        <x:v>258</x:v>
      </x:c>
      <x:c r="I295" t="n">
        <x:f>IFERROR(XLOOKUP(G295,'模型SKU'!$A$5:$A$504,'模型SKU'!$E$5:$E$504),"")</x:f>
        <x:v>1280</x:v>
      </x:c>
      <x:c r="J295" t="n">
        <x:f>IFERROR(XLOOKUP(G295,'模型SKU'!$A$5:$A$504,'模型SKU'!$F$5:$F$504),"")</x:f>
        <x:v>720</x:v>
      </x:c>
      <x:c r="K295" t="n">
        <x:f>IFERROR(XLOOKUP(G295,'模型SKU'!$A$5:$A$504,'模型SKU'!$G$5:$G$504),"")</x:f>
        <x:v>24</x:v>
      </x:c>
      <x:c r="L295" t="n">
        <x:f>IFERROR((E295+F295)*I295*J295*K295/'参数'!$B$7,0)</x:f>
        <x:v>172800</x:v>
      </x:c>
      <x:c r="M295" t="s">
        <x:v>318</x:v>
      </x:c>
      <x:c r="N295" t="n">
        <x:f>IFERROR(XLOOKUP(C295,'渠道成本'!$A$5:$A$1004,'渠道成本'!$U$5:$U$1004),"")</x:f>
        <x:v>0.07901369863013699</x:v>
      </x:c>
      <x:c r="O295" t="n">
        <x:f>IFERROR(XLOOKUP(B295,'官方售价'!$A$5:$A$504,'官方售价'!$M$5:$M$504),"")</x:f>
        <x:v>5.068493150684931</x:v>
      </x:c>
      <x:c r="P295" t="n">
        <x:f>IF(M295="per_token",N295*L295/'参数'!$B$8,N295)</x:f>
        <x:v>0.07901369863013699</x:v>
      </x:c>
      <x:c r="Q295" t="n">
        <x:f>IFERROR(O295*D295,"")</x:f>
        <x:v>5.068493150684931</x:v>
      </x:c>
      <x:c r="R295" t="n">
        <x:f>IFERROR(Q295-P295,"")</x:f>
        <x:v>4.989479452054795</x:v>
      </x:c>
      <x:c r="S295" t="n">
        <x:f>IFERROR(R295/Q295,"")</x:f>
        <x:v>0.9844108108108108</x:v>
      </x:c>
      <x:c r="T295" t="s">
        <x:v>224</x:v>
      </x:c>
      <x:c r="U295" t="s">
        <x:v>1162</x:v>
      </x:c>
    </x:row>
    <x:row r="296">
      <x:c r="A296" t="s">
        <x:v>1453</x:v>
      </x:c>
      <x:c r="B296" t="s">
        <x:v>291</x:v>
      </x:c>
      <x:c r="C296" t="s">
        <x:v>894</x:v>
      </x:c>
      <x:c r="D296" t="s">
        <x:v>151</x:v>
      </x:c>
      <x:c r="E296">
        <x:v>4</x:v>
      </x:c>
      <x:c r="F296">
        <x:v>4</x:v>
      </x:c>
      <x:c r="G296" t="s">
        <x:v>238</x:v>
      </x:c>
      <x:c r="H296" t="s">
        <x:v>264</x:v>
      </x:c>
      <x:c r="I296" t="n">
        <x:f>IFERROR(XLOOKUP(G296,'模型SKU'!$A$5:$A$504,'模型SKU'!$E$5:$E$504),"")</x:f>
        <x:v>1280</x:v>
      </x:c>
      <x:c r="J296" t="n">
        <x:f>IFERROR(XLOOKUP(G296,'模型SKU'!$A$5:$A$504,'模型SKU'!$F$5:$F$504),"")</x:f>
        <x:v>720</x:v>
      </x:c>
      <x:c r="K296" t="n">
        <x:f>IFERROR(XLOOKUP(G296,'模型SKU'!$A$5:$A$504,'模型SKU'!$G$5:$G$504),"")</x:f>
        <x:v>24</x:v>
      </x:c>
      <x:c r="L296" t="n">
        <x:f>IFERROR((E296+F296)*I296*J296*K296/'参数'!$B$7,0)</x:f>
        <x:v>172800</x:v>
      </x:c>
      <x:c r="M296" t="s">
        <x:v>318</x:v>
      </x:c>
      <x:c r="N296" t="n">
        <x:f>IFERROR(XLOOKUP(C296,'渠道成本'!$A$5:$A$1004,'渠道成本'!$U$5:$U$1004),"")</x:f>
        <x:v>0.07901369863013699</x:v>
      </x:c>
      <x:c r="O296" t="n">
        <x:f>IFERROR(XLOOKUP(B296,'官方售价'!$A$5:$A$504,'官方售价'!$M$5:$M$504),"")</x:f>
        <x:v>3.013698630136986</x:v>
      </x:c>
      <x:c r="P296" t="n">
        <x:f>IF(M296="per_token",N296*L296/'参数'!$B$8,N296)</x:f>
        <x:v>0.07901369863013699</x:v>
      </x:c>
      <x:c r="Q296" t="n">
        <x:f>IFERROR(O296*D296,"")</x:f>
        <x:v>3.013698630136986</x:v>
      </x:c>
      <x:c r="R296" t="n">
        <x:f>IFERROR(Q296-P296,"")</x:f>
        <x:v>2.934684931506849</x:v>
      </x:c>
      <x:c r="S296" t="n">
        <x:f>IFERROR(R296/Q296,"")</x:f>
        <x:v>0.9737818181818182</x:v>
      </x:c>
      <x:c r="T296" t="s">
        <x:v>224</x:v>
      </x:c>
      <x:c r="U296" t="s">
        <x:v>1162</x:v>
      </x:c>
    </x:row>
    <x:row r="297">
      <x:c r="A297" t="s">
        <x:v>1454</x:v>
      </x:c>
      <x:c r="B297" t="s">
        <x:v>299</x:v>
      </x:c>
      <x:c r="C297" t="s">
        <x:v>895</x:v>
      </x:c>
      <x:c r="D297" t="s">
        <x:v>151</x:v>
      </x:c>
      <x:c r="E297">
        <x:v>4</x:v>
      </x:c>
      <x:c r="F297">
        <x:v>4</x:v>
      </x:c>
      <x:c r="G297" t="s">
        <x:v>244</x:v>
      </x:c>
      <x:c r="H297" t="s">
        <x:v>258</x:v>
      </x:c>
      <x:c r="I297" t="n">
        <x:f>IFERROR(XLOOKUP(G297,'模型SKU'!$A$5:$A$504,'模型SKU'!$E$5:$E$504),"")</x:f>
        <x:v>1280</x:v>
      </x:c>
      <x:c r="J297" t="n">
        <x:f>IFERROR(XLOOKUP(G297,'模型SKU'!$A$5:$A$504,'模型SKU'!$F$5:$F$504),"")</x:f>
        <x:v>720</x:v>
      </x:c>
      <x:c r="K297" t="n">
        <x:f>IFERROR(XLOOKUP(G297,'模型SKU'!$A$5:$A$504,'模型SKU'!$G$5:$G$504),"")</x:f>
        <x:v>24</x:v>
      </x:c>
      <x:c r="L297" t="n">
        <x:f>IFERROR((E297+F297)*I297*J297*K297/'参数'!$B$7,0)</x:f>
        <x:v>172800</x:v>
      </x:c>
      <x:c r="M297" t="s">
        <x:v>318</x:v>
      </x:c>
      <x:c r="N297" t="n">
        <x:f>IFERROR(XLOOKUP(C297,'渠道成本'!$A$5:$A$1004,'渠道成本'!$U$5:$U$1004),"")</x:f>
        <x:v>0.06772602739726027</x:v>
      </x:c>
      <x:c r="O297" t="n">
        <x:f>IFERROR(XLOOKUP(B297,'官方售价'!$A$5:$A$504,'官方售价'!$M$5:$M$504),"")</x:f>
        <x:v>3.150684931506849</x:v>
      </x:c>
      <x:c r="P297" t="n">
        <x:f>IF(M297="per_token",N297*L297/'参数'!$B$8,N297)</x:f>
        <x:v>0.06772602739726027</x:v>
      </x:c>
      <x:c r="Q297" t="n">
        <x:f>IFERROR(O297*D297,"")</x:f>
        <x:v>3.150684931506849</x:v>
      </x:c>
      <x:c r="R297" t="n">
        <x:f>IFERROR(Q297-P297,"")</x:f>
        <x:v>3.0829589041095886</x:v>
      </x:c>
      <x:c r="S297" t="n">
        <x:f>IFERROR(R297/Q297,"")</x:f>
        <x:v>0.9785043478260869</x:v>
      </x:c>
      <x:c r="T297" t="s">
        <x:v>224</x:v>
      </x:c>
      <x:c r="U297" t="s">
        <x:v>1162</x:v>
      </x:c>
    </x:row>
    <x:row r="298">
      <x:c r="A298" t="s">
        <x:v>1455</x:v>
      </x:c>
      <x:c r="B298" t="s">
        <x:v>301</x:v>
      </x:c>
      <x:c r="C298" t="s">
        <x:v>897</x:v>
      </x:c>
      <x:c r="D298" t="s">
        <x:v>151</x:v>
      </x:c>
      <x:c r="E298">
        <x:v>4</x:v>
      </x:c>
      <x:c r="F298">
        <x:v>4</x:v>
      </x:c>
      <x:c r="G298" t="s">
        <x:v>244</x:v>
      </x:c>
      <x:c r="H298" t="s">
        <x:v>264</x:v>
      </x:c>
      <x:c r="I298" t="n">
        <x:f>IFERROR(XLOOKUP(G298,'模型SKU'!$A$5:$A$504,'模型SKU'!$E$5:$E$504),"")</x:f>
        <x:v>1280</x:v>
      </x:c>
      <x:c r="J298" t="n">
        <x:f>IFERROR(XLOOKUP(G298,'模型SKU'!$A$5:$A$504,'模型SKU'!$F$5:$F$504),"")</x:f>
        <x:v>720</x:v>
      </x:c>
      <x:c r="K298" t="n">
        <x:f>IFERROR(XLOOKUP(G298,'模型SKU'!$A$5:$A$504,'模型SKU'!$G$5:$G$504),"")</x:f>
        <x:v>24</x:v>
      </x:c>
      <x:c r="L298" t="n">
        <x:f>IFERROR((E298+F298)*I298*J298*K298/'参数'!$B$7,0)</x:f>
        <x:v>172800</x:v>
      </x:c>
      <x:c r="M298" t="s">
        <x:v>318</x:v>
      </x:c>
      <x:c r="N298" t="n">
        <x:f>IFERROR(XLOOKUP(C298,'渠道成本'!$A$5:$A$1004,'渠道成本'!$U$5:$U$1004),"")</x:f>
        <x:v>0.06772602739726027</x:v>
      </x:c>
      <x:c r="O298" t="n">
        <x:f>IFERROR(XLOOKUP(B298,'官方售价'!$A$5:$A$504,'官方售价'!$M$5:$M$504),"")</x:f>
        <x:v>1.917808219178082</x:v>
      </x:c>
      <x:c r="P298" t="n">
        <x:f>IF(M298="per_token",N298*L298/'参数'!$B$8,N298)</x:f>
        <x:v>0.06772602739726027</x:v>
      </x:c>
      <x:c r="Q298" t="n">
        <x:f>IFERROR(O298*D298,"")</x:f>
        <x:v>1.917808219178082</x:v>
      </x:c>
      <x:c r="R298" t="n">
        <x:f>IFERROR(Q298-P298,"")</x:f>
        <x:v>1.850082191780822</x:v>
      </x:c>
      <x:c r="S298" t="n">
        <x:f>IFERROR(R298/Q298,"")</x:f>
        <x:v>0.9646857142857144</x:v>
      </x:c>
      <x:c r="T298" t="s">
        <x:v>224</x:v>
      </x:c>
      <x:c r="U298" t="s">
        <x:v>1162</x:v>
      </x:c>
    </x:row>
  </x:sheetData>
  <x:mergeCells>
    <x:mergeCell ref="A1:U1"/>
    <x:mergeCell ref="A2:U2"/>
  </x:mergeCells>
  <x:conditionalFormatting sqref="R5:S212">
    <x:cfRule type="cellIs" dxfId="4" priority="1" operator="lessThan">
      <x:formula>0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14" customWidth="1"/>
    <x:col min="2" max="2" width="30" customWidth="1"/>
    <x:col min="3" max="3" width="32" customWidth="1"/>
    <x:col min="4" max="4" width="18" customWidth="1"/>
    <x:col min="5" max="5" width="14" customWidth="1"/>
    <x:col min="6" max="6" width="16" customWidth="1"/>
    <x:col min="7" max="7" width="28" customWidth="1"/>
    <x:col min="8" max="8" width="48" customWidth="1"/>
    <x:col min="9" max="9" width="14" customWidth="1"/>
    <x:col min="10" max="10" width="46" customWidth="1"/>
    <x:col min="11" max="11" width="14" customWidth="1"/>
    <x:col min="12" max="12" width="22" customWidth="1"/>
  </x:cols>
  <x:sheetData>
    <x:row r="1" ht="34.04999923706055" customHeight="1">
      <x:c r="A1" s="1" t="s">
        <x:v>60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32" customHeight="1">
      <x:c r="A2" s="2" t="s">
        <x:v>1456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34.04999923706055" customHeight="1">
      <x:c r="A4" s="4" t="s">
        <x:v>62</x:v>
      </x:c>
      <x:c r="B4" s="4" t="s">
        <x:v>91</x:v>
      </x:c>
      <x:c r="C4" s="4" t="s">
        <x:v>1457</x:v>
      </x:c>
      <x:c r="D4" s="4" t="s">
        <x:v>112</x:v>
      </x:c>
      <x:c r="E4" s="4" t="s">
        <x:v>1458</x:v>
      </x:c>
      <x:c r="F4" s="4" t="s">
        <x:v>1459</x:v>
      </x:c>
      <x:c r="G4" s="4" t="s">
        <x:v>1460</x:v>
      </x:c>
      <x:c r="H4" s="4" t="s">
        <x:v>1461</x:v>
      </x:c>
      <x:c r="I4" s="4" t="s">
        <x:v>1462</x:v>
      </x:c>
      <x:c r="J4" s="4" t="s">
        <x:v>9</x:v>
      </x:c>
      <x:c r="K4" s="4" t="s">
        <x:v>1463</x:v>
      </x:c>
      <x:c r="L4" s="4" t="s">
        <x:v>67</x:v>
      </x:c>
    </x:row>
    <x:row r="5" ht="26.350000381469727" customHeight="1">
      <x:c r="A5" s="3" t="s">
        <x:v>155</x:v>
      </x:c>
      <x:c r="B5" s="17" t="s">
        <x:v>148</x:v>
      </x:c>
      <x:c r="C5" s="17" t="s">
        <x:v>149</x:v>
      </x:c>
      <x:c r="D5" s="17" t="s">
        <x:v>319</x:v>
      </x:c>
      <x:c r="E5" s="42" t="s">
        <x:v>319</x:v>
      </x:c>
      <x:c r="F5" s="17" t="s">
        <x:v>1464</x:v>
      </x:c>
      <x:c r="G5" s="17" t="s">
        <x:v>1465</x:v>
      </x:c>
      <x:c r="H5" s="17" t="s">
        <x:v>1466</x:v>
      </x:c>
      <x:c r="I5" s="17" t="s">
        <x:v>319</x:v>
      </x:c>
      <x:c r="J5" s="17" t="s">
        <x:v>1467</x:v>
      </x:c>
      <x:c r="K5" s="30" t="s">
        <x:v>1468</x:v>
      </x:c>
      <x:c r="L5" s="33" t="s">
        <x:v>1469</x:v>
      </x:c>
    </x:row>
    <x:row r="6" ht="15" customHeight="1">
      <x:c r="A6" s="3" t="s">
        <x:v>160</x:v>
      </x:c>
      <x:c r="B6" s="17" t="s">
        <x:v>158</x:v>
      </x:c>
      <x:c r="C6" s="17" t="s">
        <x:v>159</x:v>
      </x:c>
      <x:c r="D6" s="17" t="s">
        <x:v>319</x:v>
      </x:c>
      <x:c r="E6" s="42" t="s">
        <x:v>319</x:v>
      </x:c>
      <x:c r="F6" s="17" t="s">
        <x:v>1464</x:v>
      </x:c>
      <x:c r="G6" s="17" t="s">
        <x:v>1465</x:v>
      </x:c>
      <x:c r="H6" s="17" t="s">
        <x:v>1470</x:v>
      </x:c>
      <x:c r="I6" s="17" t="s">
        <x:v>319</x:v>
      </x:c>
      <x:c r="J6" s="17" t="s">
        <x:v>1471</x:v>
      </x:c>
      <x:c r="K6" s="30" t="s">
        <x:v>1468</x:v>
      </x:c>
      <x:c r="L6" s="33" t="s">
        <x:v>1469</x:v>
      </x:c>
    </x:row>
    <x:row r="7" ht="26.350000381469727" customHeight="1">
      <x:c r="A7" s="3" t="s">
        <x:v>165</x:v>
      </x:c>
      <x:c r="B7" s="17" t="s">
        <x:v>163</x:v>
      </x:c>
      <x:c r="C7" s="17" t="s">
        <x:v>164</x:v>
      </x:c>
      <x:c r="D7" s="17" t="s">
        <x:v>319</x:v>
      </x:c>
      <x:c r="E7" s="42" t="s">
        <x:v>319</x:v>
      </x:c>
      <x:c r="F7" s="17" t="s">
        <x:v>1464</x:v>
      </x:c>
      <x:c r="G7" s="17" t="s">
        <x:v>1465</x:v>
      </x:c>
      <x:c r="H7" s="17" t="s">
        <x:v>1472</x:v>
      </x:c>
      <x:c r="I7" s="17" t="s">
        <x:v>319</x:v>
      </x:c>
      <x:c r="J7" s="17" t="s">
        <x:v>1473</x:v>
      </x:c>
      <x:c r="K7" s="30" t="s">
        <x:v>1468</x:v>
      </x:c>
      <x:c r="L7" s="33" t="s">
        <x:v>1469</x:v>
      </x:c>
    </x:row>
    <x:row r="8" ht="15" customHeight="1">
      <x:c r="A8" s="3" t="s">
        <x:v>171</x:v>
      </x:c>
      <x:c r="B8" s="17" t="s">
        <x:v>168</x:v>
      </x:c>
      <x:c r="C8" s="17" t="s">
        <x:v>169</x:v>
      </x:c>
      <x:c r="D8" s="17" t="s">
        <x:v>319</x:v>
      </x:c>
      <x:c r="E8" s="42" t="s">
        <x:v>319</x:v>
      </x:c>
      <x:c r="F8" s="17" t="s">
        <x:v>1464</x:v>
      </x:c>
      <x:c r="G8" s="17" t="s">
        <x:v>1465</x:v>
      </x:c>
      <x:c r="H8" s="17" t="s">
        <x:v>1474</x:v>
      </x:c>
      <x:c r="I8" s="17" t="s">
        <x:v>319</x:v>
      </x:c>
      <x:c r="J8" s="17" t="s">
        <x:v>1475</x:v>
      </x:c>
      <x:c r="K8" s="30" t="s">
        <x:v>1468</x:v>
      </x:c>
      <x:c r="L8" s="33" t="s">
        <x:v>1469</x:v>
      </x:c>
    </x:row>
    <x:row r="9" ht="39.599998474121094" customHeight="1">
      <x:c r="A9" s="3" t="s">
        <x:v>177</x:v>
      </x:c>
      <x:c r="B9" s="17" t="s">
        <x:v>174</x:v>
      </x:c>
      <x:c r="C9" s="17" t="s">
        <x:v>175</x:v>
      </x:c>
      <x:c r="D9" s="17" t="s">
        <x:v>319</x:v>
      </x:c>
      <x:c r="E9" s="42" t="s">
        <x:v>319</x:v>
      </x:c>
      <x:c r="F9" s="17" t="s">
        <x:v>1464</x:v>
      </x:c>
      <x:c r="G9" s="17" t="s">
        <x:v>1465</x:v>
      </x:c>
      <x:c r="H9" s="17" t="s">
        <x:v>1476</x:v>
      </x:c>
      <x:c r="I9" s="17" t="s">
        <x:v>319</x:v>
      </x:c>
      <x:c r="J9" s="17" t="s">
        <x:v>1477</x:v>
      </x:c>
      <x:c r="K9" s="30" t="s">
        <x:v>1468</x:v>
      </x:c>
      <x:c r="L9" s="33" t="s">
        <x:v>1469</x:v>
      </x:c>
    </x:row>
    <x:row r="10" ht="39.599998474121094" customHeight="1">
      <x:c r="A10" s="3" t="s">
        <x:v>182</x:v>
      </x:c>
      <x:c r="B10" s="17" t="s">
        <x:v>180</x:v>
      </x:c>
      <x:c r="C10" s="17" t="s">
        <x:v>181</x:v>
      </x:c>
      <x:c r="D10" s="17" t="s">
        <x:v>319</x:v>
      </x:c>
      <x:c r="E10" s="42" t="s">
        <x:v>319</x:v>
      </x:c>
      <x:c r="F10" s="17" t="s">
        <x:v>1464</x:v>
      </x:c>
      <x:c r="G10" s="17" t="s">
        <x:v>1465</x:v>
      </x:c>
      <x:c r="H10" s="17" t="s">
        <x:v>1478</x:v>
      </x:c>
      <x:c r="I10" s="17" t="s">
        <x:v>319</x:v>
      </x:c>
      <x:c r="J10" s="17" t="s">
        <x:v>1479</x:v>
      </x:c>
      <x:c r="K10" s="30" t="s">
        <x:v>1468</x:v>
      </x:c>
      <x:c r="L10" s="33" t="s">
        <x:v>1469</x:v>
      </x:c>
    </x:row>
    <x:row r="11" ht="39.599998474121094" customHeight="1">
      <x:c r="A11" s="3" t="s">
        <x:v>187</x:v>
      </x:c>
      <x:c r="B11" s="17" t="s">
        <x:v>185</x:v>
      </x:c>
      <x:c r="C11" s="17" t="s">
        <x:v>186</x:v>
      </x:c>
      <x:c r="D11" s="17" t="s">
        <x:v>319</x:v>
      </x:c>
      <x:c r="E11" s="42" t="s">
        <x:v>319</x:v>
      </x:c>
      <x:c r="F11" s="17" t="s">
        <x:v>1464</x:v>
      </x:c>
      <x:c r="G11" s="17" t="s">
        <x:v>1465</x:v>
      </x:c>
      <x:c r="H11" s="17" t="s">
        <x:v>1480</x:v>
      </x:c>
      <x:c r="I11" s="17" t="s">
        <x:v>319</x:v>
      </x:c>
      <x:c r="J11" s="17" t="s">
        <x:v>1481</x:v>
      </x:c>
      <x:c r="K11" s="30" t="s">
        <x:v>1468</x:v>
      </x:c>
      <x:c r="L11" s="33" t="s">
        <x:v>1469</x:v>
      </x:c>
    </x:row>
    <x:row r="12" ht="26.350000381469727" customHeight="1">
      <x:c r="A12" s="3" t="s">
        <x:v>192</x:v>
      </x:c>
      <x:c r="B12" s="17" t="s">
        <x:v>190</x:v>
      </x:c>
      <x:c r="C12" s="17" t="s">
        <x:v>191</x:v>
      </x:c>
      <x:c r="D12" s="17" t="s">
        <x:v>319</x:v>
      </x:c>
      <x:c r="E12" s="42" t="s">
        <x:v>319</x:v>
      </x:c>
      <x:c r="F12" s="17" t="s">
        <x:v>1464</x:v>
      </x:c>
      <x:c r="G12" s="17" t="s">
        <x:v>1465</x:v>
      </x:c>
      <x:c r="H12" s="17" t="s">
        <x:v>1482</x:v>
      </x:c>
      <x:c r="I12" s="17" t="s">
        <x:v>319</x:v>
      </x:c>
      <x:c r="J12" s="17" t="s">
        <x:v>1483</x:v>
      </x:c>
      <x:c r="K12" s="30" t="s">
        <x:v>1468</x:v>
      </x:c>
      <x:c r="L12" s="33" t="s">
        <x:v>1469</x:v>
      </x:c>
    </x:row>
    <x:row r="13" ht="39.599998474121094" customHeight="1">
      <x:c r="A13" s="3" t="s">
        <x:v>197</x:v>
      </x:c>
      <x:c r="B13" s="17" t="s">
        <x:v>195</x:v>
      </x:c>
      <x:c r="C13" s="17" t="s">
        <x:v>196</x:v>
      </x:c>
      <x:c r="D13" s="17" t="s">
        <x:v>319</x:v>
      </x:c>
      <x:c r="E13" s="42" t="s">
        <x:v>319</x:v>
      </x:c>
      <x:c r="F13" s="17" t="s">
        <x:v>1464</x:v>
      </x:c>
      <x:c r="G13" s="17" t="s">
        <x:v>1465</x:v>
      </x:c>
      <x:c r="H13" s="17" t="s">
        <x:v>1484</x:v>
      </x:c>
      <x:c r="I13" s="17" t="s">
        <x:v>319</x:v>
      </x:c>
      <x:c r="J13" s="17" t="s">
        <x:v>1485</x:v>
      </x:c>
      <x:c r="K13" s="30" t="s">
        <x:v>1468</x:v>
      </x:c>
      <x:c r="L13" s="33" t="s">
        <x:v>1469</x:v>
      </x:c>
    </x:row>
    <x:row r="14" ht="39.599998474121094" customHeight="1">
      <x:c r="A14" s="3" t="s">
        <x:v>202</x:v>
      </x:c>
      <x:c r="B14" s="17" t="s">
        <x:v>200</x:v>
      </x:c>
      <x:c r="C14" s="17" t="s">
        <x:v>201</x:v>
      </x:c>
      <x:c r="D14" s="17" t="s">
        <x:v>319</x:v>
      </x:c>
      <x:c r="E14" s="42" t="s">
        <x:v>319</x:v>
      </x:c>
      <x:c r="F14" s="17" t="s">
        <x:v>1464</x:v>
      </x:c>
      <x:c r="G14" s="17" t="s">
        <x:v>1465</x:v>
      </x:c>
      <x:c r="H14" s="17" t="s">
        <x:v>1486</x:v>
      </x:c>
      <x:c r="I14" s="17" t="s">
        <x:v>319</x:v>
      </x:c>
      <x:c r="J14" s="17" t="s">
        <x:v>1487</x:v>
      </x:c>
      <x:c r="K14" s="30" t="s">
        <x:v>1468</x:v>
      </x:c>
      <x:c r="L14" s="33" t="s">
        <x:v>1469</x:v>
      </x:c>
    </x:row>
    <x:row r="15" ht="39.599998474121094" customHeight="1">
      <x:c r="A15" s="3" t="s">
        <x:v>225</x:v>
      </x:c>
      <x:c r="B15" s="17" t="s">
        <x:v>218</x:v>
      </x:c>
      <x:c r="C15" s="17" t="s">
        <x:v>231</x:v>
      </x:c>
      <x:c r="D15" s="17" t="s">
        <x:v>1488</x:v>
      </x:c>
      <x:c r="E15" s="42" t="s">
        <x:v>319</x:v>
      </x:c>
      <x:c r="F15" s="17" t="s">
        <x:v>1464</x:v>
      </x:c>
      <x:c r="G15" s="17" t="s">
        <x:v>1465</x:v>
      </x:c>
      <x:c r="H15" s="17" t="s">
        <x:v>1489</x:v>
      </x:c>
      <x:c r="I15" s="17" t="s">
        <x:v>319</x:v>
      </x:c>
      <x:c r="J15" s="17" t="s">
        <x:v>319</x:v>
      </x:c>
      <x:c r="K15" s="30" t="s">
        <x:v>1468</x:v>
      </x:c>
      <x:c r="L15" s="33" t="s">
        <x:v>1469</x:v>
      </x:c>
    </x:row>
    <x:row r="16" ht="39.599998474121094" customHeight="1">
      <x:c r="A16" s="3" t="s">
        <x:v>237</x:v>
      </x:c>
      <x:c r="B16" s="17" t="s">
        <x:v>235</x:v>
      </x:c>
      <x:c r="C16" s="17" t="s">
        <x:v>1490</x:v>
      </x:c>
      <x:c r="D16" s="17" t="s">
        <x:v>1488</x:v>
      </x:c>
      <x:c r="E16" s="42" t="s">
        <x:v>319</x:v>
      </x:c>
      <x:c r="F16" s="17" t="s">
        <x:v>1464</x:v>
      </x:c>
      <x:c r="G16" s="17" t="s">
        <x:v>1465</x:v>
      </x:c>
      <x:c r="H16" s="17" t="s">
        <x:v>1491</x:v>
      </x:c>
      <x:c r="I16" s="17" t="s">
        <x:v>319</x:v>
      </x:c>
      <x:c r="J16" s="17" t="s">
        <x:v>319</x:v>
      </x:c>
      <x:c r="K16" s="30" t="s">
        <x:v>1468</x:v>
      </x:c>
      <x:c r="L16" s="33" t="s">
        <x:v>1469</x:v>
      </x:c>
    </x:row>
    <x:row r="17" ht="39.599998474121094" customHeight="1">
      <x:c r="A17" s="3" t="s">
        <x:v>243</x:v>
      </x:c>
      <x:c r="B17" s="17" t="s">
        <x:v>241</x:v>
      </x:c>
      <x:c r="C17" s="17" t="s">
        <x:v>1490</x:v>
      </x:c>
      <x:c r="D17" s="17" t="s">
        <x:v>1488</x:v>
      </x:c>
      <x:c r="E17" s="42" t="s">
        <x:v>319</x:v>
      </x:c>
      <x:c r="F17" s="17" t="s">
        <x:v>1464</x:v>
      </x:c>
      <x:c r="G17" s="17" t="s">
        <x:v>1465</x:v>
      </x:c>
      <x:c r="H17" s="17" t="s">
        <x:v>1492</x:v>
      </x:c>
      <x:c r="I17" s="17" t="s">
        <x:v>319</x:v>
      </x:c>
      <x:c r="J17" s="17" t="s">
        <x:v>319</x:v>
      </x:c>
      <x:c r="K17" s="42" t="s">
        <x:v>1468</x:v>
      </x:c>
      <x:c r="L17" s="33" t="s">
        <x:v>1469</x:v>
      </x:c>
    </x:row>
    <x:row r="18">
      <x:c r="A18" s="3"/>
      <x:c r="B18" s="17"/>
      <x:c r="C18" s="17"/>
      <x:c r="D18" s="17"/>
      <x:c r="E18" s="42"/>
      <x:c r="F18" s="17"/>
      <x:c r="G18" s="17"/>
      <x:c r="H18" s="17"/>
      <x:c r="I18" s="17"/>
      <x:c r="J18" s="17"/>
      <x:c r="K18" s="30"/>
      <x:c r="L18" s="33"/>
    </x:row>
    <x:row r="19">
      <x:c r="A19" s="3"/>
      <x:c r="B19" s="17"/>
      <x:c r="C19" s="17"/>
      <x:c r="D19" s="17"/>
      <x:c r="E19" s="42"/>
      <x:c r="F19" s="17"/>
      <x:c r="G19" s="17"/>
      <x:c r="H19" s="17"/>
      <x:c r="I19" s="17"/>
      <x:c r="J19" s="17"/>
      <x:c r="K19" s="30"/>
      <x:c r="L19" s="33"/>
    </x:row>
    <x:row r="20">
      <x:c r="A20" s="3"/>
      <x:c r="B20" s="17"/>
      <x:c r="C20" s="17"/>
      <x:c r="D20" s="17"/>
      <x:c r="E20" s="42"/>
      <x:c r="F20" s="17"/>
      <x:c r="G20" s="17"/>
      <x:c r="H20" s="17"/>
      <x:c r="I20" s="17"/>
      <x:c r="J20" s="17"/>
      <x:c r="K20" s="30"/>
      <x:c r="L20" s="33"/>
    </x:row>
    <x:row r="21">
      <x:c r="A21" s="3"/>
      <x:c r="B21" s="17"/>
      <x:c r="C21" s="17"/>
      <x:c r="D21" s="17"/>
      <x:c r="E21" s="42"/>
      <x:c r="F21" s="17"/>
      <x:c r="G21" s="17"/>
      <x:c r="H21" s="17"/>
      <x:c r="I21" s="17"/>
      <x:c r="J21" s="17"/>
      <x:c r="K21" s="30"/>
      <x:c r="L21" s="33"/>
    </x:row>
    <x:row r="22">
      <x:c r="A22" s="3"/>
      <x:c r="B22" s="17"/>
      <x:c r="C22" s="17"/>
      <x:c r="D22" s="17"/>
      <x:c r="E22" s="42"/>
      <x:c r="F22" s="17"/>
      <x:c r="G22" s="17"/>
      <x:c r="H22" s="17"/>
      <x:c r="I22" s="17"/>
      <x:c r="J22" s="17"/>
      <x:c r="K22" s="30"/>
      <x:c r="L22" s="33"/>
    </x:row>
    <x:row r="23">
      <x:c r="A23" s="3"/>
      <x:c r="B23" s="17"/>
      <x:c r="C23" s="17"/>
      <x:c r="D23" s="17"/>
      <x:c r="E23" s="42"/>
      <x:c r="F23" s="17"/>
      <x:c r="G23" s="17"/>
      <x:c r="H23" s="17"/>
      <x:c r="I23" s="17"/>
      <x:c r="J23" s="17"/>
      <x:c r="K23" s="30"/>
      <x:c r="L23" s="33"/>
    </x:row>
    <x:row r="24">
      <x:c r="A24" s="3"/>
      <x:c r="B24" s="17"/>
      <x:c r="C24" s="17"/>
      <x:c r="D24" s="17"/>
      <x:c r="E24" s="42"/>
      <x:c r="F24" s="17"/>
      <x:c r="G24" s="17"/>
      <x:c r="H24" s="17"/>
      <x:c r="I24" s="17"/>
      <x:c r="J24" s="17"/>
      <x:c r="K24" s="30"/>
      <x:c r="L24" s="33"/>
    </x:row>
    <x:row r="25">
      <x:c r="A25" s="3"/>
      <x:c r="B25" s="17"/>
      <x:c r="C25" s="17"/>
      <x:c r="D25" s="17"/>
      <x:c r="E25" s="42"/>
      <x:c r="F25" s="17"/>
      <x:c r="G25" s="17"/>
      <x:c r="H25" s="17"/>
      <x:c r="I25" s="17"/>
      <x:c r="J25" s="17"/>
      <x:c r="K25" s="30"/>
      <x:c r="L25" s="33"/>
    </x:row>
    <x:row r="26">
      <x:c r="A26" s="3"/>
      <x:c r="B26" s="17"/>
      <x:c r="C26" s="17"/>
      <x:c r="D26" s="17"/>
      <x:c r="E26" s="42"/>
      <x:c r="F26" s="17"/>
      <x:c r="G26" s="17"/>
      <x:c r="H26" s="17"/>
      <x:c r="I26" s="17"/>
      <x:c r="J26" s="17"/>
      <x:c r="K26" s="30"/>
      <x:c r="L26" s="33"/>
    </x:row>
    <x:row r="27">
      <x:c r="A27" s="3"/>
      <x:c r="B27" s="17"/>
      <x:c r="C27" s="17"/>
      <x:c r="D27" s="17"/>
      <x:c r="E27" s="42"/>
      <x:c r="F27" s="17"/>
      <x:c r="G27" s="17"/>
      <x:c r="H27" s="17"/>
      <x:c r="I27" s="17"/>
      <x:c r="J27" s="17"/>
      <x:c r="K27" s="30"/>
      <x:c r="L27" s="33"/>
    </x:row>
    <x:row r="28">
      <x:c r="A28" s="3"/>
      <x:c r="B28" s="17"/>
      <x:c r="C28" s="17"/>
      <x:c r="D28" s="17"/>
      <x:c r="E28" s="42"/>
      <x:c r="F28" s="17"/>
      <x:c r="G28" s="17"/>
      <x:c r="H28" s="17"/>
      <x:c r="I28" s="17"/>
      <x:c r="J28" s="17"/>
      <x:c r="K28" s="30"/>
      <x:c r="L28" s="33"/>
    </x:row>
    <x:row r="29">
      <x:c r="A29" s="3"/>
      <x:c r="B29" s="17"/>
      <x:c r="C29" s="17"/>
      <x:c r="D29" s="17"/>
      <x:c r="E29" s="42"/>
      <x:c r="F29" s="17"/>
      <x:c r="G29" s="17"/>
      <x:c r="H29" s="17"/>
      <x:c r="I29" s="17"/>
      <x:c r="J29" s="17"/>
      <x:c r="K29" s="30"/>
      <x:c r="L29" s="33"/>
    </x:row>
    <x:row r="30">
      <x:c r="A30" s="3"/>
      <x:c r="B30" s="17"/>
      <x:c r="C30" s="17"/>
      <x:c r="D30" s="17"/>
      <x:c r="E30" s="42"/>
      <x:c r="F30" s="17"/>
      <x:c r="G30" s="17"/>
      <x:c r="H30" s="17"/>
      <x:c r="I30" s="17"/>
      <x:c r="J30" s="17"/>
      <x:c r="K30" s="30"/>
      <x:c r="L30" s="33"/>
    </x:row>
    <x:row r="31">
      <x:c r="A31" s="3"/>
      <x:c r="B31" s="17"/>
      <x:c r="C31" s="17"/>
      <x:c r="D31" s="17"/>
      <x:c r="E31" s="42"/>
      <x:c r="F31" s="17"/>
      <x:c r="G31" s="17"/>
      <x:c r="H31" s="17"/>
      <x:c r="I31" s="17"/>
      <x:c r="J31" s="17"/>
      <x:c r="K31" s="30"/>
      <x:c r="L31" s="33"/>
    </x:row>
    <x:row r="32">
      <x:c r="A32" s="3"/>
      <x:c r="B32" s="17"/>
      <x:c r="C32" s="17"/>
      <x:c r="D32" s="17"/>
      <x:c r="E32" s="42"/>
      <x:c r="F32" s="17"/>
      <x:c r="G32" s="17"/>
      <x:c r="H32" s="17"/>
      <x:c r="I32" s="17"/>
      <x:c r="J32" s="17"/>
      <x:c r="K32" s="30"/>
      <x:c r="L32" s="33"/>
    </x:row>
    <x:row r="33">
      <x:c r="A33" s="3"/>
      <x:c r="B33" s="17"/>
      <x:c r="C33" s="17"/>
      <x:c r="D33" s="17"/>
      <x:c r="E33" s="42"/>
      <x:c r="F33" s="17"/>
      <x:c r="G33" s="17"/>
      <x:c r="H33" s="17"/>
      <x:c r="I33" s="17"/>
      <x:c r="J33" s="17"/>
      <x:c r="K33" s="30"/>
      <x:c r="L33" s="33"/>
    </x:row>
    <x:row r="34">
      <x:c r="A34" s="3"/>
      <x:c r="B34" s="17"/>
      <x:c r="C34" s="17"/>
      <x:c r="D34" s="17"/>
      <x:c r="E34" s="42"/>
      <x:c r="F34" s="17"/>
      <x:c r="G34" s="17"/>
      <x:c r="H34" s="17"/>
      <x:c r="I34" s="17"/>
      <x:c r="J34" s="17"/>
      <x:c r="K34" s="30"/>
      <x:c r="L34" s="33"/>
    </x:row>
    <x:row r="35">
      <x:c r="A35" s="3"/>
      <x:c r="B35" s="17"/>
      <x:c r="C35" s="17"/>
      <x:c r="D35" s="17"/>
      <x:c r="E35" s="42"/>
      <x:c r="F35" s="17"/>
      <x:c r="G35" s="17"/>
      <x:c r="H35" s="17"/>
      <x:c r="I35" s="17"/>
      <x:c r="J35" s="17"/>
      <x:c r="K35" s="30"/>
      <x:c r="L35" s="33"/>
    </x:row>
    <x:row r="36">
      <x:c r="A36" s="3"/>
      <x:c r="B36" s="17"/>
      <x:c r="C36" s="17"/>
      <x:c r="D36" s="17"/>
      <x:c r="E36" s="42"/>
      <x:c r="F36" s="17"/>
      <x:c r="G36" s="17"/>
      <x:c r="H36" s="17"/>
      <x:c r="I36" s="17"/>
      <x:c r="J36" s="17"/>
      <x:c r="K36" s="30"/>
      <x:c r="L36" s="33"/>
    </x:row>
    <x:row r="37">
      <x:c r="A37" s="3"/>
      <x:c r="B37" s="17"/>
      <x:c r="C37" s="17"/>
      <x:c r="D37" s="17"/>
      <x:c r="E37" s="42"/>
      <x:c r="F37" s="17"/>
      <x:c r="G37" s="17"/>
      <x:c r="H37" s="17"/>
      <x:c r="I37" s="17"/>
      <x:c r="J37" s="17"/>
      <x:c r="K37" s="30"/>
      <x:c r="L37" s="33"/>
    </x:row>
    <x:row r="38">
      <x:c r="A38" s="3"/>
      <x:c r="B38" s="17"/>
      <x:c r="C38" s="17"/>
      <x:c r="D38" s="17"/>
      <x:c r="E38" s="42"/>
      <x:c r="F38" s="17"/>
      <x:c r="G38" s="17"/>
      <x:c r="H38" s="17"/>
      <x:c r="I38" s="17"/>
      <x:c r="J38" s="17"/>
      <x:c r="K38" s="30"/>
      <x:c r="L38" s="33"/>
    </x:row>
    <x:row r="39">
      <x:c r="A39" s="3"/>
      <x:c r="B39" s="17"/>
      <x:c r="C39" s="17"/>
      <x:c r="D39" s="17"/>
      <x:c r="E39" s="42"/>
      <x:c r="F39" s="17"/>
      <x:c r="G39" s="17"/>
      <x:c r="H39" s="17"/>
      <x:c r="I39" s="17"/>
      <x:c r="J39" s="17"/>
      <x:c r="K39" s="30"/>
      <x:c r="L39" s="33"/>
    </x:row>
    <x:row r="40">
      <x:c r="A40" s="3"/>
      <x:c r="B40" s="17"/>
      <x:c r="C40" s="17"/>
      <x:c r="D40" s="17"/>
      <x:c r="E40" s="42"/>
      <x:c r="F40" s="17"/>
      <x:c r="G40" s="17"/>
      <x:c r="H40" s="17"/>
      <x:c r="I40" s="17"/>
      <x:c r="J40" s="17"/>
      <x:c r="K40" s="30"/>
      <x:c r="L40" s="33"/>
    </x:row>
    <x:row r="41">
      <x:c r="A41" s="3"/>
      <x:c r="B41" s="17"/>
      <x:c r="C41" s="17"/>
      <x:c r="D41" s="17"/>
      <x:c r="E41" s="42"/>
      <x:c r="F41" s="17"/>
      <x:c r="G41" s="17"/>
      <x:c r="H41" s="17"/>
      <x:c r="I41" s="17"/>
      <x:c r="J41" s="17"/>
      <x:c r="K41" s="30"/>
      <x:c r="L41" s="33"/>
    </x:row>
    <x:row r="42">
      <x:c r="A42" s="3"/>
      <x:c r="B42" s="17"/>
      <x:c r="C42" s="17"/>
      <x:c r="D42" s="17"/>
      <x:c r="E42" s="42"/>
      <x:c r="F42" s="17"/>
      <x:c r="G42" s="17"/>
      <x:c r="H42" s="17"/>
      <x:c r="I42" s="17"/>
      <x:c r="J42" s="17"/>
      <x:c r="K42" s="30"/>
      <x:c r="L42" s="33"/>
    </x:row>
    <x:row r="43">
      <x:c r="A43" s="3"/>
      <x:c r="B43" s="17"/>
      <x:c r="C43" s="17"/>
      <x:c r="D43" s="17"/>
      <x:c r="E43" s="42"/>
      <x:c r="F43" s="17"/>
      <x:c r="G43" s="17"/>
      <x:c r="H43" s="17"/>
      <x:c r="I43" s="17"/>
      <x:c r="J43" s="17"/>
      <x:c r="K43" s="30"/>
      <x:c r="L43" s="33"/>
    </x:row>
    <x:row r="44">
      <x:c r="A44" s="3"/>
      <x:c r="B44" s="17"/>
      <x:c r="C44" s="17"/>
      <x:c r="D44" s="17"/>
      <x:c r="E44" s="42"/>
      <x:c r="F44" s="17"/>
      <x:c r="G44" s="17"/>
      <x:c r="H44" s="17"/>
      <x:c r="I44" s="17"/>
      <x:c r="J44" s="17"/>
      <x:c r="K44" s="30"/>
      <x:c r="L44" s="33"/>
    </x:row>
    <x:row r="45">
      <x:c r="A45" s="3"/>
      <x:c r="B45" s="17"/>
      <x:c r="C45" s="17"/>
      <x:c r="D45" s="17"/>
      <x:c r="E45" s="42"/>
      <x:c r="F45" s="17"/>
      <x:c r="G45" s="17"/>
      <x:c r="H45" s="17"/>
      <x:c r="I45" s="17"/>
      <x:c r="J45" s="17"/>
      <x:c r="K45" s="30"/>
      <x:c r="L45" s="33"/>
    </x:row>
    <x:row r="46">
      <x:c r="A46" s="3"/>
      <x:c r="B46" s="17"/>
      <x:c r="C46" s="17"/>
      <x:c r="D46" s="17"/>
      <x:c r="E46" s="42"/>
      <x:c r="F46" s="17"/>
      <x:c r="G46" s="17"/>
      <x:c r="H46" s="17"/>
      <x:c r="I46" s="17"/>
      <x:c r="J46" s="17"/>
      <x:c r="K46" s="30"/>
      <x:c r="L46" s="33"/>
    </x:row>
    <x:row r="47">
      <x:c r="A47" s="3"/>
      <x:c r="B47" s="17"/>
      <x:c r="C47" s="17"/>
      <x:c r="D47" s="17"/>
      <x:c r="E47" s="42"/>
      <x:c r="F47" s="17"/>
      <x:c r="G47" s="17"/>
      <x:c r="H47" s="17"/>
      <x:c r="I47" s="17"/>
      <x:c r="J47" s="17"/>
      <x:c r="K47" s="30"/>
      <x:c r="L47" s="33"/>
    </x:row>
    <x:row r="48">
      <x:c r="A48" s="3"/>
      <x:c r="B48" s="17"/>
      <x:c r="C48" s="17"/>
      <x:c r="D48" s="17"/>
      <x:c r="E48" s="42"/>
      <x:c r="F48" s="17"/>
      <x:c r="G48" s="17"/>
      <x:c r="H48" s="17"/>
      <x:c r="I48" s="17"/>
      <x:c r="J48" s="17"/>
      <x:c r="K48" s="30"/>
      <x:c r="L48" s="33"/>
    </x:row>
    <x:row r="49">
      <x:c r="A49" s="3"/>
      <x:c r="B49" s="17"/>
      <x:c r="C49" s="17"/>
      <x:c r="D49" s="17"/>
      <x:c r="E49" s="42"/>
      <x:c r="F49" s="17"/>
      <x:c r="G49" s="17"/>
      <x:c r="H49" s="17"/>
      <x:c r="I49" s="17"/>
      <x:c r="J49" s="17"/>
      <x:c r="K49" s="30"/>
      <x:c r="L49" s="33"/>
    </x:row>
    <x:row r="50">
      <x:c r="A50" s="3"/>
      <x:c r="B50" s="17"/>
      <x:c r="C50" s="17"/>
      <x:c r="D50" s="17"/>
      <x:c r="E50" s="42"/>
      <x:c r="F50" s="17"/>
      <x:c r="G50" s="17"/>
      <x:c r="H50" s="17"/>
      <x:c r="I50" s="17"/>
      <x:c r="J50" s="17"/>
      <x:c r="K50" s="30"/>
      <x:c r="L50" s="33"/>
    </x:row>
    <x:row r="51">
      <x:c r="A51" s="3"/>
      <x:c r="B51" s="17"/>
      <x:c r="C51" s="17"/>
      <x:c r="D51" s="17"/>
      <x:c r="E51" s="42"/>
      <x:c r="F51" s="17"/>
      <x:c r="G51" s="17"/>
      <x:c r="H51" s="17"/>
      <x:c r="I51" s="17"/>
      <x:c r="J51" s="17"/>
      <x:c r="K51" s="30"/>
      <x:c r="L51" s="33"/>
    </x:row>
    <x:row r="52">
      <x:c r="A52" s="3"/>
      <x:c r="B52" s="17"/>
      <x:c r="C52" s="17"/>
      <x:c r="D52" s="17"/>
      <x:c r="E52" s="42"/>
      <x:c r="F52" s="17"/>
      <x:c r="G52" s="17"/>
      <x:c r="H52" s="17"/>
      <x:c r="I52" s="17"/>
      <x:c r="J52" s="17"/>
      <x:c r="K52" s="30"/>
      <x:c r="L52" s="33"/>
    </x:row>
    <x:row r="53">
      <x:c r="A53" s="3"/>
      <x:c r="B53" s="17"/>
      <x:c r="C53" s="17"/>
      <x:c r="D53" s="17"/>
      <x:c r="E53" s="42"/>
      <x:c r="F53" s="17"/>
      <x:c r="G53" s="17"/>
      <x:c r="H53" s="17"/>
      <x:c r="I53" s="17"/>
      <x:c r="J53" s="17"/>
      <x:c r="K53" s="30"/>
      <x:c r="L53" s="33"/>
    </x:row>
    <x:row r="54">
      <x:c r="A54" s="3"/>
      <x:c r="B54" s="17"/>
      <x:c r="C54" s="17"/>
      <x:c r="D54" s="17"/>
      <x:c r="E54" s="42"/>
      <x:c r="F54" s="17"/>
      <x:c r="G54" s="17"/>
      <x:c r="H54" s="17"/>
      <x:c r="I54" s="17"/>
      <x:c r="J54" s="17"/>
      <x:c r="K54" s="30"/>
      <x:c r="L54" s="33"/>
    </x:row>
    <x:row r="55">
      <x:c r="A55" s="3"/>
      <x:c r="B55" s="17"/>
      <x:c r="C55" s="17"/>
      <x:c r="D55" s="17"/>
      <x:c r="E55" s="42"/>
      <x:c r="F55" s="17"/>
      <x:c r="G55" s="17"/>
      <x:c r="H55" s="17"/>
      <x:c r="I55" s="17"/>
      <x:c r="J55" s="17"/>
      <x:c r="K55" s="30"/>
      <x:c r="L55" s="33"/>
    </x:row>
    <x:row r="56">
      <x:c r="A56" s="3"/>
      <x:c r="B56" s="17"/>
      <x:c r="C56" s="17"/>
      <x:c r="D56" s="17"/>
      <x:c r="E56" s="42"/>
      <x:c r="F56" s="17"/>
      <x:c r="G56" s="17"/>
      <x:c r="H56" s="17"/>
      <x:c r="I56" s="17"/>
      <x:c r="J56" s="17"/>
      <x:c r="K56" s="30"/>
      <x:c r="L56" s="33"/>
    </x:row>
    <x:row r="57">
      <x:c r="A57" s="3"/>
      <x:c r="B57" s="17"/>
      <x:c r="C57" s="17"/>
      <x:c r="D57" s="17"/>
      <x:c r="E57" s="42"/>
      <x:c r="F57" s="17"/>
      <x:c r="G57" s="17"/>
      <x:c r="H57" s="17"/>
      <x:c r="I57" s="17"/>
      <x:c r="J57" s="17"/>
      <x:c r="K57" s="30"/>
      <x:c r="L57" s="33"/>
    </x:row>
    <x:row r="58">
      <x:c r="A58" s="3"/>
      <x:c r="B58" s="17"/>
      <x:c r="C58" s="17"/>
      <x:c r="D58" s="17"/>
      <x:c r="E58" s="42"/>
      <x:c r="F58" s="17"/>
      <x:c r="G58" s="17"/>
      <x:c r="H58" s="17"/>
      <x:c r="I58" s="17"/>
      <x:c r="J58" s="17"/>
      <x:c r="K58" s="30"/>
      <x:c r="L58" s="33"/>
    </x:row>
    <x:row r="59">
      <x:c r="A59" s="3"/>
      <x:c r="B59" s="17"/>
      <x:c r="C59" s="17"/>
      <x:c r="D59" s="17"/>
      <x:c r="E59" s="42"/>
      <x:c r="F59" s="17"/>
      <x:c r="G59" s="17"/>
      <x:c r="H59" s="17"/>
      <x:c r="I59" s="17"/>
      <x:c r="J59" s="17"/>
      <x:c r="K59" s="30"/>
      <x:c r="L59" s="33"/>
    </x:row>
    <x:row r="60">
      <x:c r="A60" s="3"/>
      <x:c r="B60" s="17"/>
      <x:c r="C60" s="17"/>
      <x:c r="D60" s="17"/>
      <x:c r="E60" s="42"/>
      <x:c r="F60" s="17"/>
      <x:c r="G60" s="17"/>
      <x:c r="H60" s="17"/>
      <x:c r="I60" s="17"/>
      <x:c r="J60" s="17"/>
      <x:c r="K60" s="30"/>
      <x:c r="L60" s="33"/>
    </x:row>
    <x:row r="61">
      <x:c r="A61" s="3"/>
      <x:c r="B61" s="17"/>
      <x:c r="C61" s="17"/>
      <x:c r="D61" s="17"/>
      <x:c r="E61" s="42"/>
      <x:c r="F61" s="17"/>
      <x:c r="G61" s="17"/>
      <x:c r="H61" s="17"/>
      <x:c r="I61" s="17"/>
      <x:c r="J61" s="17"/>
      <x:c r="K61" s="30"/>
      <x:c r="L61" s="33"/>
    </x:row>
    <x:row r="62">
      <x:c r="A62" s="3"/>
      <x:c r="B62" s="17"/>
      <x:c r="C62" s="17"/>
      <x:c r="D62" s="17"/>
      <x:c r="E62" s="42"/>
      <x:c r="F62" s="17"/>
      <x:c r="G62" s="17"/>
      <x:c r="H62" s="17"/>
      <x:c r="I62" s="17"/>
      <x:c r="J62" s="17"/>
      <x:c r="K62" s="30"/>
      <x:c r="L62" s="33"/>
    </x:row>
    <x:row r="63">
      <x:c r="A63" s="3"/>
      <x:c r="B63" s="17"/>
      <x:c r="C63" s="17"/>
      <x:c r="D63" s="17"/>
      <x:c r="E63" s="42"/>
      <x:c r="F63" s="17"/>
      <x:c r="G63" s="17"/>
      <x:c r="H63" s="17"/>
      <x:c r="I63" s="17"/>
      <x:c r="J63" s="17"/>
      <x:c r="K63" s="30"/>
      <x:c r="L63" s="33"/>
    </x:row>
    <x:row r="64">
      <x:c r="A64" s="3"/>
      <x:c r="B64" s="17"/>
      <x:c r="C64" s="17"/>
      <x:c r="D64" s="17"/>
      <x:c r="E64" s="42"/>
      <x:c r="F64" s="17"/>
      <x:c r="G64" s="17"/>
      <x:c r="H64" s="17"/>
      <x:c r="I64" s="17"/>
      <x:c r="J64" s="17"/>
      <x:c r="K64" s="30"/>
      <x:c r="L64" s="33"/>
    </x:row>
    <x:row r="65">
      <x:c r="A65" s="3"/>
      <x:c r="B65" s="17"/>
      <x:c r="C65" s="17"/>
      <x:c r="D65" s="17"/>
      <x:c r="E65" s="42"/>
      <x:c r="F65" s="17"/>
      <x:c r="G65" s="17"/>
      <x:c r="H65" s="17"/>
      <x:c r="I65" s="17"/>
      <x:c r="J65" s="17"/>
      <x:c r="K65" s="30"/>
      <x:c r="L65" s="33"/>
    </x:row>
    <x:row r="66">
      <x:c r="A66" s="3"/>
      <x:c r="B66" s="17"/>
      <x:c r="C66" s="17"/>
      <x:c r="D66" s="17"/>
      <x:c r="E66" s="42"/>
      <x:c r="F66" s="17"/>
      <x:c r="G66" s="17"/>
      <x:c r="H66" s="17"/>
      <x:c r="I66" s="17"/>
      <x:c r="J66" s="17"/>
      <x:c r="K66" s="30"/>
      <x:c r="L66" s="33"/>
    </x:row>
    <x:row r="67">
      <x:c r="A67" s="3"/>
      <x:c r="B67" s="17"/>
      <x:c r="C67" s="17"/>
      <x:c r="D67" s="17"/>
      <x:c r="E67" s="42"/>
      <x:c r="F67" s="17"/>
      <x:c r="G67" s="17"/>
      <x:c r="H67" s="17"/>
      <x:c r="I67" s="17"/>
      <x:c r="J67" s="17"/>
      <x:c r="K67" s="30"/>
      <x:c r="L67" s="33"/>
    </x:row>
    <x:row r="68">
      <x:c r="A68" s="3"/>
      <x:c r="B68" s="17"/>
      <x:c r="C68" s="17"/>
      <x:c r="D68" s="17"/>
      <x:c r="E68" s="42"/>
      <x:c r="F68" s="17"/>
      <x:c r="G68" s="17"/>
      <x:c r="H68" s="17"/>
      <x:c r="I68" s="17"/>
      <x:c r="J68" s="17"/>
      <x:c r="K68" s="30"/>
      <x:c r="L68" s="33"/>
    </x:row>
    <x:row r="69">
      <x:c r="A69" s="3"/>
      <x:c r="B69" s="17"/>
      <x:c r="C69" s="17"/>
      <x:c r="D69" s="17"/>
      <x:c r="E69" s="42"/>
      <x:c r="F69" s="17"/>
      <x:c r="G69" s="17"/>
      <x:c r="H69" s="17"/>
      <x:c r="I69" s="17"/>
      <x:c r="J69" s="17"/>
      <x:c r="K69" s="30"/>
      <x:c r="L69" s="33"/>
    </x:row>
    <x:row r="70">
      <x:c r="A70" s="3"/>
      <x:c r="B70" s="17"/>
      <x:c r="C70" s="17"/>
      <x:c r="D70" s="17"/>
      <x:c r="E70" s="42"/>
      <x:c r="F70" s="17"/>
      <x:c r="G70" s="17"/>
      <x:c r="H70" s="17"/>
      <x:c r="I70" s="17"/>
      <x:c r="J70" s="17"/>
      <x:c r="K70" s="30"/>
      <x:c r="L70" s="33"/>
    </x:row>
    <x:row r="71">
      <x:c r="A71" s="3"/>
      <x:c r="B71" s="17"/>
      <x:c r="C71" s="17"/>
      <x:c r="D71" s="17"/>
      <x:c r="E71" s="42"/>
      <x:c r="F71" s="17"/>
      <x:c r="G71" s="17"/>
      <x:c r="H71" s="17"/>
      <x:c r="I71" s="17"/>
      <x:c r="J71" s="17"/>
      <x:c r="K71" s="30"/>
      <x:c r="L71" s="33"/>
    </x:row>
    <x:row r="72">
      <x:c r="A72" s="3"/>
      <x:c r="B72" s="17"/>
      <x:c r="C72" s="17"/>
      <x:c r="D72" s="17"/>
      <x:c r="E72" s="42"/>
      <x:c r="F72" s="17"/>
      <x:c r="G72" s="17"/>
      <x:c r="H72" s="17"/>
      <x:c r="I72" s="17"/>
      <x:c r="J72" s="17"/>
      <x:c r="K72" s="30"/>
      <x:c r="L72" s="33"/>
    </x:row>
    <x:row r="73">
      <x:c r="A73" s="3"/>
      <x:c r="B73" s="17"/>
      <x:c r="C73" s="17"/>
      <x:c r="D73" s="17"/>
      <x:c r="E73" s="42"/>
      <x:c r="F73" s="17"/>
      <x:c r="G73" s="17"/>
      <x:c r="H73" s="17"/>
      <x:c r="I73" s="17"/>
      <x:c r="J73" s="17"/>
      <x:c r="K73" s="30"/>
      <x:c r="L73" s="33"/>
    </x:row>
    <x:row r="74">
      <x:c r="A74" s="3"/>
      <x:c r="B74" s="17"/>
      <x:c r="C74" s="17"/>
      <x:c r="D74" s="17"/>
      <x:c r="E74" s="42"/>
      <x:c r="F74" s="17"/>
      <x:c r="G74" s="17"/>
      <x:c r="H74" s="17"/>
      <x:c r="I74" s="17"/>
      <x:c r="J74" s="17"/>
      <x:c r="K74" s="30"/>
      <x:c r="L74" s="33"/>
    </x:row>
    <x:row r="75">
      <x:c r="A75" s="3"/>
      <x:c r="B75" s="17"/>
      <x:c r="C75" s="17"/>
      <x:c r="D75" s="17"/>
      <x:c r="E75" s="42"/>
      <x:c r="F75" s="17"/>
      <x:c r="G75" s="17"/>
      <x:c r="H75" s="17"/>
      <x:c r="I75" s="17"/>
      <x:c r="J75" s="17"/>
      <x:c r="K75" s="30"/>
      <x:c r="L75" s="33"/>
    </x:row>
    <x:row r="76">
      <x:c r="A76" s="3"/>
      <x:c r="B76" s="17"/>
      <x:c r="C76" s="17"/>
      <x:c r="D76" s="17"/>
      <x:c r="E76" s="42"/>
      <x:c r="F76" s="17"/>
      <x:c r="G76" s="17"/>
      <x:c r="H76" s="17"/>
      <x:c r="I76" s="17"/>
      <x:c r="J76" s="17"/>
      <x:c r="K76" s="30"/>
      <x:c r="L76" s="33"/>
    </x:row>
    <x:row r="77">
      <x:c r="A77" s="3"/>
      <x:c r="B77" s="17"/>
      <x:c r="C77" s="17"/>
      <x:c r="D77" s="17"/>
      <x:c r="E77" s="42"/>
      <x:c r="F77" s="17"/>
      <x:c r="G77" s="17"/>
      <x:c r="H77" s="17"/>
      <x:c r="I77" s="17"/>
      <x:c r="J77" s="17"/>
      <x:c r="K77" s="30"/>
      <x:c r="L77" s="33"/>
    </x:row>
    <x:row r="78">
      <x:c r="A78" s="3"/>
      <x:c r="B78" s="17"/>
      <x:c r="C78" s="17"/>
      <x:c r="D78" s="17"/>
      <x:c r="E78" s="42"/>
      <x:c r="F78" s="17"/>
      <x:c r="G78" s="17"/>
      <x:c r="H78" s="17"/>
      <x:c r="I78" s="17"/>
      <x:c r="J78" s="17"/>
      <x:c r="K78" s="30"/>
      <x:c r="L78" s="33"/>
    </x:row>
    <x:row r="79">
      <x:c r="A79" s="3"/>
      <x:c r="B79" s="17"/>
      <x:c r="C79" s="17"/>
      <x:c r="D79" s="17"/>
      <x:c r="E79" s="42"/>
      <x:c r="F79" s="17"/>
      <x:c r="G79" s="17"/>
      <x:c r="H79" s="17"/>
      <x:c r="I79" s="17"/>
      <x:c r="J79" s="17"/>
      <x:c r="K79" s="30"/>
      <x:c r="L79" s="33"/>
    </x:row>
    <x:row r="80">
      <x:c r="A80" s="3"/>
      <x:c r="B80" s="17"/>
      <x:c r="C80" s="17"/>
      <x:c r="D80" s="17"/>
      <x:c r="E80" s="42"/>
      <x:c r="F80" s="17"/>
      <x:c r="G80" s="17"/>
      <x:c r="H80" s="17"/>
      <x:c r="I80" s="17"/>
      <x:c r="J80" s="17"/>
      <x:c r="K80" s="30"/>
      <x:c r="L80" s="33"/>
    </x:row>
    <x:row r="81">
      <x:c r="A81" s="3"/>
      <x:c r="B81" s="17"/>
      <x:c r="C81" s="17"/>
      <x:c r="D81" s="17"/>
      <x:c r="E81" s="42"/>
      <x:c r="F81" s="17"/>
      <x:c r="G81" s="17"/>
      <x:c r="H81" s="17"/>
      <x:c r="I81" s="17"/>
      <x:c r="J81" s="17"/>
      <x:c r="K81" s="30"/>
      <x:c r="L81" s="33"/>
    </x:row>
    <x:row r="82">
      <x:c r="A82" s="3"/>
      <x:c r="B82" s="17"/>
      <x:c r="C82" s="17"/>
      <x:c r="D82" s="17"/>
      <x:c r="E82" s="42"/>
      <x:c r="F82" s="17"/>
      <x:c r="G82" s="17"/>
      <x:c r="H82" s="17"/>
      <x:c r="I82" s="17"/>
      <x:c r="J82" s="17"/>
      <x:c r="K82" s="30"/>
      <x:c r="L82" s="33"/>
    </x:row>
    <x:row r="83">
      <x:c r="A83" s="3"/>
      <x:c r="B83" s="17"/>
      <x:c r="C83" s="17"/>
      <x:c r="D83" s="17"/>
      <x:c r="E83" s="42"/>
      <x:c r="F83" s="17"/>
      <x:c r="G83" s="17"/>
      <x:c r="H83" s="17"/>
      <x:c r="I83" s="17"/>
      <x:c r="J83" s="17"/>
      <x:c r="K83" s="30"/>
      <x:c r="L83" s="33"/>
    </x:row>
    <x:row r="84">
      <x:c r="A84" s="3"/>
      <x:c r="B84" s="17"/>
      <x:c r="C84" s="17"/>
      <x:c r="D84" s="17"/>
      <x:c r="E84" s="42"/>
      <x:c r="F84" s="17"/>
      <x:c r="G84" s="17"/>
      <x:c r="H84" s="17"/>
      <x:c r="I84" s="17"/>
      <x:c r="J84" s="17"/>
      <x:c r="K84" s="30"/>
      <x:c r="L84" s="33"/>
    </x:row>
    <x:row r="85">
      <x:c r="A85" s="3"/>
      <x:c r="B85" s="17"/>
      <x:c r="C85" s="17"/>
      <x:c r="D85" s="17"/>
      <x:c r="E85" s="42"/>
      <x:c r="F85" s="17"/>
      <x:c r="G85" s="17"/>
      <x:c r="H85" s="17"/>
      <x:c r="I85" s="17"/>
      <x:c r="J85" s="17"/>
      <x:c r="K85" s="30"/>
      <x:c r="L85" s="33"/>
    </x:row>
    <x:row r="86">
      <x:c r="A86" s="3"/>
      <x:c r="B86" s="17"/>
      <x:c r="C86" s="17"/>
      <x:c r="D86" s="17"/>
      <x:c r="E86" s="42"/>
      <x:c r="F86" s="17"/>
      <x:c r="G86" s="17"/>
      <x:c r="H86" s="17"/>
      <x:c r="I86" s="17"/>
      <x:c r="J86" s="17"/>
      <x:c r="K86" s="30"/>
      <x:c r="L86" s="33"/>
    </x:row>
    <x:row r="87">
      <x:c r="A87" s="3"/>
      <x:c r="B87" s="17"/>
      <x:c r="C87" s="17"/>
      <x:c r="D87" s="17"/>
      <x:c r="E87" s="42"/>
      <x:c r="F87" s="17"/>
      <x:c r="G87" s="17"/>
      <x:c r="H87" s="17"/>
      <x:c r="I87" s="17"/>
      <x:c r="J87" s="17"/>
      <x:c r="K87" s="30"/>
      <x:c r="L87" s="33"/>
    </x:row>
    <x:row r="88">
      <x:c r="A88" s="3"/>
      <x:c r="B88" s="17"/>
      <x:c r="C88" s="17"/>
      <x:c r="D88" s="17"/>
      <x:c r="E88" s="42"/>
      <x:c r="F88" s="17"/>
      <x:c r="G88" s="17"/>
      <x:c r="H88" s="17"/>
      <x:c r="I88" s="17"/>
      <x:c r="J88" s="17"/>
      <x:c r="K88" s="30"/>
      <x:c r="L88" s="33"/>
    </x:row>
    <x:row r="89">
      <x:c r="A89" s="3"/>
      <x:c r="B89" s="17"/>
      <x:c r="C89" s="17"/>
      <x:c r="D89" s="17"/>
      <x:c r="E89" s="42"/>
      <x:c r="F89" s="17"/>
      <x:c r="G89" s="17"/>
      <x:c r="H89" s="17"/>
      <x:c r="I89" s="17"/>
      <x:c r="J89" s="17"/>
      <x:c r="K89" s="30"/>
      <x:c r="L89" s="33"/>
    </x:row>
    <x:row r="90">
      <x:c r="A90" s="3"/>
      <x:c r="B90" s="17"/>
      <x:c r="C90" s="17"/>
      <x:c r="D90" s="17"/>
      <x:c r="E90" s="42"/>
      <x:c r="F90" s="17"/>
      <x:c r="G90" s="17"/>
      <x:c r="H90" s="17"/>
      <x:c r="I90" s="17"/>
      <x:c r="J90" s="17"/>
      <x:c r="K90" s="30"/>
      <x:c r="L90" s="33"/>
    </x:row>
    <x:row r="91">
      <x:c r="A91" s="3"/>
      <x:c r="B91" s="17"/>
      <x:c r="C91" s="17"/>
      <x:c r="D91" s="17"/>
      <x:c r="E91" s="42"/>
      <x:c r="F91" s="17"/>
      <x:c r="G91" s="17"/>
      <x:c r="H91" s="17"/>
      <x:c r="I91" s="17"/>
      <x:c r="J91" s="17"/>
      <x:c r="K91" s="30"/>
      <x:c r="L91" s="33"/>
    </x:row>
    <x:row r="92">
      <x:c r="A92" s="3"/>
      <x:c r="B92" s="17"/>
      <x:c r="C92" s="17"/>
      <x:c r="D92" s="17"/>
      <x:c r="E92" s="42"/>
      <x:c r="F92" s="17"/>
      <x:c r="G92" s="17"/>
      <x:c r="H92" s="17"/>
      <x:c r="I92" s="17"/>
      <x:c r="J92" s="17"/>
      <x:c r="K92" s="30"/>
      <x:c r="L92" s="33"/>
    </x:row>
    <x:row r="93">
      <x:c r="A93" s="3"/>
      <x:c r="B93" s="17"/>
      <x:c r="C93" s="17"/>
      <x:c r="D93" s="17"/>
      <x:c r="E93" s="42"/>
      <x:c r="F93" s="17"/>
      <x:c r="G93" s="17"/>
      <x:c r="H93" s="17"/>
      <x:c r="I93" s="17"/>
      <x:c r="J93" s="17"/>
      <x:c r="K93" s="30"/>
      <x:c r="L93" s="33"/>
    </x:row>
    <x:row r="94">
      <x:c r="A94" s="3"/>
      <x:c r="B94" s="17"/>
      <x:c r="C94" s="17"/>
      <x:c r="D94" s="17"/>
      <x:c r="E94" s="42"/>
      <x:c r="F94" s="17"/>
      <x:c r="G94" s="17"/>
      <x:c r="H94" s="17"/>
      <x:c r="I94" s="17"/>
      <x:c r="J94" s="17"/>
      <x:c r="K94" s="30"/>
      <x:c r="L94" s="33"/>
    </x:row>
    <x:row r="95">
      <x:c r="A95" s="3"/>
      <x:c r="B95" s="17"/>
      <x:c r="C95" s="17"/>
      <x:c r="D95" s="17"/>
      <x:c r="E95" s="42"/>
      <x:c r="F95" s="17"/>
      <x:c r="G95" s="17"/>
      <x:c r="H95" s="17"/>
      <x:c r="I95" s="17"/>
      <x:c r="J95" s="17"/>
      <x:c r="K95" s="30"/>
      <x:c r="L95" s="33"/>
    </x:row>
    <x:row r="96">
      <x:c r="A96" s="3"/>
      <x:c r="B96" s="17"/>
      <x:c r="C96" s="17"/>
      <x:c r="D96" s="17"/>
      <x:c r="E96" s="42"/>
      <x:c r="F96" s="17"/>
      <x:c r="G96" s="17"/>
      <x:c r="H96" s="17"/>
      <x:c r="I96" s="17"/>
      <x:c r="J96" s="17"/>
      <x:c r="K96" s="30"/>
      <x:c r="L96" s="33"/>
    </x:row>
    <x:row r="97">
      <x:c r="A97" s="3"/>
      <x:c r="B97" s="17"/>
      <x:c r="C97" s="17"/>
      <x:c r="D97" s="17"/>
      <x:c r="E97" s="42"/>
      <x:c r="F97" s="17"/>
      <x:c r="G97" s="17"/>
      <x:c r="H97" s="17"/>
      <x:c r="I97" s="17"/>
      <x:c r="J97" s="17"/>
      <x:c r="K97" s="30"/>
      <x:c r="L97" s="33"/>
    </x:row>
    <x:row r="98">
      <x:c r="A98" s="3"/>
      <x:c r="B98" s="17"/>
      <x:c r="C98" s="17"/>
      <x:c r="D98" s="17"/>
      <x:c r="E98" s="42"/>
      <x:c r="F98" s="17"/>
      <x:c r="G98" s="17"/>
      <x:c r="H98" s="17"/>
      <x:c r="I98" s="17"/>
      <x:c r="J98" s="17"/>
      <x:c r="K98" s="30"/>
      <x:c r="L98" s="33"/>
    </x:row>
    <x:row r="99">
      <x:c r="A99" s="3"/>
      <x:c r="B99" s="17"/>
      <x:c r="C99" s="17"/>
      <x:c r="D99" s="17"/>
      <x:c r="E99" s="42"/>
      <x:c r="F99" s="17"/>
      <x:c r="G99" s="17"/>
      <x:c r="H99" s="17"/>
      <x:c r="I99" s="17"/>
      <x:c r="J99" s="17"/>
      <x:c r="K99" s="30"/>
      <x:c r="L99" s="33"/>
    </x:row>
    <x:row r="100">
      <x:c r="A100" s="3"/>
      <x:c r="B100" s="17"/>
      <x:c r="C100" s="17"/>
      <x:c r="D100" s="17"/>
      <x:c r="E100" s="42"/>
      <x:c r="F100" s="17"/>
      <x:c r="G100" s="17"/>
      <x:c r="H100" s="17"/>
      <x:c r="I100" s="17"/>
      <x:c r="J100" s="17"/>
      <x:c r="K100" s="30"/>
      <x:c r="L100" s="33"/>
    </x:row>
    <x:row r="101">
      <x:c r="A101" s="3"/>
      <x:c r="B101" s="17"/>
      <x:c r="C101" s="17"/>
      <x:c r="D101" s="17"/>
      <x:c r="E101" s="42"/>
      <x:c r="F101" s="17"/>
      <x:c r="G101" s="17"/>
      <x:c r="H101" s="17"/>
      <x:c r="I101" s="17"/>
      <x:c r="J101" s="17"/>
      <x:c r="K101" s="30"/>
      <x:c r="L101" s="33"/>
    </x:row>
    <x:row r="102">
      <x:c r="A102" s="3"/>
      <x:c r="B102" s="17"/>
      <x:c r="C102" s="17"/>
      <x:c r="D102" s="17"/>
      <x:c r="E102" s="42"/>
      <x:c r="F102" s="17"/>
      <x:c r="G102" s="17"/>
      <x:c r="H102" s="17"/>
      <x:c r="I102" s="17"/>
      <x:c r="J102" s="17"/>
      <x:c r="K102" s="30"/>
      <x:c r="L102" s="33"/>
    </x:row>
    <x:row r="103">
      <x:c r="A103" s="3"/>
      <x:c r="B103" s="17"/>
      <x:c r="C103" s="17"/>
      <x:c r="D103" s="17"/>
      <x:c r="E103" s="42"/>
      <x:c r="F103" s="17"/>
      <x:c r="G103" s="17"/>
      <x:c r="H103" s="17"/>
      <x:c r="I103" s="17"/>
      <x:c r="J103" s="17"/>
      <x:c r="K103" s="30"/>
      <x:c r="L103" s="33"/>
    </x:row>
    <x:row r="104">
      <x:c r="A104" s="3"/>
      <x:c r="B104" s="17"/>
      <x:c r="C104" s="17"/>
      <x:c r="D104" s="17"/>
      <x:c r="E104" s="42"/>
      <x:c r="F104" s="17"/>
      <x:c r="G104" s="17"/>
      <x:c r="H104" s="17"/>
      <x:c r="I104" s="17"/>
      <x:c r="J104" s="17"/>
      <x:c r="K104" s="30"/>
      <x:c r="L104" s="33"/>
    </x:row>
    <x:row r="105">
      <x:c r="A105" s="3"/>
      <x:c r="B105" s="17"/>
      <x:c r="C105" s="17"/>
      <x:c r="D105" s="17"/>
      <x:c r="E105" s="42"/>
      <x:c r="F105" s="17"/>
      <x:c r="G105" s="17"/>
      <x:c r="H105" s="17"/>
      <x:c r="I105" s="17"/>
      <x:c r="J105" s="17"/>
      <x:c r="K105" s="30"/>
      <x:c r="L105" s="33"/>
    </x:row>
    <x:row r="106">
      <x:c r="A106" s="3"/>
      <x:c r="B106" s="17"/>
      <x:c r="C106" s="17"/>
      <x:c r="D106" s="17"/>
      <x:c r="E106" s="42"/>
      <x:c r="F106" s="17"/>
      <x:c r="G106" s="17"/>
      <x:c r="H106" s="17"/>
      <x:c r="I106" s="17"/>
      <x:c r="J106" s="17"/>
      <x:c r="K106" s="30"/>
      <x:c r="L106" s="33"/>
    </x:row>
    <x:row r="107">
      <x:c r="A107" s="3"/>
      <x:c r="B107" s="17"/>
      <x:c r="C107" s="17"/>
      <x:c r="D107" s="17"/>
      <x:c r="E107" s="42"/>
      <x:c r="F107" s="17"/>
      <x:c r="G107" s="17"/>
      <x:c r="H107" s="17"/>
      <x:c r="I107" s="17"/>
      <x:c r="J107" s="17"/>
      <x:c r="K107" s="30"/>
      <x:c r="L107" s="33"/>
    </x:row>
    <x:row r="108">
      <x:c r="A108" s="3"/>
      <x:c r="B108" s="17"/>
      <x:c r="C108" s="17"/>
      <x:c r="D108" s="17"/>
      <x:c r="E108" s="42"/>
      <x:c r="F108" s="17"/>
      <x:c r="G108" s="17"/>
      <x:c r="H108" s="17"/>
      <x:c r="I108" s="17"/>
      <x:c r="J108" s="17"/>
      <x:c r="K108" s="30"/>
      <x:c r="L108" s="33"/>
    </x:row>
    <x:row r="109">
      <x:c r="A109" s="3"/>
      <x:c r="B109" s="17"/>
      <x:c r="C109" s="17"/>
      <x:c r="D109" s="17"/>
      <x:c r="E109" s="42"/>
      <x:c r="F109" s="17"/>
      <x:c r="G109" s="17"/>
      <x:c r="H109" s="17"/>
      <x:c r="I109" s="17"/>
      <x:c r="J109" s="17"/>
      <x:c r="K109" s="30"/>
      <x:c r="L109" s="33"/>
    </x:row>
    <x:row r="110">
      <x:c r="A110" s="3"/>
      <x:c r="B110" s="17"/>
      <x:c r="C110" s="17"/>
      <x:c r="D110" s="17"/>
      <x:c r="E110" s="42"/>
      <x:c r="F110" s="17"/>
      <x:c r="G110" s="17"/>
      <x:c r="H110" s="17"/>
      <x:c r="I110" s="17"/>
      <x:c r="J110" s="17"/>
      <x:c r="K110" s="30"/>
      <x:c r="L110" s="33"/>
    </x:row>
    <x:row r="111">
      <x:c r="A111" s="3"/>
      <x:c r="B111" s="17"/>
      <x:c r="C111" s="17"/>
      <x:c r="D111" s="17"/>
      <x:c r="E111" s="42"/>
      <x:c r="F111" s="17"/>
      <x:c r="G111" s="17"/>
      <x:c r="H111" s="17"/>
      <x:c r="I111" s="17"/>
      <x:c r="J111" s="17"/>
      <x:c r="K111" s="30"/>
      <x:c r="L111" s="33"/>
    </x:row>
    <x:row r="112">
      <x:c r="A112" s="3"/>
      <x:c r="B112" s="17"/>
      <x:c r="C112" s="17"/>
      <x:c r="D112" s="17"/>
      <x:c r="E112" s="42"/>
      <x:c r="F112" s="17"/>
      <x:c r="G112" s="17"/>
      <x:c r="H112" s="17"/>
      <x:c r="I112" s="17"/>
      <x:c r="J112" s="17"/>
      <x:c r="K112" s="30"/>
      <x:c r="L112" s="33"/>
    </x:row>
    <x:row r="113">
      <x:c r="A113" s="3"/>
      <x:c r="B113" s="17"/>
      <x:c r="C113" s="17"/>
      <x:c r="D113" s="17"/>
      <x:c r="E113" s="42"/>
      <x:c r="F113" s="17"/>
      <x:c r="G113" s="17"/>
      <x:c r="H113" s="17"/>
      <x:c r="I113" s="17"/>
      <x:c r="J113" s="17"/>
      <x:c r="K113" s="30"/>
      <x:c r="L113" s="33"/>
    </x:row>
    <x:row r="114">
      <x:c r="A114" s="3"/>
      <x:c r="B114" s="17"/>
      <x:c r="C114" s="17"/>
      <x:c r="D114" s="17"/>
      <x:c r="E114" s="42"/>
      <x:c r="F114" s="17"/>
      <x:c r="G114" s="17"/>
      <x:c r="H114" s="17"/>
      <x:c r="I114" s="17"/>
      <x:c r="J114" s="17"/>
      <x:c r="K114" s="30"/>
      <x:c r="L114" s="33"/>
    </x:row>
    <x:row r="115">
      <x:c r="A115" s="3"/>
      <x:c r="B115" s="17"/>
      <x:c r="C115" s="17"/>
      <x:c r="D115" s="17"/>
      <x:c r="E115" s="42"/>
      <x:c r="F115" s="17"/>
      <x:c r="G115" s="17"/>
      <x:c r="H115" s="17"/>
      <x:c r="I115" s="17"/>
      <x:c r="J115" s="17"/>
      <x:c r="K115" s="30"/>
      <x:c r="L115" s="33"/>
    </x:row>
    <x:row r="116">
      <x:c r="A116" s="3"/>
      <x:c r="B116" s="17"/>
      <x:c r="C116" s="17"/>
      <x:c r="D116" s="17"/>
      <x:c r="E116" s="42"/>
      <x:c r="F116" s="17"/>
      <x:c r="G116" s="17"/>
      <x:c r="H116" s="17"/>
      <x:c r="I116" s="17"/>
      <x:c r="J116" s="17"/>
      <x:c r="K116" s="30"/>
      <x:c r="L116" s="33"/>
    </x:row>
    <x:row r="117">
      <x:c r="A117" s="3"/>
      <x:c r="B117" s="17"/>
      <x:c r="C117" s="17"/>
      <x:c r="D117" s="17"/>
      <x:c r="E117" s="42"/>
      <x:c r="F117" s="17"/>
      <x:c r="G117" s="17"/>
      <x:c r="H117" s="17"/>
      <x:c r="I117" s="17"/>
      <x:c r="J117" s="17"/>
      <x:c r="K117" s="30"/>
      <x:c r="L117" s="33"/>
    </x:row>
    <x:row r="118">
      <x:c r="A118" s="3"/>
      <x:c r="B118" s="17"/>
      <x:c r="C118" s="17"/>
      <x:c r="D118" s="17"/>
      <x:c r="E118" s="42"/>
      <x:c r="F118" s="17"/>
      <x:c r="G118" s="17"/>
      <x:c r="H118" s="17"/>
      <x:c r="I118" s="17"/>
      <x:c r="J118" s="17"/>
      <x:c r="K118" s="30"/>
      <x:c r="L118" s="33"/>
    </x:row>
    <x:row r="119">
      <x:c r="A119" s="3"/>
      <x:c r="B119" s="17"/>
      <x:c r="C119" s="17"/>
      <x:c r="D119" s="17"/>
      <x:c r="E119" s="42"/>
      <x:c r="F119" s="17"/>
      <x:c r="G119" s="17"/>
      <x:c r="H119" s="17"/>
      <x:c r="I119" s="17"/>
      <x:c r="J119" s="17"/>
      <x:c r="K119" s="30"/>
      <x:c r="L119" s="33"/>
    </x:row>
    <x:row r="120">
      <x:c r="A120" s="3"/>
      <x:c r="B120" s="17"/>
      <x:c r="C120" s="17"/>
      <x:c r="D120" s="17"/>
      <x:c r="E120" s="42"/>
      <x:c r="F120" s="17"/>
      <x:c r="G120" s="17"/>
      <x:c r="H120" s="17"/>
      <x:c r="I120" s="17"/>
      <x:c r="J120" s="17"/>
      <x:c r="K120" s="30"/>
      <x:c r="L120" s="33"/>
    </x:row>
    <x:row r="121">
      <x:c r="A121" s="3"/>
      <x:c r="B121" s="17"/>
      <x:c r="C121" s="17"/>
      <x:c r="D121" s="17"/>
      <x:c r="E121" s="42"/>
      <x:c r="F121" s="17"/>
      <x:c r="G121" s="17"/>
      <x:c r="H121" s="17"/>
      <x:c r="I121" s="17"/>
      <x:c r="J121" s="17"/>
      <x:c r="K121" s="30"/>
      <x:c r="L121" s="33"/>
    </x:row>
    <x:row r="122">
      <x:c r="A122" s="3"/>
      <x:c r="B122" s="17"/>
      <x:c r="C122" s="17"/>
      <x:c r="D122" s="17"/>
      <x:c r="E122" s="42"/>
      <x:c r="F122" s="17"/>
      <x:c r="G122" s="17"/>
      <x:c r="H122" s="17"/>
      <x:c r="I122" s="17"/>
      <x:c r="J122" s="17"/>
      <x:c r="K122" s="30"/>
      <x:c r="L122" s="33"/>
    </x:row>
    <x:row r="123">
      <x:c r="A123" s="3"/>
      <x:c r="B123" s="17"/>
      <x:c r="C123" s="17"/>
      <x:c r="D123" s="17"/>
      <x:c r="E123" s="42"/>
      <x:c r="F123" s="17"/>
      <x:c r="G123" s="17"/>
      <x:c r="H123" s="17"/>
      <x:c r="I123" s="17"/>
      <x:c r="J123" s="17"/>
      <x:c r="K123" s="30"/>
      <x:c r="L123" s="33"/>
    </x:row>
    <x:row r="124">
      <x:c r="A124" s="3"/>
      <x:c r="B124" s="17"/>
      <x:c r="C124" s="17"/>
      <x:c r="D124" s="17"/>
      <x:c r="E124" s="42"/>
      <x:c r="F124" s="17"/>
      <x:c r="G124" s="17"/>
      <x:c r="H124" s="17"/>
      <x:c r="I124" s="17"/>
      <x:c r="J124" s="17"/>
      <x:c r="K124" s="30"/>
      <x:c r="L124" s="33"/>
    </x:row>
    <x:row r="125">
      <x:c r="A125" s="3"/>
      <x:c r="B125" s="17"/>
      <x:c r="C125" s="17"/>
      <x:c r="D125" s="17"/>
      <x:c r="E125" s="42"/>
      <x:c r="F125" s="17"/>
      <x:c r="G125" s="17"/>
      <x:c r="H125" s="17"/>
      <x:c r="I125" s="17"/>
      <x:c r="J125" s="17"/>
      <x:c r="K125" s="30"/>
      <x:c r="L125" s="33"/>
    </x:row>
    <x:row r="126">
      <x:c r="A126" s="3"/>
      <x:c r="B126" s="17"/>
      <x:c r="C126" s="17"/>
      <x:c r="D126" s="17"/>
      <x:c r="E126" s="42"/>
      <x:c r="F126" s="17"/>
      <x:c r="G126" s="17"/>
      <x:c r="H126" s="17"/>
      <x:c r="I126" s="17"/>
      <x:c r="J126" s="17"/>
      <x:c r="K126" s="30"/>
      <x:c r="L126" s="33"/>
    </x:row>
    <x:row r="127">
      <x:c r="A127" s="3"/>
      <x:c r="B127" s="17"/>
      <x:c r="C127" s="17"/>
      <x:c r="D127" s="17"/>
      <x:c r="E127" s="42"/>
      <x:c r="F127" s="17"/>
      <x:c r="G127" s="17"/>
      <x:c r="H127" s="17"/>
      <x:c r="I127" s="17"/>
      <x:c r="J127" s="17"/>
      <x:c r="K127" s="30"/>
      <x:c r="L127" s="33"/>
    </x:row>
    <x:row r="128">
      <x:c r="A128" s="3"/>
      <x:c r="B128" s="17"/>
      <x:c r="C128" s="17"/>
      <x:c r="D128" s="17"/>
      <x:c r="E128" s="42"/>
      <x:c r="F128" s="17"/>
      <x:c r="G128" s="17"/>
      <x:c r="H128" s="17"/>
      <x:c r="I128" s="17"/>
      <x:c r="J128" s="17"/>
      <x:c r="K128" s="30"/>
      <x:c r="L128" s="33"/>
    </x:row>
    <x:row r="129">
      <x:c r="A129" s="3"/>
      <x:c r="B129" s="17"/>
      <x:c r="C129" s="17"/>
      <x:c r="D129" s="17"/>
      <x:c r="E129" s="42"/>
      <x:c r="F129" s="17"/>
      <x:c r="G129" s="17"/>
      <x:c r="H129" s="17"/>
      <x:c r="I129" s="17"/>
      <x:c r="J129" s="17"/>
      <x:c r="K129" s="30"/>
      <x:c r="L129" s="33"/>
    </x:row>
    <x:row r="130">
      <x:c r="A130" s="3"/>
      <x:c r="B130" s="17"/>
      <x:c r="C130" s="17"/>
      <x:c r="D130" s="17"/>
      <x:c r="E130" s="42"/>
      <x:c r="F130" s="17"/>
      <x:c r="G130" s="17"/>
      <x:c r="H130" s="17"/>
      <x:c r="I130" s="17"/>
      <x:c r="J130" s="17"/>
      <x:c r="K130" s="30"/>
      <x:c r="L130" s="33"/>
    </x:row>
    <x:row r="131">
      <x:c r="A131" s="3"/>
      <x:c r="B131" s="17"/>
      <x:c r="C131" s="17"/>
      <x:c r="D131" s="17"/>
      <x:c r="E131" s="42"/>
      <x:c r="F131" s="17"/>
      <x:c r="G131" s="17"/>
      <x:c r="H131" s="17"/>
      <x:c r="I131" s="17"/>
      <x:c r="J131" s="17"/>
      <x:c r="K131" s="30"/>
      <x:c r="L131" s="33"/>
    </x:row>
    <x:row r="132">
      <x:c r="A132" s="3"/>
      <x:c r="B132" s="17"/>
      <x:c r="C132" s="17"/>
      <x:c r="D132" s="17"/>
      <x:c r="E132" s="42"/>
      <x:c r="F132" s="17"/>
      <x:c r="G132" s="17"/>
      <x:c r="H132" s="17"/>
      <x:c r="I132" s="17"/>
      <x:c r="J132" s="17"/>
      <x:c r="K132" s="30"/>
      <x:c r="L132" s="33"/>
    </x:row>
    <x:row r="133">
      <x:c r="A133" s="3"/>
      <x:c r="B133" s="17"/>
      <x:c r="C133" s="17"/>
      <x:c r="D133" s="17"/>
      <x:c r="E133" s="42"/>
      <x:c r="F133" s="17"/>
      <x:c r="G133" s="17"/>
      <x:c r="H133" s="17"/>
      <x:c r="I133" s="17"/>
      <x:c r="J133" s="17"/>
      <x:c r="K133" s="30"/>
      <x:c r="L133" s="33"/>
    </x:row>
    <x:row r="134">
      <x:c r="A134" s="3"/>
      <x:c r="B134" s="17"/>
      <x:c r="C134" s="17"/>
      <x:c r="D134" s="17"/>
      <x:c r="E134" s="42"/>
      <x:c r="F134" s="17"/>
      <x:c r="G134" s="17"/>
      <x:c r="H134" s="17"/>
      <x:c r="I134" s="17"/>
      <x:c r="J134" s="17"/>
      <x:c r="K134" s="30"/>
      <x:c r="L134" s="33"/>
    </x:row>
    <x:row r="135">
      <x:c r="A135" s="3"/>
      <x:c r="B135" s="17"/>
      <x:c r="C135" s="17"/>
      <x:c r="D135" s="17"/>
      <x:c r="E135" s="42"/>
      <x:c r="F135" s="17"/>
      <x:c r="G135" s="17"/>
      <x:c r="H135" s="17"/>
      <x:c r="I135" s="17"/>
      <x:c r="J135" s="17"/>
      <x:c r="K135" s="30"/>
      <x:c r="L135" s="33"/>
    </x:row>
    <x:row r="136">
      <x:c r="A136" s="3"/>
      <x:c r="B136" s="17"/>
      <x:c r="C136" s="17"/>
      <x:c r="D136" s="17"/>
      <x:c r="E136" s="42"/>
      <x:c r="F136" s="17"/>
      <x:c r="G136" s="17"/>
      <x:c r="H136" s="17"/>
      <x:c r="I136" s="17"/>
      <x:c r="J136" s="17"/>
      <x:c r="K136" s="30"/>
      <x:c r="L136" s="33"/>
    </x:row>
    <x:row r="137">
      <x:c r="A137" s="3"/>
      <x:c r="B137" s="17"/>
      <x:c r="C137" s="17"/>
      <x:c r="D137" s="17"/>
      <x:c r="E137" s="42"/>
      <x:c r="F137" s="17"/>
      <x:c r="G137" s="17"/>
      <x:c r="H137" s="17"/>
      <x:c r="I137" s="17"/>
      <x:c r="J137" s="17"/>
      <x:c r="K137" s="30"/>
      <x:c r="L137" s="33"/>
    </x:row>
    <x:row r="138">
      <x:c r="A138" s="3"/>
      <x:c r="B138" s="17"/>
      <x:c r="C138" s="17"/>
      <x:c r="D138" s="17"/>
      <x:c r="E138" s="42"/>
      <x:c r="F138" s="17"/>
      <x:c r="G138" s="17"/>
      <x:c r="H138" s="17"/>
      <x:c r="I138" s="17"/>
      <x:c r="J138" s="17"/>
      <x:c r="K138" s="30"/>
      <x:c r="L138" s="33"/>
    </x:row>
    <x:row r="139">
      <x:c r="A139" s="3"/>
      <x:c r="B139" s="17"/>
      <x:c r="C139" s="17"/>
      <x:c r="D139" s="17"/>
      <x:c r="E139" s="42"/>
      <x:c r="F139" s="17"/>
      <x:c r="G139" s="17"/>
      <x:c r="H139" s="17"/>
      <x:c r="I139" s="17"/>
      <x:c r="J139" s="17"/>
      <x:c r="K139" s="30"/>
      <x:c r="L139" s="33"/>
    </x:row>
    <x:row r="140">
      <x:c r="A140" s="3"/>
      <x:c r="B140" s="17"/>
      <x:c r="C140" s="17"/>
      <x:c r="D140" s="17"/>
      <x:c r="E140" s="42"/>
      <x:c r="F140" s="17"/>
      <x:c r="G140" s="17"/>
      <x:c r="H140" s="17"/>
      <x:c r="I140" s="17"/>
      <x:c r="J140" s="17"/>
      <x:c r="K140" s="30"/>
      <x:c r="L140" s="33"/>
    </x:row>
    <x:row r="141">
      <x:c r="A141" s="3"/>
      <x:c r="B141" s="17"/>
      <x:c r="C141" s="17"/>
      <x:c r="D141" s="17"/>
      <x:c r="E141" s="42"/>
      <x:c r="F141" s="17"/>
      <x:c r="G141" s="17"/>
      <x:c r="H141" s="17"/>
      <x:c r="I141" s="17"/>
      <x:c r="J141" s="17"/>
      <x:c r="K141" s="30"/>
      <x:c r="L141" s="33"/>
    </x:row>
    <x:row r="142">
      <x:c r="A142" s="3"/>
      <x:c r="B142" s="17"/>
      <x:c r="C142" s="17"/>
      <x:c r="D142" s="17"/>
      <x:c r="E142" s="42"/>
      <x:c r="F142" s="17"/>
      <x:c r="G142" s="17"/>
      <x:c r="H142" s="17"/>
      <x:c r="I142" s="17"/>
      <x:c r="J142" s="17"/>
      <x:c r="K142" s="30"/>
      <x:c r="L142" s="33"/>
    </x:row>
    <x:row r="143">
      <x:c r="A143" s="3"/>
      <x:c r="B143" s="17"/>
      <x:c r="C143" s="17"/>
      <x:c r="D143" s="17"/>
      <x:c r="E143" s="42"/>
      <x:c r="F143" s="17"/>
      <x:c r="G143" s="17"/>
      <x:c r="H143" s="17"/>
      <x:c r="I143" s="17"/>
      <x:c r="J143" s="17"/>
      <x:c r="K143" s="30"/>
      <x:c r="L143" s="33"/>
    </x:row>
    <x:row r="144">
      <x:c r="A144" s="3"/>
      <x:c r="B144" s="17"/>
      <x:c r="C144" s="17"/>
      <x:c r="D144" s="17"/>
      <x:c r="E144" s="42"/>
      <x:c r="F144" s="17"/>
      <x:c r="G144" s="17"/>
      <x:c r="H144" s="17"/>
      <x:c r="I144" s="17"/>
      <x:c r="J144" s="17"/>
      <x:c r="K144" s="30"/>
      <x:c r="L144" s="33"/>
    </x:row>
    <x:row r="145">
      <x:c r="A145" s="3"/>
      <x:c r="B145" s="17"/>
      <x:c r="C145" s="17"/>
      <x:c r="D145" s="17"/>
      <x:c r="E145" s="42"/>
      <x:c r="F145" s="17"/>
      <x:c r="G145" s="17"/>
      <x:c r="H145" s="17"/>
      <x:c r="I145" s="17"/>
      <x:c r="J145" s="17"/>
      <x:c r="K145" s="30"/>
      <x:c r="L145" s="33"/>
    </x:row>
    <x:row r="146">
      <x:c r="A146" s="3"/>
      <x:c r="B146" s="17"/>
      <x:c r="C146" s="17"/>
      <x:c r="D146" s="17"/>
      <x:c r="E146" s="42"/>
      <x:c r="F146" s="17"/>
      <x:c r="G146" s="17"/>
      <x:c r="H146" s="17"/>
      <x:c r="I146" s="17"/>
      <x:c r="J146" s="17"/>
      <x:c r="K146" s="30"/>
      <x:c r="L146" s="33"/>
    </x:row>
    <x:row r="147">
      <x:c r="A147" s="3"/>
      <x:c r="B147" s="17"/>
      <x:c r="C147" s="17"/>
      <x:c r="D147" s="17"/>
      <x:c r="E147" s="42"/>
      <x:c r="F147" s="17"/>
      <x:c r="G147" s="17"/>
      <x:c r="H147" s="17"/>
      <x:c r="I147" s="17"/>
      <x:c r="J147" s="17"/>
      <x:c r="K147" s="30"/>
      <x:c r="L147" s="33"/>
    </x:row>
    <x:row r="148">
      <x:c r="A148" s="3"/>
      <x:c r="B148" s="17"/>
      <x:c r="C148" s="17"/>
      <x:c r="D148" s="17"/>
      <x:c r="E148" s="42"/>
      <x:c r="F148" s="17"/>
      <x:c r="G148" s="17"/>
      <x:c r="H148" s="17"/>
      <x:c r="I148" s="17"/>
      <x:c r="J148" s="17"/>
      <x:c r="K148" s="30"/>
      <x:c r="L148" s="33"/>
    </x:row>
    <x:row r="149">
      <x:c r="A149" s="3"/>
      <x:c r="B149" s="17"/>
      <x:c r="C149" s="17"/>
      <x:c r="D149" s="17"/>
      <x:c r="E149" s="42"/>
      <x:c r="F149" s="17"/>
      <x:c r="G149" s="17"/>
      <x:c r="H149" s="17"/>
      <x:c r="I149" s="17"/>
      <x:c r="J149" s="17"/>
      <x:c r="K149" s="30"/>
      <x:c r="L149" s="33"/>
    </x:row>
    <x:row r="150">
      <x:c r="A150" s="3"/>
      <x:c r="B150" s="17"/>
      <x:c r="C150" s="17"/>
      <x:c r="D150" s="17"/>
      <x:c r="E150" s="42"/>
      <x:c r="F150" s="17"/>
      <x:c r="G150" s="17"/>
      <x:c r="H150" s="17"/>
      <x:c r="I150" s="17"/>
      <x:c r="J150" s="17"/>
      <x:c r="K150" s="30"/>
      <x:c r="L150" s="33"/>
    </x:row>
    <x:row r="151">
      <x:c r="A151" s="3"/>
      <x:c r="B151" s="17"/>
      <x:c r="C151" s="17"/>
      <x:c r="D151" s="17"/>
      <x:c r="E151" s="42"/>
      <x:c r="F151" s="17"/>
      <x:c r="G151" s="17"/>
      <x:c r="H151" s="17"/>
      <x:c r="I151" s="17"/>
      <x:c r="J151" s="17"/>
      <x:c r="K151" s="30"/>
      <x:c r="L151" s="33"/>
    </x:row>
    <x:row r="152">
      <x:c r="A152" s="3"/>
      <x:c r="B152" s="17"/>
      <x:c r="C152" s="17"/>
      <x:c r="D152" s="17"/>
      <x:c r="E152" s="42"/>
      <x:c r="F152" s="17"/>
      <x:c r="G152" s="17"/>
      <x:c r="H152" s="17"/>
      <x:c r="I152" s="17"/>
      <x:c r="J152" s="17"/>
      <x:c r="K152" s="30"/>
      <x:c r="L152" s="33"/>
    </x:row>
    <x:row r="153">
      <x:c r="A153" s="3"/>
      <x:c r="B153" s="17"/>
      <x:c r="C153" s="17"/>
      <x:c r="D153" s="17"/>
      <x:c r="E153" s="42"/>
      <x:c r="F153" s="17"/>
      <x:c r="G153" s="17"/>
      <x:c r="H153" s="17"/>
      <x:c r="I153" s="17"/>
      <x:c r="J153" s="17"/>
      <x:c r="K153" s="30"/>
      <x:c r="L153" s="33"/>
    </x:row>
    <x:row r="154">
      <x:c r="A154" s="3"/>
      <x:c r="B154" s="17"/>
      <x:c r="C154" s="17"/>
      <x:c r="D154" s="17"/>
      <x:c r="E154" s="42"/>
      <x:c r="F154" s="17"/>
      <x:c r="G154" s="17"/>
      <x:c r="H154" s="17"/>
      <x:c r="I154" s="17"/>
      <x:c r="J154" s="17"/>
      <x:c r="K154" s="30"/>
      <x:c r="L154" s="33"/>
    </x:row>
    <x:row r="155">
      <x:c r="A155" s="3"/>
      <x:c r="B155" s="17"/>
      <x:c r="C155" s="17"/>
      <x:c r="D155" s="17"/>
      <x:c r="E155" s="42"/>
      <x:c r="F155" s="17"/>
      <x:c r="G155" s="17"/>
      <x:c r="H155" s="17"/>
      <x:c r="I155" s="17"/>
      <x:c r="J155" s="17"/>
      <x:c r="K155" s="30"/>
      <x:c r="L155" s="33"/>
    </x:row>
    <x:row r="156">
      <x:c r="A156" s="3"/>
      <x:c r="B156" s="17"/>
      <x:c r="C156" s="17"/>
      <x:c r="D156" s="17"/>
      <x:c r="E156" s="42"/>
      <x:c r="F156" s="17"/>
      <x:c r="G156" s="17"/>
      <x:c r="H156" s="17"/>
      <x:c r="I156" s="17"/>
      <x:c r="J156" s="17"/>
      <x:c r="K156" s="30"/>
      <x:c r="L156" s="33"/>
    </x:row>
    <x:row r="157">
      <x:c r="A157" s="3"/>
      <x:c r="B157" s="17"/>
      <x:c r="C157" s="17"/>
      <x:c r="D157" s="17"/>
      <x:c r="E157" s="42"/>
      <x:c r="F157" s="17"/>
      <x:c r="G157" s="17"/>
      <x:c r="H157" s="17"/>
      <x:c r="I157" s="17"/>
      <x:c r="J157" s="17"/>
      <x:c r="K157" s="30"/>
      <x:c r="L157" s="33"/>
    </x:row>
    <x:row r="158">
      <x:c r="A158" s="3"/>
      <x:c r="B158" s="17"/>
      <x:c r="C158" s="17"/>
      <x:c r="D158" s="17"/>
      <x:c r="E158" s="42"/>
      <x:c r="F158" s="17"/>
      <x:c r="G158" s="17"/>
      <x:c r="H158" s="17"/>
      <x:c r="I158" s="17"/>
      <x:c r="J158" s="17"/>
      <x:c r="K158" s="30"/>
      <x:c r="L158" s="33"/>
    </x:row>
    <x:row r="159">
      <x:c r="A159" s="3"/>
      <x:c r="B159" s="17"/>
      <x:c r="C159" s="17"/>
      <x:c r="D159" s="17"/>
      <x:c r="E159" s="42"/>
      <x:c r="F159" s="17"/>
      <x:c r="G159" s="17"/>
      <x:c r="H159" s="17"/>
      <x:c r="I159" s="17"/>
      <x:c r="J159" s="17"/>
      <x:c r="K159" s="30"/>
      <x:c r="L159" s="33"/>
    </x:row>
    <x:row r="160">
      <x:c r="A160" s="3"/>
      <x:c r="B160" s="17"/>
      <x:c r="C160" s="17"/>
      <x:c r="D160" s="17"/>
      <x:c r="E160" s="42"/>
      <x:c r="F160" s="17"/>
      <x:c r="G160" s="17"/>
      <x:c r="H160" s="17"/>
      <x:c r="I160" s="17"/>
      <x:c r="J160" s="17"/>
      <x:c r="K160" s="30"/>
      <x:c r="L160" s="33"/>
    </x:row>
    <x:row r="161">
      <x:c r="A161" s="3"/>
      <x:c r="B161" s="17"/>
      <x:c r="C161" s="17"/>
      <x:c r="D161" s="17"/>
      <x:c r="E161" s="42"/>
      <x:c r="F161" s="17"/>
      <x:c r="G161" s="17"/>
      <x:c r="H161" s="17"/>
      <x:c r="I161" s="17"/>
      <x:c r="J161" s="17"/>
      <x:c r="K161" s="30"/>
      <x:c r="L161" s="33"/>
    </x:row>
    <x:row r="162">
      <x:c r="A162" s="3"/>
      <x:c r="B162" s="17"/>
      <x:c r="C162" s="17"/>
      <x:c r="D162" s="17"/>
      <x:c r="E162" s="42"/>
      <x:c r="F162" s="17"/>
      <x:c r="G162" s="17"/>
      <x:c r="H162" s="17"/>
      <x:c r="I162" s="17"/>
      <x:c r="J162" s="17"/>
      <x:c r="K162" s="30"/>
      <x:c r="L162" s="33"/>
    </x:row>
    <x:row r="163">
      <x:c r="A163" s="3"/>
      <x:c r="B163" s="17"/>
      <x:c r="C163" s="17"/>
      <x:c r="D163" s="17"/>
      <x:c r="E163" s="42"/>
      <x:c r="F163" s="17"/>
      <x:c r="G163" s="17"/>
      <x:c r="H163" s="17"/>
      <x:c r="I163" s="17"/>
      <x:c r="J163" s="17"/>
      <x:c r="K163" s="30"/>
      <x:c r="L163" s="33"/>
    </x:row>
    <x:row r="164">
      <x:c r="A164" s="3"/>
      <x:c r="B164" s="17"/>
      <x:c r="C164" s="17"/>
      <x:c r="D164" s="17"/>
      <x:c r="E164" s="42"/>
      <x:c r="F164" s="17"/>
      <x:c r="G164" s="17"/>
      <x:c r="H164" s="17"/>
      <x:c r="I164" s="17"/>
      <x:c r="J164" s="17"/>
      <x:c r="K164" s="30"/>
      <x:c r="L164" s="33"/>
    </x:row>
    <x:row r="165">
      <x:c r="A165" s="3"/>
      <x:c r="B165" s="17"/>
      <x:c r="C165" s="17"/>
      <x:c r="D165" s="17"/>
      <x:c r="E165" s="42"/>
      <x:c r="F165" s="17"/>
      <x:c r="G165" s="17"/>
      <x:c r="H165" s="17"/>
      <x:c r="I165" s="17"/>
      <x:c r="J165" s="17"/>
      <x:c r="K165" s="30"/>
      <x:c r="L165" s="33"/>
    </x:row>
    <x:row r="166">
      <x:c r="A166" s="3"/>
      <x:c r="B166" s="17"/>
      <x:c r="C166" s="17"/>
      <x:c r="D166" s="17"/>
      <x:c r="E166" s="42"/>
      <x:c r="F166" s="17"/>
      <x:c r="G166" s="17"/>
      <x:c r="H166" s="17"/>
      <x:c r="I166" s="17"/>
      <x:c r="J166" s="17"/>
      <x:c r="K166" s="30"/>
      <x:c r="L166" s="33"/>
    </x:row>
    <x:row r="167">
      <x:c r="A167" s="3"/>
      <x:c r="B167" s="17"/>
      <x:c r="C167" s="17"/>
      <x:c r="D167" s="17"/>
      <x:c r="E167" s="42"/>
      <x:c r="F167" s="17"/>
      <x:c r="G167" s="17"/>
      <x:c r="H167" s="17"/>
      <x:c r="I167" s="17"/>
      <x:c r="J167" s="17"/>
      <x:c r="K167" s="30"/>
      <x:c r="L167" s="33"/>
    </x:row>
    <x:row r="168">
      <x:c r="A168" s="3"/>
      <x:c r="B168" s="17"/>
      <x:c r="C168" s="17"/>
      <x:c r="D168" s="17"/>
      <x:c r="E168" s="42"/>
      <x:c r="F168" s="17"/>
      <x:c r="G168" s="17"/>
      <x:c r="H168" s="17"/>
      <x:c r="I168" s="17"/>
      <x:c r="J168" s="17"/>
      <x:c r="K168" s="30"/>
      <x:c r="L168" s="33"/>
    </x:row>
    <x:row r="169">
      <x:c r="A169" s="3"/>
      <x:c r="B169" s="17"/>
      <x:c r="C169" s="17"/>
      <x:c r="D169" s="17"/>
      <x:c r="E169" s="42"/>
      <x:c r="F169" s="17"/>
      <x:c r="G169" s="17"/>
      <x:c r="H169" s="17"/>
      <x:c r="I169" s="17"/>
      <x:c r="J169" s="17"/>
      <x:c r="K169" s="30"/>
      <x:c r="L169" s="33"/>
    </x:row>
    <x:row r="170">
      <x:c r="A170" s="3"/>
      <x:c r="B170" s="17"/>
      <x:c r="C170" s="17"/>
      <x:c r="D170" s="17"/>
      <x:c r="E170" s="42"/>
      <x:c r="F170" s="17"/>
      <x:c r="G170" s="17"/>
      <x:c r="H170" s="17"/>
      <x:c r="I170" s="17"/>
      <x:c r="J170" s="17"/>
      <x:c r="K170" s="30"/>
      <x:c r="L170" s="33"/>
    </x:row>
    <x:row r="171">
      <x:c r="A171" s="3"/>
      <x:c r="B171" s="17"/>
      <x:c r="C171" s="17"/>
      <x:c r="D171" s="17"/>
      <x:c r="E171" s="42"/>
      <x:c r="F171" s="17"/>
      <x:c r="G171" s="17"/>
      <x:c r="H171" s="17"/>
      <x:c r="I171" s="17"/>
      <x:c r="J171" s="17"/>
      <x:c r="K171" s="30"/>
      <x:c r="L171" s="33"/>
    </x:row>
    <x:row r="172">
      <x:c r="A172" s="3"/>
      <x:c r="B172" s="17"/>
      <x:c r="C172" s="17"/>
      <x:c r="D172" s="17"/>
      <x:c r="E172" s="42"/>
      <x:c r="F172" s="17"/>
      <x:c r="G172" s="17"/>
      <x:c r="H172" s="17"/>
      <x:c r="I172" s="17"/>
      <x:c r="J172" s="17"/>
      <x:c r="K172" s="30"/>
      <x:c r="L172" s="33"/>
    </x:row>
    <x:row r="173">
      <x:c r="A173" s="3"/>
      <x:c r="B173" s="17"/>
      <x:c r="C173" s="17"/>
      <x:c r="D173" s="17"/>
      <x:c r="E173" s="42"/>
      <x:c r="F173" s="17"/>
      <x:c r="G173" s="17"/>
      <x:c r="H173" s="17"/>
      <x:c r="I173" s="17"/>
      <x:c r="J173" s="17"/>
      <x:c r="K173" s="30"/>
      <x:c r="L173" s="33"/>
    </x:row>
    <x:row r="174">
      <x:c r="A174" s="3"/>
      <x:c r="B174" s="17"/>
      <x:c r="C174" s="17"/>
      <x:c r="D174" s="17"/>
      <x:c r="E174" s="42"/>
      <x:c r="F174" s="17"/>
      <x:c r="G174" s="17"/>
      <x:c r="H174" s="17"/>
      <x:c r="I174" s="17"/>
      <x:c r="J174" s="17"/>
      <x:c r="K174" s="30"/>
      <x:c r="L174" s="33"/>
    </x:row>
    <x:row r="175">
      <x:c r="A175" s="3"/>
      <x:c r="B175" s="17"/>
      <x:c r="C175" s="17"/>
      <x:c r="D175" s="17"/>
      <x:c r="E175" s="42"/>
      <x:c r="F175" s="17"/>
      <x:c r="G175" s="17"/>
      <x:c r="H175" s="17"/>
      <x:c r="I175" s="17"/>
      <x:c r="J175" s="17"/>
      <x:c r="K175" s="30"/>
      <x:c r="L175" s="33"/>
    </x:row>
    <x:row r="176">
      <x:c r="A176" s="3"/>
      <x:c r="B176" s="17"/>
      <x:c r="C176" s="17"/>
      <x:c r="D176" s="17"/>
      <x:c r="E176" s="42"/>
      <x:c r="F176" s="17"/>
      <x:c r="G176" s="17"/>
      <x:c r="H176" s="17"/>
      <x:c r="I176" s="17"/>
      <x:c r="J176" s="17"/>
      <x:c r="K176" s="30"/>
      <x:c r="L176" s="33"/>
    </x:row>
    <x:row r="177">
      <x:c r="A177" s="3"/>
      <x:c r="B177" s="17"/>
      <x:c r="C177" s="17"/>
      <x:c r="D177" s="17"/>
      <x:c r="E177" s="42"/>
      <x:c r="F177" s="17"/>
      <x:c r="G177" s="17"/>
      <x:c r="H177" s="17"/>
      <x:c r="I177" s="17"/>
      <x:c r="J177" s="17"/>
      <x:c r="K177" s="30"/>
      <x:c r="L177" s="33"/>
    </x:row>
    <x:row r="178">
      <x:c r="A178" s="3"/>
      <x:c r="B178" s="17"/>
      <x:c r="C178" s="17"/>
      <x:c r="D178" s="17"/>
      <x:c r="E178" s="42"/>
      <x:c r="F178" s="17"/>
      <x:c r="G178" s="17"/>
      <x:c r="H178" s="17"/>
      <x:c r="I178" s="17"/>
      <x:c r="J178" s="17"/>
      <x:c r="K178" s="30"/>
      <x:c r="L178" s="33"/>
    </x:row>
    <x:row r="179">
      <x:c r="A179" s="3"/>
      <x:c r="B179" s="17"/>
      <x:c r="C179" s="17"/>
      <x:c r="D179" s="17"/>
      <x:c r="E179" s="42"/>
      <x:c r="F179" s="17"/>
      <x:c r="G179" s="17"/>
      <x:c r="H179" s="17"/>
      <x:c r="I179" s="17"/>
      <x:c r="J179" s="17"/>
      <x:c r="K179" s="30"/>
      <x:c r="L179" s="33"/>
    </x:row>
    <x:row r="180">
      <x:c r="A180" s="3"/>
      <x:c r="B180" s="17"/>
      <x:c r="C180" s="17"/>
      <x:c r="D180" s="17"/>
      <x:c r="E180" s="42"/>
      <x:c r="F180" s="17"/>
      <x:c r="G180" s="17"/>
      <x:c r="H180" s="17"/>
      <x:c r="I180" s="17"/>
      <x:c r="J180" s="17"/>
      <x:c r="K180" s="30"/>
      <x:c r="L180" s="33"/>
    </x:row>
    <x:row r="181">
      <x:c r="A181" s="3"/>
      <x:c r="B181" s="17"/>
      <x:c r="C181" s="17"/>
      <x:c r="D181" s="17"/>
      <x:c r="E181" s="42"/>
      <x:c r="F181" s="17"/>
      <x:c r="G181" s="17"/>
      <x:c r="H181" s="17"/>
      <x:c r="I181" s="17"/>
      <x:c r="J181" s="17"/>
      <x:c r="K181" s="30"/>
      <x:c r="L181" s="33"/>
    </x:row>
    <x:row r="182">
      <x:c r="A182" s="3"/>
      <x:c r="B182" s="17"/>
      <x:c r="C182" s="17"/>
      <x:c r="D182" s="17"/>
      <x:c r="E182" s="42"/>
      <x:c r="F182" s="17"/>
      <x:c r="G182" s="17"/>
      <x:c r="H182" s="17"/>
      <x:c r="I182" s="17"/>
      <x:c r="J182" s="17"/>
      <x:c r="K182" s="30"/>
      <x:c r="L182" s="33"/>
    </x:row>
    <x:row r="183">
      <x:c r="A183" s="3"/>
      <x:c r="B183" s="17"/>
      <x:c r="C183" s="17"/>
      <x:c r="D183" s="17"/>
      <x:c r="E183" s="42"/>
      <x:c r="F183" s="17"/>
      <x:c r="G183" s="17"/>
      <x:c r="H183" s="17"/>
      <x:c r="I183" s="17"/>
      <x:c r="J183" s="17"/>
      <x:c r="K183" s="30"/>
      <x:c r="L183" s="33"/>
    </x:row>
    <x:row r="184">
      <x:c r="A184" s="3"/>
      <x:c r="B184" s="17"/>
      <x:c r="C184" s="17"/>
      <x:c r="D184" s="17"/>
      <x:c r="E184" s="42"/>
      <x:c r="F184" s="17"/>
      <x:c r="G184" s="17"/>
      <x:c r="H184" s="17"/>
      <x:c r="I184" s="17"/>
      <x:c r="J184" s="17"/>
      <x:c r="K184" s="30"/>
      <x:c r="L184" s="33"/>
    </x:row>
    <x:row r="185">
      <x:c r="A185" s="3"/>
      <x:c r="B185" s="17"/>
      <x:c r="C185" s="17"/>
      <x:c r="D185" s="17"/>
      <x:c r="E185" s="42"/>
      <x:c r="F185" s="17"/>
      <x:c r="G185" s="17"/>
      <x:c r="H185" s="17"/>
      <x:c r="I185" s="17"/>
      <x:c r="J185" s="17"/>
      <x:c r="K185" s="30"/>
      <x:c r="L185" s="33"/>
    </x:row>
    <x:row r="186">
      <x:c r="A186" s="3"/>
      <x:c r="B186" s="17"/>
      <x:c r="C186" s="17"/>
      <x:c r="D186" s="17"/>
      <x:c r="E186" s="42"/>
      <x:c r="F186" s="17"/>
      <x:c r="G186" s="17"/>
      <x:c r="H186" s="17"/>
      <x:c r="I186" s="17"/>
      <x:c r="J186" s="17"/>
      <x:c r="K186" s="30"/>
      <x:c r="L186" s="33"/>
    </x:row>
    <x:row r="187">
      <x:c r="A187" s="3"/>
      <x:c r="B187" s="17"/>
      <x:c r="C187" s="17"/>
      <x:c r="D187" s="17"/>
      <x:c r="E187" s="42"/>
      <x:c r="F187" s="17"/>
      <x:c r="G187" s="17"/>
      <x:c r="H187" s="17"/>
      <x:c r="I187" s="17"/>
      <x:c r="J187" s="17"/>
      <x:c r="K187" s="30"/>
      <x:c r="L187" s="33"/>
    </x:row>
    <x:row r="188">
      <x:c r="A188" s="3"/>
      <x:c r="B188" s="17"/>
      <x:c r="C188" s="17"/>
      <x:c r="D188" s="17"/>
      <x:c r="E188" s="42"/>
      <x:c r="F188" s="17"/>
      <x:c r="G188" s="17"/>
      <x:c r="H188" s="17"/>
      <x:c r="I188" s="17"/>
      <x:c r="J188" s="17"/>
      <x:c r="K188" s="30"/>
      <x:c r="L188" s="33"/>
    </x:row>
    <x:row r="189">
      <x:c r="A189" s="3"/>
      <x:c r="B189" s="17"/>
      <x:c r="C189" s="17"/>
      <x:c r="D189" s="17"/>
      <x:c r="E189" s="42"/>
      <x:c r="F189" s="17"/>
      <x:c r="G189" s="17"/>
      <x:c r="H189" s="17"/>
      <x:c r="I189" s="17"/>
      <x:c r="J189" s="17"/>
      <x:c r="K189" s="30"/>
      <x:c r="L189" s="33"/>
    </x:row>
    <x:row r="190">
      <x:c r="A190" s="3"/>
      <x:c r="B190" s="17"/>
      <x:c r="C190" s="17"/>
      <x:c r="D190" s="17"/>
      <x:c r="E190" s="42"/>
      <x:c r="F190" s="17"/>
      <x:c r="G190" s="17"/>
      <x:c r="H190" s="17"/>
      <x:c r="I190" s="17"/>
      <x:c r="J190" s="17"/>
      <x:c r="K190" s="30"/>
      <x:c r="L190" s="33"/>
    </x:row>
    <x:row r="191">
      <x:c r="A191" s="3"/>
      <x:c r="B191" s="17"/>
      <x:c r="C191" s="17"/>
      <x:c r="D191" s="17"/>
      <x:c r="E191" s="42"/>
      <x:c r="F191" s="17"/>
      <x:c r="G191" s="17"/>
      <x:c r="H191" s="17"/>
      <x:c r="I191" s="17"/>
      <x:c r="J191" s="17"/>
      <x:c r="K191" s="30"/>
      <x:c r="L191" s="33"/>
    </x:row>
    <x:row r="192">
      <x:c r="A192" s="3"/>
      <x:c r="B192" s="17"/>
      <x:c r="C192" s="17"/>
      <x:c r="D192" s="17"/>
      <x:c r="E192" s="42"/>
      <x:c r="F192" s="17"/>
      <x:c r="G192" s="17"/>
      <x:c r="H192" s="17"/>
      <x:c r="I192" s="17"/>
      <x:c r="J192" s="17"/>
      <x:c r="K192" s="30"/>
      <x:c r="L192" s="33"/>
    </x:row>
    <x:row r="193">
      <x:c r="A193" s="3"/>
      <x:c r="B193" s="17"/>
      <x:c r="C193" s="17"/>
      <x:c r="D193" s="17"/>
      <x:c r="E193" s="42"/>
      <x:c r="F193" s="17"/>
      <x:c r="G193" s="17"/>
      <x:c r="H193" s="17"/>
      <x:c r="I193" s="17"/>
      <x:c r="J193" s="17"/>
      <x:c r="K193" s="30"/>
      <x:c r="L193" s="33"/>
    </x:row>
    <x:row r="194">
      <x:c r="A194" s="3"/>
      <x:c r="B194" s="17"/>
      <x:c r="C194" s="17"/>
      <x:c r="D194" s="17"/>
      <x:c r="E194" s="42"/>
      <x:c r="F194" s="17"/>
      <x:c r="G194" s="17"/>
      <x:c r="H194" s="17"/>
      <x:c r="I194" s="17"/>
      <x:c r="J194" s="17"/>
      <x:c r="K194" s="30"/>
      <x:c r="L194" s="33"/>
    </x:row>
    <x:row r="195">
      <x:c r="A195" s="3"/>
      <x:c r="B195" s="17"/>
      <x:c r="C195" s="17"/>
      <x:c r="D195" s="17"/>
      <x:c r="E195" s="42"/>
      <x:c r="F195" s="17"/>
      <x:c r="G195" s="17"/>
      <x:c r="H195" s="17"/>
      <x:c r="I195" s="17"/>
      <x:c r="J195" s="17"/>
      <x:c r="K195" s="30"/>
      <x:c r="L195" s="33"/>
    </x:row>
    <x:row r="196">
      <x:c r="A196" s="3"/>
      <x:c r="B196" s="17"/>
      <x:c r="C196" s="17"/>
      <x:c r="D196" s="17"/>
      <x:c r="E196" s="42"/>
      <x:c r="F196" s="17"/>
      <x:c r="G196" s="17"/>
      <x:c r="H196" s="17"/>
      <x:c r="I196" s="17"/>
      <x:c r="J196" s="17"/>
      <x:c r="K196" s="30"/>
      <x:c r="L196" s="33"/>
    </x:row>
    <x:row r="197">
      <x:c r="A197" s="3"/>
      <x:c r="B197" s="17"/>
      <x:c r="C197" s="17"/>
      <x:c r="D197" s="17"/>
      <x:c r="E197" s="42"/>
      <x:c r="F197" s="17"/>
      <x:c r="G197" s="17"/>
      <x:c r="H197" s="17"/>
      <x:c r="I197" s="17"/>
      <x:c r="J197" s="17"/>
      <x:c r="K197" s="30"/>
      <x:c r="L197" s="33"/>
    </x:row>
    <x:row r="198">
      <x:c r="A198" s="3"/>
      <x:c r="B198" s="17"/>
      <x:c r="C198" s="17"/>
      <x:c r="D198" s="17"/>
      <x:c r="E198" s="42"/>
      <x:c r="F198" s="17"/>
      <x:c r="G198" s="17"/>
      <x:c r="H198" s="17"/>
      <x:c r="I198" s="17"/>
      <x:c r="J198" s="17"/>
      <x:c r="K198" s="30"/>
      <x:c r="L198" s="33"/>
    </x:row>
    <x:row r="199">
      <x:c r="A199" s="3"/>
      <x:c r="B199" s="17"/>
      <x:c r="C199" s="17"/>
      <x:c r="D199" s="17"/>
      <x:c r="E199" s="42"/>
      <x:c r="F199" s="17"/>
      <x:c r="G199" s="17"/>
      <x:c r="H199" s="17"/>
      <x:c r="I199" s="17"/>
      <x:c r="J199" s="17"/>
      <x:c r="K199" s="30"/>
      <x:c r="L199" s="33"/>
    </x:row>
    <x:row r="200">
      <x:c r="A200" s="3"/>
      <x:c r="B200" s="17"/>
      <x:c r="C200" s="17"/>
      <x:c r="D200" s="17"/>
      <x:c r="E200" s="42"/>
      <x:c r="F200" s="17"/>
      <x:c r="G200" s="17"/>
      <x:c r="H200" s="17"/>
      <x:c r="I200" s="17"/>
      <x:c r="J200" s="17"/>
      <x:c r="K200" s="30"/>
      <x:c r="L200" s="33"/>
    </x:row>
    <x:row r="201">
      <x:c r="A201" s="3"/>
      <x:c r="B201" s="17"/>
      <x:c r="C201" s="17"/>
      <x:c r="D201" s="17"/>
      <x:c r="E201" s="42"/>
      <x:c r="F201" s="17"/>
      <x:c r="G201" s="17"/>
      <x:c r="H201" s="17"/>
      <x:c r="I201" s="17"/>
      <x:c r="J201" s="17"/>
      <x:c r="K201" s="30"/>
      <x:c r="L201" s="33"/>
    </x:row>
    <x:row r="202">
      <x:c r="A202" s="3"/>
      <x:c r="B202" s="17"/>
      <x:c r="C202" s="17"/>
      <x:c r="D202" s="17"/>
      <x:c r="E202" s="42"/>
      <x:c r="F202" s="17"/>
      <x:c r="G202" s="17"/>
      <x:c r="H202" s="17"/>
      <x:c r="I202" s="17"/>
      <x:c r="J202" s="17"/>
      <x:c r="K202" s="30"/>
      <x:c r="L202" s="33"/>
    </x:row>
    <x:row r="203">
      <x:c r="A203" s="3"/>
      <x:c r="B203" s="17"/>
      <x:c r="C203" s="17"/>
      <x:c r="D203" s="17"/>
      <x:c r="E203" s="42"/>
      <x:c r="F203" s="17"/>
      <x:c r="G203" s="17"/>
      <x:c r="H203" s="17"/>
      <x:c r="I203" s="17"/>
      <x:c r="J203" s="17"/>
      <x:c r="K203" s="30"/>
      <x:c r="L203" s="33"/>
    </x:row>
    <x:row r="204">
      <x:c r="A204" s="3"/>
      <x:c r="B204" s="17"/>
      <x:c r="C204" s="17"/>
      <x:c r="D204" s="17"/>
      <x:c r="E204" s="42"/>
      <x:c r="F204" s="17"/>
      <x:c r="G204" s="17"/>
      <x:c r="H204" s="17"/>
      <x:c r="I204" s="17"/>
      <x:c r="J204" s="17"/>
      <x:c r="K204" s="30"/>
      <x:c r="L204" s="33"/>
    </x:row>
  </x:sheetData>
  <x:mergeCells>
    <x:mergeCell ref="A1:L1"/>
    <x:mergeCell ref="A2:L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24" customWidth="1"/>
    <x:col min="2" max="3" width="12" customWidth="1"/>
    <x:col min="4" max="4" width="24" customWidth="1"/>
    <x:col min="5" max="5" width="48" customWidth="1"/>
  </x:cols>
  <x:sheetData>
    <x:row r="1" ht="34.04999923706055" customHeight="1">
      <x:c r="A1" s="1" t="s">
        <x:v>67</x:v>
      </x:c>
      <x:c r="B1" s="1"/>
      <x:c r="C1" s="1"/>
      <x:c r="D1" s="1"/>
      <x:c r="E1" s="1"/>
    </x:row>
    <x:row r="2" ht="32" customHeight="1">
      <x:c r="A2" s="2" t="s">
        <x:v>1493</x:v>
      </x:c>
      <x:c r="B2" s="2"/>
      <x:c r="C2" s="2"/>
      <x:c r="D2" s="2"/>
      <x:c r="E2" s="2"/>
    </x:row>
    <x:row r="3">
      <x:c r="A3" s="3"/>
      <x:c r="B3" s="3"/>
      <x:c r="C3" s="3"/>
      <x:c r="D3" s="3"/>
      <x:c r="E3" s="3"/>
    </x:row>
    <x:row r="4" ht="34.04999923706055" customHeight="1">
      <x:c r="A4" s="4" t="s">
        <x:v>69</x:v>
      </x:c>
      <x:c r="B4" s="4" t="s">
        <x:v>1494</x:v>
      </x:c>
      <x:c r="C4" s="4" t="s">
        <x:v>143</x:v>
      </x:c>
      <x:c r="D4" s="4" t="s">
        <x:v>1495</x:v>
      </x:c>
      <x:c r="E4" s="4" t="s">
        <x:v>93</x:v>
      </x:c>
    </x:row>
    <x:row r="5">
      <x:c r="A5" s="3" t="s">
        <x:v>1496</x:v>
      </x:c>
      <x:c r="B5" s="33">
        <x:v>0</x:v>
      </x:c>
      <x:c r="C5" s="33" t="s">
        <x:v>1497</x:v>
      </x:c>
      <x:c r="D5" s="3" t="s">
        <x:v>1498</x:v>
      </x:c>
      <x:c r="E5" s="17" t="s">
        <x:v>1499</x:v>
      </x:c>
    </x:row>
    <x:row r="6">
      <x:c r="A6" s="3" t="s">
        <x:v>1500</x:v>
      </x:c>
      <x:c r="B6" s="33">
        <x:v>1</x:v>
      </x:c>
      <x:c r="C6" s="33" t="s">
        <x:v>108</x:v>
      </x:c>
      <x:c r="D6" s="3" t="s">
        <x:v>1501</x:v>
      </x:c>
      <x:c r="E6" s="17" t="s">
        <x:v>1502</x:v>
      </x:c>
    </x:row>
    <x:row r="7">
      <x:c r="A7" s="3" t="s">
        <x:v>1503</x:v>
      </x:c>
      <x:c r="B7" s="33">
        <x:v>0</x:v>
      </x:c>
      <x:c r="C7" s="33" t="s">
        <x:v>1497</x:v>
      </x:c>
      <x:c r="D7" s="3" t="s">
        <x:v>1504</x:v>
      </x:c>
      <x:c r="E7" s="17" t="s">
        <x:v>1505</x:v>
      </x:c>
    </x:row>
    <x:row r="8">
      <x:c r="A8" s="3"/>
      <x:c r="B8" s="33"/>
      <x:c r="C8" s="33"/>
      <x:c r="D8" s="3"/>
      <x:c r="E8" s="17"/>
    </x:row>
    <x:row r="9">
      <x:c r="A9" s="3"/>
      <x:c r="B9" s="33"/>
      <x:c r="C9" s="33"/>
      <x:c r="D9" s="3"/>
      <x:c r="E9" s="17"/>
    </x:row>
    <x:row r="10">
      <x:c r="A10" s="3"/>
      <x:c r="B10" s="33"/>
      <x:c r="C10" s="33"/>
      <x:c r="D10" s="3"/>
      <x:c r="E10" s="17"/>
    </x:row>
    <x:row r="11">
      <x:c r="A11" s="3"/>
      <x:c r="B11" s="33"/>
      <x:c r="C11" s="33"/>
      <x:c r="D11" s="3"/>
      <x:c r="E11" s="17"/>
    </x:row>
    <x:row r="12">
      <x:c r="A12" s="3"/>
      <x:c r="B12" s="33"/>
      <x:c r="C12" s="33"/>
      <x:c r="D12" s="3"/>
      <x:c r="E12" s="17"/>
    </x:row>
    <x:row r="13">
      <x:c r="A13" s="3"/>
      <x:c r="B13" s="33"/>
      <x:c r="C13" s="33"/>
      <x:c r="D13" s="3"/>
      <x:c r="E13" s="17"/>
    </x:row>
    <x:row r="14">
      <x:c r="A14" s="3"/>
      <x:c r="B14" s="33"/>
      <x:c r="C14" s="33"/>
      <x:c r="D14" s="3"/>
      <x:c r="E14" s="17"/>
    </x:row>
    <x:row r="15">
      <x:c r="A15" s="3"/>
      <x:c r="B15" s="33"/>
      <x:c r="C15" s="33"/>
      <x:c r="D15" s="3"/>
      <x:c r="E15" s="17"/>
    </x:row>
    <x:row r="16">
      <x:c r="A16" s="3"/>
      <x:c r="B16" s="3"/>
      <x:c r="C16" s="3"/>
      <x:c r="D16" s="3"/>
      <x:c r="E16" s="3"/>
    </x:row>
    <x:row r="17" ht="13.899999618530273" customHeight="1">
      <x:c r="A17" s="43"/>
      <x:c r="B17" s="44"/>
      <x:c r="C17" s="3"/>
      <x:c r="D17" s="3"/>
      <x:c r="E17" s="3"/>
    </x:row>
  </x:sheetData>
  <x:mergeCells>
    <x:mergeCell ref="A1:E1"/>
    <x:mergeCell ref="A2:E2"/>
  </x:mergeCells>
  <x:conditionalFormatting sqref="B17:B17">
    <x:cfRule type="containsText" dxfId="5" priority="4">
      <x:formula>NOT(ISERROR(SEARCH("undefined",B17)))</x:formula>
    </x:cfRule>
    <x:cfRule type="containsText" dxfId="6" priority="5">
      <x:formula>NOT(ISERROR(SEARCH("undefined",B17)))</x:formula>
    </x:cfRule>
    <x:cfRule type="containsText" dxfId="7" priority="6">
      <x:formula>NOT(ISERROR(SEARCH("undefined",B17)))</x:formula>
    </x:cfRule>
  </x:conditionalFormatting>
  <x:conditionalFormatting sqref="C5:C15">
    <x:cfRule type="containsText" dxfId="8" priority="1">
      <x:formula>NOT(ISERROR(SEARCH("undefined",C5)))</x:formula>
    </x:cfRule>
    <x:cfRule type="containsText" dxfId="9" priority="2">
      <x:formula>NOT(ISERROR(SEARCH("undefined",C5)))</x:formula>
    </x:cfRule>
    <x:cfRule type="containsText" dxfId="10" priority="3">
      <x:formula>NOT(ISERROR(SEARCH("undefined",C5)))</x:formula>
    </x:cfRule>
  </x:conditionalFormatting>
  <x:pageMargins left="0.7" right="0.7" top="0.75" bottom="0.75" header="0.3" footer="0.3"/>
</x:worksheet>
</file>