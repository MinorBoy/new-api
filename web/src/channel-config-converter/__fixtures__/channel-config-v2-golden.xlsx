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" sheetId="1" r:id="R0000000000000006"/>
    <x:sheet xmlns:r="http://schemas.openxmlformats.org/officeDocument/2006/relationships" name="渠道线路" sheetId="2" r:id="R0000000000000007"/>
    <x:sheet xmlns:r="http://schemas.openxmlformats.org/officeDocument/2006/relationships" name="模型SKU" sheetId="3" r:id="R0000000000000008"/>
    <x:sheet xmlns:r="http://schemas.openxmlformats.org/officeDocument/2006/relationships" name="官方售价" sheetId="4" r:id="R0000000000000009"/>
    <x:sheet xmlns:r="http://schemas.openxmlformats.org/officeDocument/2006/relationships" name="渠道成本" sheetId="5" r:id="R0000000000000010"/>
    <x:sheet xmlns:r="http://schemas.openxmlformats.org/officeDocument/2006/relationships" name="路由目标" sheetId="6" r:id="R0000000000000011"/>
    <x:sheet xmlns:r="http://schemas.openxmlformats.org/officeDocument/2006/relationships" name="模型映射" sheetId="7" r:id="R0000000000000012"/>
    <x:sheet xmlns:r="http://schemas.openxmlformats.org/officeDocument/2006/relationships" name="来源" sheetId="8" r:id="R0000000000000013"/>
    <x:sheet xmlns:r="http://schemas.openxmlformats.org/officeDocument/2006/relationships" name="利润测算" sheetId="9" r:id="R0000000000000014"/>
    <x:sheet xmlns:r="http://schemas.openxmlformats.org/officeDocument/2006/relationships" name="校验" sheetId="10" r:id="R0000000000000015"/>
  </x:sheets>
</x:workbook>
</file>

<file path=xl/comments1.xml><?xml version="1.0" encoding="utf-8"?>
<x:comments xmlns:x="http://schemas.openxmlformats.org/spreadsheetml/2006/main">
  <x:authors>
    <x:author>tc={00000000-0000-0000-0000-000000000002}</x:author>
  </x:authors>
  <x:commentList>
    <x:comment ref="P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由原币价格、汇率、倍率、折扣、充值比例和手续费公式计算；导入服务会重新计算。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tc={00000000-0000-0000-0000-000000000003}</x:author>
  </x:authors>
  <x:commentList>
    <x:comment ref="E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利润测算仅用于预览，不作为发布时的权威价格。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tc={00000000-0000-0000-0000-000000000004}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错误数由公式生成；发布前应为零。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"/>
    <x:numFmt numFmtId="202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17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1E6A8A"/>
      </x:patternFill>
    </x:fill>
  </x:fills>
  <x:borders count="4">
    <x:border/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microsoft.com/office/2022/11/relationships/FeaturePropertyBag" Target="/xl/featurePropertyBag/featurePropertyBag.xml" Id="R0000000000000004" /><Relationship Type="http://schemas.openxmlformats.org/officeDocument/2006/relationships/sharedStrings" Target="/xl/sharedStrings.xml" Id="R0000000000000005" /><Relationship Type="http://schemas.openxmlformats.org/officeDocument/2006/relationships/worksheet" Target="/xl/worksheets/sheet1.xml" Id="R0000000000000006" /><Relationship Type="http://schemas.openxmlformats.org/officeDocument/2006/relationships/worksheet" Target="/xl/worksheets/sheet2.xml" Id="R0000000000000007" /><Relationship Type="http://schemas.openxmlformats.org/officeDocument/2006/relationships/worksheet" Target="/xl/worksheets/sheet3.xml" Id="R0000000000000008" /><Relationship Type="http://schemas.openxmlformats.org/officeDocument/2006/relationships/worksheet" Target="/xl/worksheets/sheet4.xml" Id="R0000000000000009" /><Relationship Type="http://schemas.openxmlformats.org/officeDocument/2006/relationships/worksheet" Target="/xl/worksheets/sheet5.xml" Id="R0000000000000010" /><Relationship Type="http://schemas.openxmlformats.org/officeDocument/2006/relationships/worksheet" Target="/xl/worksheets/sheet6.xml" Id="R0000000000000011" /><Relationship Type="http://schemas.openxmlformats.org/officeDocument/2006/relationships/worksheet" Target="/xl/worksheets/sheet7.xml" Id="R0000000000000012" /><Relationship Type="http://schemas.openxmlformats.org/officeDocument/2006/relationships/worksheet" Target="/xl/worksheets/sheet8.xml" Id="R0000000000000013" /><Relationship Type="http://schemas.openxmlformats.org/officeDocument/2006/relationships/worksheet" Target="/xl/worksheets/sheet9.xml" Id="R0000000000000014" /><Relationship Type="http://schemas.openxmlformats.org/officeDocument/2006/relationships/worksheet" Target="/xl/worksheets/sheet10.xml" Id="R0000000000000015" /><Relationship Type="http://schemas.microsoft.com/office/2017/10/relationships/person" Target="/xl/persons/person.xml" Id="R00000000000000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00000000-0000-0000-0000-000000000001}"/>
</xltc:personList>
</file>

<file path=xl/tables/table1.xml><?xml version="1.0" encoding="utf-8"?>
<x:table xmlns:x="http://schemas.openxmlformats.org/spreadsheetml/2006/main" id="1" name="V2Channels" displayName="V2Channels" ref="A4:I13" headerRowCount="1" totalsRowCount="0" totalsRowShown="0">
  <x:tableColumns count="9">
    <x:tableColumn id="1" name="channel_ref"/>
    <x:tableColumn id="2" name="display_name"/>
    <x:tableColumn id="3" name="currency"/>
    <x:tableColumn id="4" name="recharge_ratio"/>
    <x:tableColumn id="5" name="fee_rate"/>
    <x:tableColumn id="6" name="billing_multiplier"/>
    <x:tableColumn id="7" name="status_proposal"/>
    <x:tableColumn id="8" name="source_ref"/>
    <x:tableColumn id="9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2ChannelLines" displayName="V2ChannelLines" ref="A4:J16" headerRowCount="1" totalsRowCount="0" totalsRowShown="0">
  <x:tableColumns count="10">
    <x:tableColumn id="1" name="line_ref"/>
    <x:tableColumn id="2" name="channel_ref"/>
    <x:tableColumn id="3" name="display_name"/>
    <x:tableColumn id="4" name="provider_type_hint"/>
    <x:tableColumn id="5" name="region"/>
    <x:tableColumn id="6" name="protocol"/>
    <x:tableColumn id="7" name="supports_real_person"/>
    <x:tableColumn id="8" name="status_proposal"/>
    <x:tableColumn id="9" name="source_ref"/>
    <x:tableColumn id="10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2ModelSKUs" displayName="V2ModelSKUs" ref="A4:I13" headerRowCount="1" totalsRowCount="0" totalsRowShown="0">
  <x:tableColumns count="9">
    <x:tableColumn id="1" name="sku_ref"/>
    <x:tableColumn id="2" name="canonical_model"/>
    <x:tableColumn id="3" name="resolution"/>
    <x:tableColumn id="4" name="output_width"/>
    <x:tableColumn id="5" name="output_height"/>
    <x:tableColumn id="6" name="frame_rate"/>
    <x:tableColumn id="7" name="duration_min"/>
    <x:tableColumn id="8" name="duration_max"/>
    <x:tableColumn id="9" name="source_re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2SaleProposals" displayName="V2SaleProposals" ref="A4:I20" headerRowCount="1" totalsRowCount="0" totalsRowShown="0">
  <x:tableColumns count="9">
    <x:tableColumn id="1" name="sale_ref"/>
    <x:tableColumn id="2" name="client_model"/>
    <x:tableColumn id="3" name="sku_ref"/>
    <x:tableColumn id="4" name="scenario"/>
    <x:tableColumn id="5" name="billing_mode"/>
    <x:tableColumn id="6" name="currency"/>
    <x:tableColumn id="7" name="native_unit_price"/>
    <x:tableColumn id="8" name="status_proposal"/>
    <x:tableColumn id="9" name="source_re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2CostRules" displayName="V2CostRules" ref="A4:S108" headerRowCount="1" totalsRowCount="0" totalsRowShown="0">
  <x:tableColumns count="19">
    <x:tableColumn id="1" name="cost_rule_ref"/>
    <x:tableColumn id="2" name="line_ref"/>
    <x:tableColumn id="3" name="upstream_model"/>
    <x:tableColumn id="4" name="sku_ref"/>
    <x:tableColumn id="5" name="scenario"/>
    <x:tableColumn id="6" name="cost_mode"/>
    <x:tableColumn id="7" name="cost_variant_key"/>
    <x:tableColumn id="8" name="route_target_ref"/>
    <x:tableColumn id="9" name="currency"/>
    <x:tableColumn id="10" name="currency_to_usd_rate"/>
    <x:tableColumn id="11" name="billing_multiplier"/>
    <x:tableColumn id="12" name="purchase_discount_ratio"/>
    <x:tableColumn id="13" name="recharge_exchange_ratio"/>
    <x:tableColumn id="14" name="fee_rate"/>
    <x:tableColumn id="15" name="native_unit_price"/>
    <x:tableColumn id="16" name="normalized_usd_unit_price"/>
    <x:tableColumn id="17" name="status_proposal"/>
    <x:tableColumn id="18" name="source_ref"/>
    <x:tableColumn id="19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2RouteTargets" displayName="V2RouteTargets" ref="A4:N108" headerRowCount="1" totalsRowCount="0" totalsRowShown="0">
  <x:tableColumns count="14">
    <x:tableColumn id="1" name="route_target_ref"/>
    <x:tableColumn id="2" name="canonical_model"/>
    <x:tableColumn id="3" name="client_model"/>
    <x:tableColumn id="4" name="merge_mode"/>
    <x:tableColumn id="5" name="line_ref"/>
    <x:tableColumn id="6" name="upstream_model"/>
    <x:tableColumn id="7" name="sku_ref"/>
    <x:tableColumn id="8" name="cost_variant_key"/>
    <x:tableColumn id="9" name="output_resolutions"/>
    <x:tableColumn id="10" name="duration_min"/>
    <x:tableColumn id="11" name="duration_max"/>
    <x:tableColumn id="12" name="supports_real_person"/>
    <x:tableColumn id="13" name="priority"/>
    <x:tableColumn id="14" name="enabl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2ModelMappings" displayName="V2ModelMappings" ref="A4:H108" headerRowCount="1" totalsRowCount="0" totalsRowShown="0">
  <x:tableColumns count="8">
    <x:tableColumn id="1" name="mapping_ref"/>
    <x:tableColumn id="2" name="client_model"/>
    <x:tableColumn id="3" name="line_ref"/>
    <x:tableColumn id="4" name="upstream_model"/>
    <x:tableColumn id="5" name="sku_ref"/>
    <x:tableColumn id="6" name="route_target_ref"/>
    <x:tableColumn id="7" name="source_ref"/>
    <x:tableColumn id="8" name="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2Sources" displayName="V2Sources" ref="A4:E17" headerRowCount="1" totalsRowCount="0" totalsRowShown="0">
  <x:tableColumns count="5">
    <x:tableColumn id="1" name="source_ref"/>
    <x:tableColumn id="2" name="name"/>
    <x:tableColumn id="3" name="url"/>
    <x:tableColumn id="4" name="collected_at"/>
    <x:tableColumn id="5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2ProfitPreview" displayName="V2ProfitPreview" ref="A4:E108" headerRowCount="1" totalsRowCount="0" totalsRowShown="0">
  <x:tableColumns count="5">
    <x:tableColumn id="1" name="成本规则ID"/>
    <x:tableColumn id="2" name="规范成本USD"/>
    <x:tableColumn id="3" name="官方售价USD（参考）"/>
    <x:tableColumn id="4" name="预估毛利润USD"/>
    <x:tableColumn id="5" name="预估毛利率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2Checks" displayName="V2Checks" ref="A4:E7" headerRowCount="1" totalsRowCount="0" totalsRowShown="0">
  <x:tableColumns count="5">
    <x:tableColumn id="1" name="检查项"/>
    <x:tableColumn id="2" name="错误数（公式）"/>
    <x:tableColumn id="3" name="状态（公式）"/>
    <x:tableColumn id="4" name="修复位置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P4" dT="2000-01-01T00:00:00Z" personId="{00000000-0000-0000-0000-000000000001}" id="{00000000-0000-0000-0000-000000000002}">
    <xltc:text>由原币价格、汇率、倍率、折扣、充值比例和手续费公式计算；导入服务会重新计算。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4" dT="2000-01-01T00:00:00Z" personId="{00000000-0000-0000-0000-000000000001}" id="{00000000-0000-0000-0000-000000000003}">
    <xltc:text>利润测算仅用于预览，不作为发布时的权威价格。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00-01-01T00:00:00Z" personId="{00000000-0000-0000-0000-000000000001}" id="{00000000-0000-0000-0000-000000000004}">
    <xltc:text>错误数由公式生成；发布前应为零。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000000000000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000000000000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000000000000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000000000000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0000000000000025" /><Relationship Type="http://schemas.openxmlformats.org/officeDocument/2006/relationships/vmlDrawing" Target="/xl/drawings/vmldrawing.vml" Id="R0000000000000026" /><Relationship Type="http://schemas.microsoft.com/office/2017/10/relationships/threadedComment" Target="/xl/threadedcomments/threadedcomment.xml" Id="R0000000000000027" /><Relationship Type="http://schemas.openxmlformats.org/officeDocument/2006/relationships/table" Target="/xl/tables/table5.xml" Id="R00000000000000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000000000000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0000000000000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0000000000000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2.xml" Id="R0000000000000032" /><Relationship Type="http://schemas.openxmlformats.org/officeDocument/2006/relationships/vmlDrawing" Target="/xl/drawings/vmldrawing2.vml" Id="R0000000000000033" /><Relationship Type="http://schemas.microsoft.com/office/2017/10/relationships/threadedComment" Target="/xl/threadedcomments/threadedcomment2.xml" Id="R0000000000000034" /><Relationship Type="http://schemas.openxmlformats.org/officeDocument/2006/relationships/table" Target="/xl/tables/table9.xml" Id="R00000000000000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3.xml" Id="R0000000000000018" /><Relationship Type="http://schemas.openxmlformats.org/officeDocument/2006/relationships/vmlDrawing" Target="/xl/drawings/vmldrawing3.vml" Id="R0000000000000019" /><Relationship Type="http://schemas.microsoft.com/office/2017/10/relationships/threadedComment" Target="/xl/threadedcomments/threadedcomment3.xml" Id="R0000000000000020" /><Relationship Type="http://schemas.openxmlformats.org/officeDocument/2006/relationships/table" Target="/xl/tables/table10.xml" Id="R00000000000000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</x:cols>
  <x:sheetData>
    <x:row r="1" ht="25" customHeight="1">
      <x:c r="A1" s="3" t="str">
        <x:v>渠道模型成本与利润配置模板 v2 - 渠道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</x:row>
    <x:row r="4" ht="36" customHeight="1">
      <x:c r="A4" s="14" t="str">
        <x:v>channel_ref</x:v>
      </x:c>
      <x:c r="B4" s="15" t="str">
        <x:v>display_name</x:v>
      </x:c>
      <x:c r="C4" s="15" t="str">
        <x:v>currency</x:v>
      </x:c>
      <x:c r="D4" s="15" t="str">
        <x:v>recharge_ratio</x:v>
      </x:c>
      <x:c r="E4" s="15" t="str">
        <x:v>fee_rate</x:v>
      </x:c>
      <x:c r="F4" s="15" t="str">
        <x:v>billing_multiplier</x:v>
      </x:c>
      <x:c r="G4" s="15" t="str">
        <x:v>status_proposal</x:v>
      </x:c>
      <x:c r="H4" s="15" t="str">
        <x:v>source_ref</x:v>
      </x:c>
      <x:c r="I4" s="16" t="str">
        <x:v>note</x:v>
      </x:c>
    </x:row>
    <x:row r="5">
      <x:c r="A5" s="20" t="str">
        <x:v>CH-CLMM</x:v>
      </x:c>
      <x:c r="B5" s="18" t="str">
        <x:v>clmm</x:v>
      </x:c>
      <x:c r="C5" s="18" t="str">
        <x:v>CNY</x:v>
      </x:c>
      <x:c r="D5" s="18" t="n">
        <x:v>1</x:v>
      </x:c>
      <x:c r="E5" s="18" t="n">
        <x:v>0</x:v>
      </x:c>
      <x:c r="F5" s="18" t="n">
        <x:v>1</x:v>
      </x:c>
      <x:c r="G5" s="18" t="str">
        <x:v>disabled</x:v>
      </x:c>
      <x:c r="H5" s="18" t="str">
        <x:v>SRC-CH-01</x:v>
      </x:c>
      <x:c r="I5" s="19" t="str">
        <x:v>原始业务ID=CH-CLMM; 来源定位=渠道!5</x:v>
      </x:c>
    </x:row>
    <x:row r="6">
      <x:c r="A6" s="20" t="str">
        <x:v>CH-PAIPU</x:v>
      </x:c>
      <x:c r="B6" s="18" t="str">
        <x:v>paipu</x:v>
      </x:c>
      <x:c r="C6" s="18" t="str">
        <x:v>CNY</x:v>
      </x:c>
      <x:c r="D6" s="18" t="n">
        <x:v>1</x:v>
      </x:c>
      <x:c r="E6" s="18" t="n">
        <x:v>0</x:v>
      </x:c>
      <x:c r="F6" s="18" t="n">
        <x:v>1</x:v>
      </x:c>
      <x:c r="G6" s="18" t="str">
        <x:v>disabled</x:v>
      </x:c>
      <x:c r="H6" s="18" t="str">
        <x:v>SRC-CH-02</x:v>
      </x:c>
      <x:c r="I6" s="19" t="str">
        <x:v>原始业务ID=CH-PAIPU; 来源定位=渠道!6</x:v>
      </x:c>
    </x:row>
    <x:row r="7">
      <x:c r="A7" s="20" t="str">
        <x:v>CH-LUCEN</x:v>
      </x:c>
      <x:c r="B7" s="18" t="str">
        <x:v>lucen</x:v>
      </x:c>
      <x:c r="C7" s="18" t="str">
        <x:v>CNY</x:v>
      </x:c>
      <x:c r="D7" s="18" t="n">
        <x:v>1</x:v>
      </x:c>
      <x:c r="E7" s="18" t="n">
        <x:v>0</x:v>
      </x:c>
      <x:c r="F7" s="18" t="n">
        <x:v>1</x:v>
      </x:c>
      <x:c r="G7" s="18" t="str">
        <x:v>disabled</x:v>
      </x:c>
      <x:c r="H7" s="18" t="str">
        <x:v>SRC-CH-03</x:v>
      </x:c>
      <x:c r="I7" s="19" t="str">
        <x:v>原始业务ID=CH-LUCEN; 来源定位=渠道!7</x:v>
      </x:c>
    </x:row>
    <x:row r="8">
      <x:c r="A8" s="20" t="str">
        <x:v>CH-8YES</x:v>
      </x:c>
      <x:c r="B8" s="18" t="str">
        <x:v>8yes</x:v>
      </x:c>
      <x:c r="C8" s="18" t="str">
        <x:v>CNY</x:v>
      </x:c>
      <x:c r="D8" s="18" t="n">
        <x:v>1</x:v>
      </x:c>
      <x:c r="E8" s="18" t="n">
        <x:v>0.01</x:v>
      </x:c>
      <x:c r="F8" s="18" t="n">
        <x:v>1</x:v>
      </x:c>
      <x:c r="G8" s="18" t="str">
        <x:v>disabled</x:v>
      </x:c>
      <x:c r="H8" s="18" t="str">
        <x:v>SRC-CH-04</x:v>
      </x:c>
      <x:c r="I8" s="19" t="str">
        <x:v>原始业务ID=CH-8YES; 来源定位=渠道!8</x:v>
      </x:c>
    </x:row>
    <x:row r="9">
      <x:c r="A9" s="20" t="str">
        <x:v>CH-SECURE</x:v>
      </x:c>
      <x:c r="B9" s="18" t="str">
        <x:v>secure</x:v>
      </x:c>
      <x:c r="C9" s="18" t="str">
        <x:v>CNY</x:v>
      </x:c>
      <x:c r="D9" s="18" t="n">
        <x:v>1</x:v>
      </x:c>
      <x:c r="E9" s="18" t="n">
        <x:v>0.03</x:v>
      </x:c>
      <x:c r="F9" s="18" t="n">
        <x:v>1</x:v>
      </x:c>
      <x:c r="G9" s="18" t="str">
        <x:v>disabled</x:v>
      </x:c>
      <x:c r="H9" s="18" t="str">
        <x:v>SRC-CH-05</x:v>
      </x:c>
      <x:c r="I9" s="19" t="str">
        <x:v>原始业务ID=CH-SECURE; 来源定位=渠道!9</x:v>
      </x:c>
    </x:row>
    <x:row r="10">
      <x:c r="A10" s="20" t="str">
        <x:v>CH-CANGYUANSUANLI</x:v>
      </x:c>
      <x:c r="B10" s="18" t="str">
        <x:v>cangyuansuanli</x:v>
      </x:c>
      <x:c r="C10" s="18" t="str">
        <x:v>CNY</x:v>
      </x:c>
      <x:c r="D10" s="18" t="n">
        <x:v>1</x:v>
      </x:c>
      <x:c r="E10" s="18" t="n">
        <x:v>0</x:v>
      </x:c>
      <x:c r="F10" s="18" t="n">
        <x:v>1</x:v>
      </x:c>
      <x:c r="G10" s="18" t="str">
        <x:v>disabled</x:v>
      </x:c>
      <x:c r="H10" s="18" t="str">
        <x:v>SRC-CH-06</x:v>
      </x:c>
      <x:c r="I10" s="19" t="str">
        <x:v>原始业务ID=CH-CANGYUANSUANLI; 来源定位=渠道!10</x:v>
      </x:c>
    </x:row>
    <x:row r="11">
      <x:c r="A11" s="20" t="str">
        <x:v>CH-DIMENSIO</x:v>
      </x:c>
      <x:c r="B11" s="18" t="str">
        <x:v>dimensio</x:v>
      </x:c>
      <x:c r="C11" s="18" t="str">
        <x:v>CNY</x:v>
      </x:c>
      <x:c r="D11" s="18" t="n">
        <x:v>1</x:v>
      </x:c>
      <x:c r="E11" s="18" t="n">
        <x:v>0</x:v>
      </x:c>
      <x:c r="F11" s="18" t="n">
        <x:v>1</x:v>
      </x:c>
      <x:c r="G11" s="18" t="str">
        <x:v>disabled</x:v>
      </x:c>
      <x:c r="H11" s="18" t="str">
        <x:v>SRC-CH-07</x:v>
      </x:c>
      <x:c r="I11" s="19" t="str">
        <x:v>原始业务ID=CH-DIMENSIO; 来源定位=渠道!11</x:v>
      </x:c>
    </x:row>
    <x:row r="12">
      <x:c r="A12" s="20" t="str">
        <x:v>CH-MEGABYAI</x:v>
      </x:c>
      <x:c r="B12" s="18" t="str">
        <x:v>megabyai</x:v>
      </x:c>
      <x:c r="C12" s="18" t="str">
        <x:v>CNY</x:v>
      </x:c>
      <x:c r="D12" s="18" t="n">
        <x:v>1</x:v>
      </x:c>
      <x:c r="E12" s="18" t="n">
        <x:v>0</x:v>
      </x:c>
      <x:c r="F12" s="18" t="n">
        <x:v>1</x:v>
      </x:c>
      <x:c r="G12" s="18" t="str">
        <x:v>disabled</x:v>
      </x:c>
      <x:c r="H12" s="18" t="str">
        <x:v>SRC-CH-08</x:v>
      </x:c>
      <x:c r="I12" s="19" t="str">
        <x:v>原始业务ID=CH-MEGABYAI; 来源定位=渠道!12</x:v>
      </x:c>
    </x:row>
    <x:row r="13">
      <x:c r="A13" s="20" t="str">
        <x:v>CH-4STOKEN</x:v>
      </x:c>
      <x:c r="B13" s="18" t="str">
        <x:v>4stoken</x:v>
      </x:c>
      <x:c r="C13" s="18" t="str">
        <x:v>CNY</x:v>
      </x:c>
      <x:c r="D13" s="18" t="n">
        <x:v>1</x:v>
      </x:c>
      <x:c r="E13" s="18" t="n">
        <x:v>0</x:v>
      </x:c>
      <x:c r="F13" s="18" t="n">
        <x:v>1</x:v>
      </x:c>
      <x:c r="G13" s="18" t="str">
        <x:v>disabled</x:v>
      </x:c>
      <x:c r="H13" s="18" t="str">
        <x:v>SRC-CH-09</x:v>
      </x:c>
      <x:c r="I13" s="19" t="str">
        <x:v>原始业务ID=CH-4STOKEN; 来源定位=渠道!13</x:v>
      </x:c>
    </x:row>
  </x:sheetData>
  <x:mergeCells>
    <x:mergeCell ref="A1:I1"/>
  </x:mergeCells>
  <x:dataValidations count="1">
    <x:dataValidation type="list" sqref="G5:G13">
      <x:formula1>"disabled"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00000000000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1" ht="25" customHeight="1">
      <x:c r="A1" s="3" t="str">
        <x:v>渠道模型成本与利润配置模板 v2 - 渠道线路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6" customHeight="1">
      <x:c r="A4" s="14" t="str">
        <x:v>line_ref</x:v>
      </x:c>
      <x:c r="B4" s="15" t="str">
        <x:v>channel_ref</x:v>
      </x:c>
      <x:c r="C4" s="15" t="str">
        <x:v>display_name</x:v>
      </x:c>
      <x:c r="D4" s="15" t="str">
        <x:v>provider_type_hint</x:v>
      </x:c>
      <x:c r="E4" s="15" t="str">
        <x:v>region</x:v>
      </x:c>
      <x:c r="F4" s="15" t="str">
        <x:v>protocol</x:v>
      </x:c>
      <x:c r="G4" s="15" t="str">
        <x:v>supports_real_person</x:v>
      </x:c>
      <x:c r="H4" s="15" t="str">
        <x:v>status_proposal</x:v>
      </x:c>
      <x:c r="I4" s="15" t="str">
        <x:v>source_ref</x:v>
      </x:c>
      <x:c r="J4" s="16" t="str">
        <x:v>note</x:v>
      </x:c>
    </x:row>
    <x:row r="5">
      <x:c r="A5" s="20" t="str">
        <x:v>channel-clmm</x:v>
      </x:c>
      <x:c r="B5" s="18" t="str">
        <x:v>CH-CLMM</x:v>
      </x:c>
      <x:c r="C5" s="18" t="str">
        <x:v>clmm / channel-clmm</x:v>
      </x:c>
      <x:c r="D5" s="18" t="str">
        <x:v>clmm</x:v>
      </x:c>
      <x:c r="E5" s="18" t="str">
        <x:v>global</x:v>
      </x:c>
      <x:c r="F5" s="18" t="str">
        <x:v>task</x:v>
      </x:c>
      <x:c r="G5" s="18"/>
      <x:c r="H5" s="18" t="str">
        <x:v>disabled</x:v>
      </x:c>
      <x:c r="I5" s="18" t="str">
        <x:v>SRC-CH-01</x:v>
      </x:c>
      <x:c r="J5" s="19" t="str">
        <x:v>由 v1 已确认分组转换；连接凭据必须在导入向导中填写。</x:v>
      </x:c>
    </x:row>
    <x:row r="6">
      <x:c r="A6" s="20" t="str">
        <x:v>channel-paipu</x:v>
      </x:c>
      <x:c r="B6" s="18" t="str">
        <x:v>CH-PAIPU</x:v>
      </x:c>
      <x:c r="C6" s="18" t="str">
        <x:v>paipu / channel-paipu</x:v>
      </x:c>
      <x:c r="D6" s="18" t="str">
        <x:v>paipu</x:v>
      </x:c>
      <x:c r="E6" s="18" t="str">
        <x:v>global</x:v>
      </x:c>
      <x:c r="F6" s="18" t="str">
        <x:v>task</x:v>
      </x:c>
      <x:c r="G6" s="18"/>
      <x:c r="H6" s="18" t="str">
        <x:v>disabled</x:v>
      </x:c>
      <x:c r="I6" s="18" t="str">
        <x:v>SRC-CH-02</x:v>
      </x:c>
      <x:c r="J6" s="19" t="str">
        <x:v>由 v1 已确认分组转换；连接凭据必须在导入向导中填写。</x:v>
      </x:c>
    </x:row>
    <x:row r="7">
      <x:c r="A7" s="20" t="str">
        <x:v>channel-lucen</x:v>
      </x:c>
      <x:c r="B7" s="18" t="str">
        <x:v>CH-LUCEN</x:v>
      </x:c>
      <x:c r="C7" s="18" t="str">
        <x:v>lucen / channel-lucen</x:v>
      </x:c>
      <x:c r="D7" s="18" t="str">
        <x:v>lucen</x:v>
      </x:c>
      <x:c r="E7" s="18" t="str">
        <x:v>global</x:v>
      </x:c>
      <x:c r="F7" s="18" t="str">
        <x:v>task</x:v>
      </x:c>
      <x:c r="G7" s="18"/>
      <x:c r="H7" s="18" t="str">
        <x:v>disabled</x:v>
      </x:c>
      <x:c r="I7" s="18" t="str">
        <x:v>SRC-CH-03</x:v>
      </x:c>
      <x:c r="J7" s="19" t="str">
        <x:v>由 v1 已确认分组转换；连接凭据必须在导入向导中填写。</x:v>
      </x:c>
    </x:row>
    <x:row r="8">
      <x:c r="A8" s="20" t="str">
        <x:v>channel-8yes</x:v>
      </x:c>
      <x:c r="B8" s="18" t="str">
        <x:v>CH-8YES</x:v>
      </x:c>
      <x:c r="C8" s="18" t="str">
        <x:v>8yes / channel-8yes</x:v>
      </x:c>
      <x:c r="D8" s="18" t="str">
        <x:v>8yes</x:v>
      </x:c>
      <x:c r="E8" s="18" t="str">
        <x:v>global</x:v>
      </x:c>
      <x:c r="F8" s="18" t="str">
        <x:v>task</x:v>
      </x:c>
      <x:c r="G8" s="18"/>
      <x:c r="H8" s="18" t="str">
        <x:v>disabled</x:v>
      </x:c>
      <x:c r="I8" s="18" t="str">
        <x:v>SRC-CH-04</x:v>
      </x:c>
      <x:c r="J8" s="19" t="str">
        <x:v>由 v1 已确认分组转换；连接凭据必须在导入向导中填写。</x:v>
      </x:c>
    </x:row>
    <x:row r="9">
      <x:c r="A9" s="20" t="str">
        <x:v>secure-discount</x:v>
      </x:c>
      <x:c r="B9" s="18" t="str">
        <x:v>CH-SECURE</x:v>
      </x:c>
      <x:c r="C9" s="18" t="str">
        <x:v>secure / secure-discount</x:v>
      </x:c>
      <x:c r="D9" s="18" t="str">
        <x:v>secure</x:v>
      </x:c>
      <x:c r="E9" s="18" t="str">
        <x:v>global</x:v>
      </x:c>
      <x:c r="F9" s="18" t="str">
        <x:v>task</x:v>
      </x:c>
      <x:c r="G9" s="18"/>
      <x:c r="H9" s="18" t="str">
        <x:v>disabled</x:v>
      </x:c>
      <x:c r="I9" s="18" t="str">
        <x:v>SRC-CH-05</x:v>
      </x:c>
      <x:c r="J9" s="19" t="str">
        <x:v>由 v1 已确认分组转换；连接凭据必须在导入向导中填写。</x:v>
      </x:c>
    </x:row>
    <x:row r="10">
      <x:c r="A10" s="20" t="str">
        <x:v>secure-overseas</x:v>
      </x:c>
      <x:c r="B10" s="18" t="str">
        <x:v>CH-SECURE</x:v>
      </x:c>
      <x:c r="C10" s="18" t="str">
        <x:v>secure / secure-overseas</x:v>
      </x:c>
      <x:c r="D10" s="18" t="str">
        <x:v>secure</x:v>
      </x:c>
      <x:c r="E10" s="18" t="str">
        <x:v>global</x:v>
      </x:c>
      <x:c r="F10" s="18" t="str">
        <x:v>task</x:v>
      </x:c>
      <x:c r="G10" s="18"/>
      <x:c r="H10" s="18" t="str">
        <x:v>disabled</x:v>
      </x:c>
      <x:c r="I10" s="18" t="str">
        <x:v>SRC-CH-05</x:v>
      </x:c>
      <x:c r="J10" s="19" t="str">
        <x:v>由 v1 已确认分组转换；连接凭据必须在导入向导中填写。</x:v>
      </x:c>
    </x:row>
    <x:row r="11">
      <x:c r="A11" s="20" t="str">
        <x:v>secure-enterprise</x:v>
      </x:c>
      <x:c r="B11" s="18" t="str">
        <x:v>CH-SECURE</x:v>
      </x:c>
      <x:c r="C11" s="18" t="str">
        <x:v>secure / secure-enterprise</x:v>
      </x:c>
      <x:c r="D11" s="18" t="str">
        <x:v>secure</x:v>
      </x:c>
      <x:c r="E11" s="18" t="str">
        <x:v>global</x:v>
      </x:c>
      <x:c r="F11" s="18" t="str">
        <x:v>task</x:v>
      </x:c>
      <x:c r="G11" s="18"/>
      <x:c r="H11" s="18" t="str">
        <x:v>disabled</x:v>
      </x:c>
      <x:c r="I11" s="18" t="str">
        <x:v>SRC-CH-05</x:v>
      </x:c>
      <x:c r="J11" s="19" t="str">
        <x:v>由 v1 已确认分组转换；连接凭据必须在导入向导中填写。</x:v>
      </x:c>
    </x:row>
    <x:row r="12">
      <x:c r="A12" s="20" t="str">
        <x:v>channel-cangyuansuanli</x:v>
      </x:c>
      <x:c r="B12" s="18" t="str">
        <x:v>CH-CANGYUANSUANLI</x:v>
      </x:c>
      <x:c r="C12" s="18" t="str">
        <x:v>cangyuansuanli / channel-cangyuansuanli</x:v>
      </x:c>
      <x:c r="D12" s="18" t="str">
        <x:v>cangyuansuanli</x:v>
      </x:c>
      <x:c r="E12" s="18" t="str">
        <x:v>global</x:v>
      </x:c>
      <x:c r="F12" s="18" t="str">
        <x:v>task</x:v>
      </x:c>
      <x:c r="G12" s="18"/>
      <x:c r="H12" s="18" t="str">
        <x:v>disabled</x:v>
      </x:c>
      <x:c r="I12" s="18" t="str">
        <x:v>SRC-CH-06</x:v>
      </x:c>
      <x:c r="J12" s="19" t="str">
        <x:v>由 v1 已确认分组转换；连接凭据必须在导入向导中填写。</x:v>
      </x:c>
    </x:row>
    <x:row r="13">
      <x:c r="A13" s="20" t="str">
        <x:v>channel-dimensio</x:v>
      </x:c>
      <x:c r="B13" s="18" t="str">
        <x:v>CH-DIMENSIO</x:v>
      </x:c>
      <x:c r="C13" s="18" t="str">
        <x:v>dimensio / channel-dimensio</x:v>
      </x:c>
      <x:c r="D13" s="18" t="str">
        <x:v>dimensio</x:v>
      </x:c>
      <x:c r="E13" s="18" t="str">
        <x:v>global</x:v>
      </x:c>
      <x:c r="F13" s="18" t="str">
        <x:v>task</x:v>
      </x:c>
      <x:c r="G13" s="18"/>
      <x:c r="H13" s="18" t="str">
        <x:v>disabled</x:v>
      </x:c>
      <x:c r="I13" s="18" t="str">
        <x:v>SRC-CH-07</x:v>
      </x:c>
      <x:c r="J13" s="19" t="str">
        <x:v>由 v1 已确认分组转换；连接凭据必须在导入向导中填写。</x:v>
      </x:c>
    </x:row>
    <x:row r="14">
      <x:c r="A14" s="20" t="str">
        <x:v>megabyai-fast-real-person</x:v>
      </x:c>
      <x:c r="B14" s="18" t="str">
        <x:v>CH-MEGABYAI</x:v>
      </x:c>
      <x:c r="C14" s="18" t="str">
        <x:v>megabyai / megabyai-fast-real-person</x:v>
      </x:c>
      <x:c r="D14" s="18" t="str">
        <x:v>megabyai</x:v>
      </x:c>
      <x:c r="E14" s="18" t="str">
        <x:v>global</x:v>
      </x:c>
      <x:c r="F14" s="18" t="str">
        <x:v>task</x:v>
      </x:c>
      <x:c r="G14" s="23" t="b">
        <x:v>1</x:v>
      </x:c>
      <x:c r="H14" s="18" t="str">
        <x:v>disabled</x:v>
      </x:c>
      <x:c r="I14" s="18" t="str">
        <x:v>SRC-CH-08</x:v>
      </x:c>
      <x:c r="J14" s="19" t="str">
        <x:v>由 v1 已确认分组转换；连接凭据必须在导入向导中填写。</x:v>
      </x:c>
    </x:row>
    <x:row r="15">
      <x:c r="A15" s="20" t="str">
        <x:v>megabyai-fast-no-real-person</x:v>
      </x:c>
      <x:c r="B15" s="18" t="str">
        <x:v>CH-MEGABYAI</x:v>
      </x:c>
      <x:c r="C15" s="18" t="str">
        <x:v>megabyai / megabyai-fast-no-real-person</x:v>
      </x:c>
      <x:c r="D15" s="18" t="str">
        <x:v>megabyai</x:v>
      </x:c>
      <x:c r="E15" s="18" t="str">
        <x:v>global</x:v>
      </x:c>
      <x:c r="F15" s="18" t="str">
        <x:v>task</x:v>
      </x:c>
      <x:c r="G15" s="23" t="b">
        <x:v>0</x:v>
      </x:c>
      <x:c r="H15" s="18" t="str">
        <x:v>disabled</x:v>
      </x:c>
      <x:c r="I15" s="18" t="str">
        <x:v>SRC-CH-08</x:v>
      </x:c>
      <x:c r="J15" s="19" t="str">
        <x:v>由 v1 已确认分组转换；连接凭据必须在导入向导中填写。</x:v>
      </x:c>
    </x:row>
    <x:row r="16">
      <x:c r="A16" s="20" t="str">
        <x:v>channel-4stoken</x:v>
      </x:c>
      <x:c r="B16" s="18" t="str">
        <x:v>CH-4STOKEN</x:v>
      </x:c>
      <x:c r="C16" s="18" t="str">
        <x:v>4stoken / channel-4stoken</x:v>
      </x:c>
      <x:c r="D16" s="18" t="str">
        <x:v>4stoken</x:v>
      </x:c>
      <x:c r="E16" s="18" t="str">
        <x:v>global</x:v>
      </x:c>
      <x:c r="F16" s="18" t="str">
        <x:v>task</x:v>
      </x:c>
      <x:c r="G16" s="18"/>
      <x:c r="H16" s="18" t="str">
        <x:v>disabled</x:v>
      </x:c>
      <x:c r="I16" s="18" t="str">
        <x:v>SRC-CH-09</x:v>
      </x:c>
      <x:c r="J16" s="19" t="str">
        <x:v>由 v1 已确认分组转换；连接凭据必须在导入向导中填写。</x:v>
      </x:c>
    </x:row>
  </x:sheetData>
  <x:mergeCells>
    <x:mergeCell ref="A1:J1"/>
  </x:mergeCells>
  <x:dataValidations count="2">
    <x:dataValidation type="list" sqref="G5:G16">
      <x:formula1>"true,false"</x:formula1>
    </x:dataValidation>
    <x:dataValidation type="list" sqref="H5:H16">
      <x:formula1>"disabled"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00000000000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5" customHeight="1">
      <x:c r="A1" s="3" t="str">
        <x:v>渠道模型成本与利润配置模板 v2 - 模型SKU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</x:row>
    <x:row r="4" ht="36" customHeight="1">
      <x:c r="A4" s="14" t="str">
        <x:v>sku_ref</x:v>
      </x:c>
      <x:c r="B4" s="15" t="str">
        <x:v>canonical_model</x:v>
      </x:c>
      <x:c r="C4" s="15" t="str">
        <x:v>resolution</x:v>
      </x:c>
      <x:c r="D4" s="15" t="str">
        <x:v>output_width</x:v>
      </x:c>
      <x:c r="E4" s="15" t="str">
        <x:v>output_height</x:v>
      </x:c>
      <x:c r="F4" s="15" t="str">
        <x:v>frame_rate</x:v>
      </x:c>
      <x:c r="G4" s="15" t="str">
        <x:v>duration_min</x:v>
      </x:c>
      <x:c r="H4" s="15" t="str">
        <x:v>duration_max</x:v>
      </x:c>
      <x:c r="I4" s="16" t="str">
        <x:v>source_ref</x:v>
      </x:c>
    </x:row>
    <x:row r="5">
      <x:c r="A5" s="20" t="str">
        <x:v>SKU-SD20-STD-480</x:v>
      </x:c>
      <x:c r="B5" s="18" t="str">
        <x:v>seedance-2.0</x:v>
      </x:c>
      <x:c r="C5" s="18" t="str">
        <x:v>480p</x:v>
      </x:c>
      <x:c r="D5" s="18" t="n">
        <x:v>864</x:v>
      </x:c>
      <x:c r="E5" s="18" t="n">
        <x:v>496</x:v>
      </x:c>
      <x:c r="F5" s="18" t="n">
        <x:v>24</x:v>
      </x:c>
      <x:c r="G5" s="18" t="n">
        <x:v>4</x:v>
      </x:c>
      <x:c r="H5" s="18" t="n">
        <x:v>15</x:v>
      </x:c>
      <x:c r="I5" s="18" t="str">
        <x:v>SRC-OFFICIAL</x:v>
      </x:c>
    </x:row>
    <x:row r="6">
      <x:c r="A6" s="20" t="str">
        <x:v>SKU-SD20-STD-720</x:v>
      </x:c>
      <x:c r="B6" s="18" t="str">
        <x:v>seedance-2.0</x:v>
      </x:c>
      <x:c r="C6" s="18" t="str">
        <x:v>720p</x:v>
      </x:c>
      <x:c r="D6" s="18" t="n">
        <x:v>1280</x:v>
      </x:c>
      <x:c r="E6" s="18" t="n">
        <x:v>720</x:v>
      </x:c>
      <x:c r="F6" s="18" t="n">
        <x:v>24</x:v>
      </x:c>
      <x:c r="G6" s="18" t="n">
        <x:v>4</x:v>
      </x:c>
      <x:c r="H6" s="18" t="n">
        <x:v>15</x:v>
      </x:c>
      <x:c r="I6" s="18" t="str">
        <x:v>SRC-OFFICIAL</x:v>
      </x:c>
    </x:row>
    <x:row r="7">
      <x:c r="A7" s="20" t="str">
        <x:v>SKU-SD20-STD-1080</x:v>
      </x:c>
      <x:c r="B7" s="18" t="str">
        <x:v>seedance-2.0</x:v>
      </x:c>
      <x:c r="C7" s="18" t="str">
        <x:v>1080p</x:v>
      </x:c>
      <x:c r="D7" s="18" t="n">
        <x:v>1920</x:v>
      </x:c>
      <x:c r="E7" s="18" t="n">
        <x:v>1080</x:v>
      </x:c>
      <x:c r="F7" s="18" t="n">
        <x:v>24</x:v>
      </x:c>
      <x:c r="G7" s="18" t="n">
        <x:v>4</x:v>
      </x:c>
      <x:c r="H7" s="18" t="n">
        <x:v>15</x:v>
      </x:c>
      <x:c r="I7" s="18" t="str">
        <x:v>SRC-OFFICIAL</x:v>
      </x:c>
    </x:row>
    <x:row r="8">
      <x:c r="A8" s="20" t="str">
        <x:v>SKU-SD20-STD-4K</x:v>
      </x:c>
      <x:c r="B8" s="18" t="str">
        <x:v>seedance-2.0</x:v>
      </x:c>
      <x:c r="C8" s="18" t="str">
        <x:v>4k</x:v>
      </x:c>
      <x:c r="D8" s="18" t="n">
        <x:v>3840</x:v>
      </x:c>
      <x:c r="E8" s="18" t="n">
        <x:v>2160</x:v>
      </x:c>
      <x:c r="F8" s="18" t="n">
        <x:v>24</x:v>
      </x:c>
      <x:c r="G8" s="18" t="n">
        <x:v>4</x:v>
      </x:c>
      <x:c r="H8" s="18" t="n">
        <x:v>15</x:v>
      </x:c>
      <x:c r="I8" s="18" t="str">
        <x:v>SRC-OFFICIAL</x:v>
      </x:c>
    </x:row>
    <x:row r="9">
      <x:c r="A9" s="20" t="str">
        <x:v>SKU-SD20-FAST-480</x:v>
      </x:c>
      <x:c r="B9" s="18" t="str">
        <x:v>seedance-2.0-fast</x:v>
      </x:c>
      <x:c r="C9" s="18" t="str">
        <x:v>480p</x:v>
      </x:c>
      <x:c r="D9" s="18" t="n">
        <x:v>864</x:v>
      </x:c>
      <x:c r="E9" s="18" t="n">
        <x:v>496</x:v>
      </x:c>
      <x:c r="F9" s="18" t="n">
        <x:v>24</x:v>
      </x:c>
      <x:c r="G9" s="18" t="n">
        <x:v>4</x:v>
      </x:c>
      <x:c r="H9" s="18" t="n">
        <x:v>15</x:v>
      </x:c>
      <x:c r="I9" s="18" t="str">
        <x:v>SRC-OFFICIAL</x:v>
      </x:c>
    </x:row>
    <x:row r="10">
      <x:c r="A10" s="20" t="str">
        <x:v>SKU-SD20-FAST-720</x:v>
      </x:c>
      <x:c r="B10" s="18" t="str">
        <x:v>seedance-2.0-fast</x:v>
      </x:c>
      <x:c r="C10" s="18" t="str">
        <x:v>720p</x:v>
      </x:c>
      <x:c r="D10" s="18" t="n">
        <x:v>1280</x:v>
      </x:c>
      <x:c r="E10" s="18" t="n">
        <x:v>720</x:v>
      </x:c>
      <x:c r="F10" s="18" t="n">
        <x:v>24</x:v>
      </x:c>
      <x:c r="G10" s="18" t="n">
        <x:v>4</x:v>
      </x:c>
      <x:c r="H10" s="18" t="n">
        <x:v>15</x:v>
      </x:c>
      <x:c r="I10" s="18" t="str">
        <x:v>SRC-OFFICIAL</x:v>
      </x:c>
    </x:row>
    <x:row r="11">
      <x:c r="A11" s="20" t="str">
        <x:v>SKU-SD20-MINI-480</x:v>
      </x:c>
      <x:c r="B11" s="18" t="str">
        <x:v>seedance-2.0-mini</x:v>
      </x:c>
      <x:c r="C11" s="18" t="str">
        <x:v>480p</x:v>
      </x:c>
      <x:c r="D11" s="18" t="n">
        <x:v>864</x:v>
      </x:c>
      <x:c r="E11" s="18" t="n">
        <x:v>496</x:v>
      </x:c>
      <x:c r="F11" s="18" t="n">
        <x:v>24</x:v>
      </x:c>
      <x:c r="G11" s="18" t="n">
        <x:v>4</x:v>
      </x:c>
      <x:c r="H11" s="18" t="n">
        <x:v>15</x:v>
      </x:c>
      <x:c r="I11" s="18" t="str">
        <x:v>SRC-OFFICIAL</x:v>
      </x:c>
    </x:row>
    <x:row r="12">
      <x:c r="A12" s="20" t="str">
        <x:v>SKU-SD20-MINI-720</x:v>
      </x:c>
      <x:c r="B12" s="18" t="str">
        <x:v>seedance-2.0-mini</x:v>
      </x:c>
      <x:c r="C12" s="18" t="str">
        <x:v>720p</x:v>
      </x:c>
      <x:c r="D12" s="18" t="n">
        <x:v>1280</x:v>
      </x:c>
      <x:c r="E12" s="18" t="n">
        <x:v>720</x:v>
      </x:c>
      <x:c r="F12" s="18" t="n">
        <x:v>24</x:v>
      </x:c>
      <x:c r="G12" s="18" t="n">
        <x:v>4</x:v>
      </x:c>
      <x:c r="H12" s="18" t="n">
        <x:v>15</x:v>
      </x:c>
      <x:c r="I12" s="18" t="str">
        <x:v>SRC-OFFICIAL</x:v>
      </x:c>
    </x:row>
    <x:row r="13">
      <x:c r="A13" s="20" t="str">
        <x:v>SKU-SD20-FAST-1080</x:v>
      </x:c>
      <x:c r="B13" s="18" t="str">
        <x:v>seedance-2.0-fast</x:v>
      </x:c>
      <x:c r="C13" s="18" t="str">
        <x:v>1080p</x:v>
      </x:c>
      <x:c r="D13" s="18" t="n">
        <x:v>1920</x:v>
      </x:c>
      <x:c r="E13" s="18" t="n">
        <x:v>1080</x:v>
      </x:c>
      <x:c r="F13" s="18" t="n">
        <x:v>24</x:v>
      </x:c>
      <x:c r="G13" s="18" t="n">
        <x:v>4</x:v>
      </x:c>
      <x:c r="H13" s="18" t="n">
        <x:v>15</x:v>
      </x:c>
      <x:c r="I13" s="18" t="str">
        <x:v>SRC-SD-IMPORT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0000000000000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5" customHeight="1">
      <x:c r="A1" s="3" t="str">
        <x:v>渠道模型成本与利润配置模板 v2 - 官方售价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</x:row>
    <x:row r="4" ht="36" customHeight="1">
      <x:c r="A4" s="14" t="str">
        <x:v>sale_ref</x:v>
      </x:c>
      <x:c r="B4" s="15" t="str">
        <x:v>client_model</x:v>
      </x:c>
      <x:c r="C4" s="15" t="str">
        <x:v>sku_ref</x:v>
      </x:c>
      <x:c r="D4" s="15" t="str">
        <x:v>scenario</x:v>
      </x:c>
      <x:c r="E4" s="15" t="str">
        <x:v>billing_mode</x:v>
      </x:c>
      <x:c r="F4" s="15" t="str">
        <x:v>currency</x:v>
      </x:c>
      <x:c r="G4" s="15" t="str">
        <x:v>native_unit_price</x:v>
      </x:c>
      <x:c r="H4" s="15" t="str">
        <x:v>status_proposal</x:v>
      </x:c>
      <x:c r="I4" s="16" t="str">
        <x:v>source_ref</x:v>
      </x:c>
    </x:row>
    <x:row r="5">
      <x:c r="A5" s="20" t="str">
        <x:v>SALE-SD20-STD-480-NOV</x:v>
      </x:c>
      <x:c r="B5" s="18" t="str">
        <x:v>seedance-2.0-480p</x:v>
      </x:c>
      <x:c r="C5" s="18" t="str">
        <x:v>SKU-SD20-STD-480</x:v>
      </x:c>
      <x:c r="D5" s="18" t="str">
        <x:v>no_video</x:v>
      </x:c>
      <x:c r="E5" s="18" t="str">
        <x:v>per_token</x:v>
      </x:c>
      <x:c r="F5" s="18" t="str">
        <x:v>CNY</x:v>
      </x:c>
      <x:c r="G5" s="18" t="str">
        <x:v>46</x:v>
      </x:c>
      <x:c r="H5" s="18" t="str">
        <x:v>disabled</x:v>
      </x:c>
      <x:c r="I5" s="18" t="str">
        <x:v>SRC-OFFICIAL</x:v>
      </x:c>
    </x:row>
    <x:row r="6">
      <x:c r="A6" s="20" t="str">
        <x:v>SALE-SD20-STD-480-VID</x:v>
      </x:c>
      <x:c r="B6" s="18" t="str">
        <x:v>seedance-2.0-480p</x:v>
      </x:c>
      <x:c r="C6" s="18" t="str">
        <x:v>SKU-SD20-STD-480</x:v>
      </x:c>
      <x:c r="D6" s="18" t="str">
        <x:v>with_video</x:v>
      </x:c>
      <x:c r="E6" s="18" t="str">
        <x:v>per_token</x:v>
      </x:c>
      <x:c r="F6" s="18" t="str">
        <x:v>CNY</x:v>
      </x:c>
      <x:c r="G6" s="18" t="str">
        <x:v>28</x:v>
      </x:c>
      <x:c r="H6" s="18" t="str">
        <x:v>disabled</x:v>
      </x:c>
      <x:c r="I6" s="18" t="str">
        <x:v>SRC-OFFICIAL</x:v>
      </x:c>
    </x:row>
    <x:row r="7">
      <x:c r="A7" s="20" t="str">
        <x:v>SALE-SD20-STD-720-NOV</x:v>
      </x:c>
      <x:c r="B7" s="18" t="str">
        <x:v>seedance-2.0-720p</x:v>
      </x:c>
      <x:c r="C7" s="18" t="str">
        <x:v>SKU-SD20-STD-720</x:v>
      </x:c>
      <x:c r="D7" s="18" t="str">
        <x:v>no_video</x:v>
      </x:c>
      <x:c r="E7" s="18" t="str">
        <x:v>per_token</x:v>
      </x:c>
      <x:c r="F7" s="18" t="str">
        <x:v>CNY</x:v>
      </x:c>
      <x:c r="G7" s="18" t="str">
        <x:v>46</x:v>
      </x:c>
      <x:c r="H7" s="18" t="str">
        <x:v>disabled</x:v>
      </x:c>
      <x:c r="I7" s="18" t="str">
        <x:v>SRC-OFFICIAL</x:v>
      </x:c>
    </x:row>
    <x:row r="8">
      <x:c r="A8" s="20" t="str">
        <x:v>SALE-SD20-STD-720-VID</x:v>
      </x:c>
      <x:c r="B8" s="18" t="str">
        <x:v>seedance-2.0-720p</x:v>
      </x:c>
      <x:c r="C8" s="18" t="str">
        <x:v>SKU-SD20-STD-720</x:v>
      </x:c>
      <x:c r="D8" s="18" t="str">
        <x:v>with_video</x:v>
      </x:c>
      <x:c r="E8" s="18" t="str">
        <x:v>per_token</x:v>
      </x:c>
      <x:c r="F8" s="18" t="str">
        <x:v>CNY</x:v>
      </x:c>
      <x:c r="G8" s="18" t="str">
        <x:v>28</x:v>
      </x:c>
      <x:c r="H8" s="18" t="str">
        <x:v>disabled</x:v>
      </x:c>
      <x:c r="I8" s="18" t="str">
        <x:v>SRC-OFFICIAL</x:v>
      </x:c>
    </x:row>
    <x:row r="9">
      <x:c r="A9" s="20" t="str">
        <x:v>SALE-SD20-STD-1080-NOV</x:v>
      </x:c>
      <x:c r="B9" s="18" t="str">
        <x:v>seedance-2.0-1080p</x:v>
      </x:c>
      <x:c r="C9" s="18" t="str">
        <x:v>SKU-SD20-STD-1080</x:v>
      </x:c>
      <x:c r="D9" s="18" t="str">
        <x:v>no_video</x:v>
      </x:c>
      <x:c r="E9" s="18" t="str">
        <x:v>per_token</x:v>
      </x:c>
      <x:c r="F9" s="18" t="str">
        <x:v>CNY</x:v>
      </x:c>
      <x:c r="G9" s="18" t="str">
        <x:v>51</x:v>
      </x:c>
      <x:c r="H9" s="18" t="str">
        <x:v>disabled</x:v>
      </x:c>
      <x:c r="I9" s="18" t="str">
        <x:v>SRC-OFFICIAL</x:v>
      </x:c>
    </x:row>
    <x:row r="10">
      <x:c r="A10" s="20" t="str">
        <x:v>SALE-SD20-STD-1080-VID</x:v>
      </x:c>
      <x:c r="B10" s="18" t="str">
        <x:v>seedance-2.0-1080p</x:v>
      </x:c>
      <x:c r="C10" s="18" t="str">
        <x:v>SKU-SD20-STD-1080</x:v>
      </x:c>
      <x:c r="D10" s="18" t="str">
        <x:v>with_video</x:v>
      </x:c>
      <x:c r="E10" s="18" t="str">
        <x:v>per_token</x:v>
      </x:c>
      <x:c r="F10" s="18" t="str">
        <x:v>CNY</x:v>
      </x:c>
      <x:c r="G10" s="18" t="str">
        <x:v>31</x:v>
      </x:c>
      <x:c r="H10" s="18" t="str">
        <x:v>disabled</x:v>
      </x:c>
      <x:c r="I10" s="18" t="str">
        <x:v>SRC-OFFICIAL</x:v>
      </x:c>
    </x:row>
    <x:row r="11">
      <x:c r="A11" s="20" t="str">
        <x:v>SALE-SD20-STD-4K-NOV</x:v>
      </x:c>
      <x:c r="B11" s="18" t="str">
        <x:v>seedance-2.0-4k</x:v>
      </x:c>
      <x:c r="C11" s="18" t="str">
        <x:v>SKU-SD20-STD-4K</x:v>
      </x:c>
      <x:c r="D11" s="18" t="str">
        <x:v>no_video</x:v>
      </x:c>
      <x:c r="E11" s="18" t="str">
        <x:v>per_token</x:v>
      </x:c>
      <x:c r="F11" s="18" t="str">
        <x:v>CNY</x:v>
      </x:c>
      <x:c r="G11" s="18" t="str">
        <x:v>26</x:v>
      </x:c>
      <x:c r="H11" s="18" t="str">
        <x:v>disabled</x:v>
      </x:c>
      <x:c r="I11" s="18" t="str">
        <x:v>SRC-OFFICIAL</x:v>
      </x:c>
    </x:row>
    <x:row r="12">
      <x:c r="A12" s="20" t="str">
        <x:v>SALE-SD20-STD-4K-VID</x:v>
      </x:c>
      <x:c r="B12" s="18" t="str">
        <x:v>seedance-2.0-4k</x:v>
      </x:c>
      <x:c r="C12" s="18" t="str">
        <x:v>SKU-SD20-STD-4K</x:v>
      </x:c>
      <x:c r="D12" s="18" t="str">
        <x:v>with_video</x:v>
      </x:c>
      <x:c r="E12" s="18" t="str">
        <x:v>per_token</x:v>
      </x:c>
      <x:c r="F12" s="18" t="str">
        <x:v>CNY</x:v>
      </x:c>
      <x:c r="G12" s="18" t="str">
        <x:v>16</x:v>
      </x:c>
      <x:c r="H12" s="18" t="str">
        <x:v>disabled</x:v>
      </x:c>
      <x:c r="I12" s="18" t="str">
        <x:v>SRC-OFFICIAL</x:v>
      </x:c>
    </x:row>
    <x:row r="13">
      <x:c r="A13" s="20" t="str">
        <x:v>SALE-SD20-FAST-480-NOV</x:v>
      </x:c>
      <x:c r="B13" s="18" t="str">
        <x:v>seedance-2.0-fast-480p</x:v>
      </x:c>
      <x:c r="C13" s="18" t="str">
        <x:v>SKU-SD20-FAST-480</x:v>
      </x:c>
      <x:c r="D13" s="18" t="str">
        <x:v>no_video</x:v>
      </x:c>
      <x:c r="E13" s="18" t="str">
        <x:v>per_token</x:v>
      </x:c>
      <x:c r="F13" s="18" t="str">
        <x:v>CNY</x:v>
      </x:c>
      <x:c r="G13" s="18" t="str">
        <x:v>37</x:v>
      </x:c>
      <x:c r="H13" s="18" t="str">
        <x:v>disabled</x:v>
      </x:c>
      <x:c r="I13" s="18" t="str">
        <x:v>SRC-OFFICIAL</x:v>
      </x:c>
    </x:row>
    <x:row r="14">
      <x:c r="A14" s="20" t="str">
        <x:v>SALE-SD20-FAST-480-VID</x:v>
      </x:c>
      <x:c r="B14" s="18" t="str">
        <x:v>seedance-2.0-fast-480p</x:v>
      </x:c>
      <x:c r="C14" s="18" t="str">
        <x:v>SKU-SD20-FAST-480</x:v>
      </x:c>
      <x:c r="D14" s="18" t="str">
        <x:v>with_video</x:v>
      </x:c>
      <x:c r="E14" s="18" t="str">
        <x:v>per_token</x:v>
      </x:c>
      <x:c r="F14" s="18" t="str">
        <x:v>CNY</x:v>
      </x:c>
      <x:c r="G14" s="18" t="str">
        <x:v>22</x:v>
      </x:c>
      <x:c r="H14" s="18" t="str">
        <x:v>disabled</x:v>
      </x:c>
      <x:c r="I14" s="18" t="str">
        <x:v>SRC-OFFICIAL</x:v>
      </x:c>
    </x:row>
    <x:row r="15">
      <x:c r="A15" s="20" t="str">
        <x:v>SALE-SD20-FAST-720-NOV</x:v>
      </x:c>
      <x:c r="B15" s="18" t="str">
        <x:v>seedance-2.0-fast-720p</x:v>
      </x:c>
      <x:c r="C15" s="18" t="str">
        <x:v>SKU-SD20-FAST-720</x:v>
      </x:c>
      <x:c r="D15" s="18" t="str">
        <x:v>no_video</x:v>
      </x:c>
      <x:c r="E15" s="18" t="str">
        <x:v>per_token</x:v>
      </x:c>
      <x:c r="F15" s="18" t="str">
        <x:v>CNY</x:v>
      </x:c>
      <x:c r="G15" s="18" t="str">
        <x:v>37</x:v>
      </x:c>
      <x:c r="H15" s="18" t="str">
        <x:v>disabled</x:v>
      </x:c>
      <x:c r="I15" s="18" t="str">
        <x:v>SRC-OFFICIAL</x:v>
      </x:c>
    </x:row>
    <x:row r="16">
      <x:c r="A16" s="20" t="str">
        <x:v>SALE-SD20-FAST-720-VID</x:v>
      </x:c>
      <x:c r="B16" s="18" t="str">
        <x:v>seedance-2.0-fast-720p</x:v>
      </x:c>
      <x:c r="C16" s="18" t="str">
        <x:v>SKU-SD20-FAST-720</x:v>
      </x:c>
      <x:c r="D16" s="18" t="str">
        <x:v>with_video</x:v>
      </x:c>
      <x:c r="E16" s="18" t="str">
        <x:v>per_token</x:v>
      </x:c>
      <x:c r="F16" s="18" t="str">
        <x:v>CNY</x:v>
      </x:c>
      <x:c r="G16" s="18" t="str">
        <x:v>22</x:v>
      </x:c>
      <x:c r="H16" s="18" t="str">
        <x:v>disabled</x:v>
      </x:c>
      <x:c r="I16" s="18" t="str">
        <x:v>SRC-OFFICIAL</x:v>
      </x:c>
    </x:row>
    <x:row r="17">
      <x:c r="A17" s="20" t="str">
        <x:v>SALE-SD20-MINI-480-NOV</x:v>
      </x:c>
      <x:c r="B17" s="18" t="str">
        <x:v>seedance-2.0-mini-480p</x:v>
      </x:c>
      <x:c r="C17" s="18" t="str">
        <x:v>SKU-SD20-MINI-480</x:v>
      </x:c>
      <x:c r="D17" s="18" t="str">
        <x:v>no_video</x:v>
      </x:c>
      <x:c r="E17" s="18" t="str">
        <x:v>per_token</x:v>
      </x:c>
      <x:c r="F17" s="18" t="str">
        <x:v>CNY</x:v>
      </x:c>
      <x:c r="G17" s="18" t="str">
        <x:v>23</x:v>
      </x:c>
      <x:c r="H17" s="18" t="str">
        <x:v>disabled</x:v>
      </x:c>
      <x:c r="I17" s="18" t="str">
        <x:v>SRC-OFFICIAL</x:v>
      </x:c>
    </x:row>
    <x:row r="18">
      <x:c r="A18" s="20" t="str">
        <x:v>SALE-SD20-MINI-480-VID</x:v>
      </x:c>
      <x:c r="B18" s="18" t="str">
        <x:v>seedance-2.0-mini-480p</x:v>
      </x:c>
      <x:c r="C18" s="18" t="str">
        <x:v>SKU-SD20-MINI-480</x:v>
      </x:c>
      <x:c r="D18" s="18" t="str">
        <x:v>with_video</x:v>
      </x:c>
      <x:c r="E18" s="18" t="str">
        <x:v>per_token</x:v>
      </x:c>
      <x:c r="F18" s="18" t="str">
        <x:v>CNY</x:v>
      </x:c>
      <x:c r="G18" s="18" t="str">
        <x:v>14</x:v>
      </x:c>
      <x:c r="H18" s="18" t="str">
        <x:v>disabled</x:v>
      </x:c>
      <x:c r="I18" s="18" t="str">
        <x:v>SRC-OFFICIAL</x:v>
      </x:c>
    </x:row>
    <x:row r="19">
      <x:c r="A19" s="20" t="str">
        <x:v>SALE-SD20-MINI-720-NOV</x:v>
      </x:c>
      <x:c r="B19" s="18" t="str">
        <x:v>seedance-2.0-mini-720p</x:v>
      </x:c>
      <x:c r="C19" s="18" t="str">
        <x:v>SKU-SD20-MINI-720</x:v>
      </x:c>
      <x:c r="D19" s="18" t="str">
        <x:v>no_video</x:v>
      </x:c>
      <x:c r="E19" s="18" t="str">
        <x:v>per_token</x:v>
      </x:c>
      <x:c r="F19" s="18" t="str">
        <x:v>CNY</x:v>
      </x:c>
      <x:c r="G19" s="18" t="str">
        <x:v>23</x:v>
      </x:c>
      <x:c r="H19" s="18" t="str">
        <x:v>disabled</x:v>
      </x:c>
      <x:c r="I19" s="18" t="str">
        <x:v>SRC-OFFICIAL</x:v>
      </x:c>
    </x:row>
    <x:row r="20">
      <x:c r="A20" s="20" t="str">
        <x:v>SALE-SD20-MINI-720-VID</x:v>
      </x:c>
      <x:c r="B20" s="18" t="str">
        <x:v>seedance-2.0-mini-720p</x:v>
      </x:c>
      <x:c r="C20" s="18" t="str">
        <x:v>SKU-SD20-MINI-720</x:v>
      </x:c>
      <x:c r="D20" s="18" t="str">
        <x:v>with_video</x:v>
      </x:c>
      <x:c r="E20" s="18" t="str">
        <x:v>per_token</x:v>
      </x:c>
      <x:c r="F20" s="18" t="str">
        <x:v>CNY</x:v>
      </x:c>
      <x:c r="G20" s="18" t="str">
        <x:v>14</x:v>
      </x:c>
      <x:c r="H20" s="18" t="str">
        <x:v>disabled</x:v>
      </x:c>
      <x:c r="I20" s="18" t="str">
        <x:v>SRC-OFFICIAL</x:v>
      </x:c>
    </x:row>
  </x:sheetData>
  <x:mergeCells>
    <x:mergeCell ref="A1:I1"/>
  </x:mergeCells>
  <x:dataValidations count="1">
    <x:dataValidation type="list" sqref="H5:H20">
      <x:formula1>"disabled"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00000000000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42" hidden="0" customWidth="1"/>
  </x:cols>
  <x:sheetData>
    <x:row r="1" ht="25" customHeight="1">
      <x:c r="A1" s="3" t="str">
        <x:v>渠道模型成本与利润配置模板 v2 - 渠道成本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6" customHeight="1">
      <x:c r="A4" s="14" t="str">
        <x:v>cost_rule_ref</x:v>
      </x:c>
      <x:c r="B4" s="15" t="str">
        <x:v>line_ref</x:v>
      </x:c>
      <x:c r="C4" s="15" t="str">
        <x:v>upstream_model</x:v>
      </x:c>
      <x:c r="D4" s="15" t="str">
        <x:v>sku_ref</x:v>
      </x:c>
      <x:c r="E4" s="15" t="str">
        <x:v>scenario</x:v>
      </x:c>
      <x:c r="F4" s="15" t="str">
        <x:v>cost_mode</x:v>
      </x:c>
      <x:c r="G4" s="15" t="str">
        <x:v>cost_variant_key</x:v>
      </x:c>
      <x:c r="H4" s="15" t="str">
        <x:v>route_target_ref</x:v>
      </x:c>
      <x:c r="I4" s="15" t="str">
        <x:v>currency</x:v>
      </x:c>
      <x:c r="J4" s="15" t="str">
        <x:v>currency_to_usd_rate</x:v>
      </x:c>
      <x:c r="K4" s="15" t="str">
        <x:v>billing_multiplier</x:v>
      </x:c>
      <x:c r="L4" s="15" t="str">
        <x:v>purchase_discount_ratio</x:v>
      </x:c>
      <x:c r="M4" s="15" t="str">
        <x:v>recharge_exchange_ratio</x:v>
      </x:c>
      <x:c r="N4" s="15" t="str">
        <x:v>fee_rate</x:v>
      </x:c>
      <x:c r="O4" s="15" t="str">
        <x:v>native_unit_price</x:v>
      </x:c>
      <x:c r="P4" s="15" t="str">
        <x:v>normalized_usd_unit_price</x:v>
      </x:c>
      <x:c r="Q4" s="15" t="str">
        <x:v>status_proposal</x:v>
      </x:c>
      <x:c r="R4" s="15" t="str">
        <x:v>source_ref</x:v>
      </x:c>
      <x:c r="S4" s="16" t="str">
        <x:v>note</x:v>
      </x:c>
    </x:row>
    <x:row r="5">
      <x:c r="A5" s="20" t="str">
        <x:v>COST-V2/MAP-4STOKEN-R116-480</x:v>
      </x:c>
      <x:c r="B5" s="18" t="str">
        <x:v>channel-4stoken</x:v>
      </x:c>
      <x:c r="C5" s="18" t="str">
        <x:v>4sdance_fast431</x:v>
      </x:c>
      <x:c r="D5" s="18" t="str">
        <x:v>SKU-SD20-FAST-480</x:v>
      </x:c>
      <x:c r="E5" s="18" t="str">
        <x:v>no_video</x:v>
      </x:c>
      <x:c r="F5" s="18" t="str">
        <x:v>per_request</x:v>
      </x:c>
      <x:c r="G5" s="18" t="str">
        <x:v>480p</x:v>
      </x:c>
      <x:c r="H5" s="18" t="str">
        <x:v>ROUTE-MAP-4STOKEN-R116-480</x:v>
      </x:c>
      <x:c r="I5" s="18" t="str">
        <x:v>CNY</x:v>
      </x:c>
      <x:c r="J5" s="24" t="n">
        <x:v>0.136986301369863</x:v>
      </x:c>
      <x:c r="K5" s="24" t="n">
        <x:v>1</x:v>
      </x:c>
      <x:c r="L5" s="24" t="n">
        <x:v>1</x:v>
      </x:c>
      <x:c r="M5" s="24" t="n">
        <x:v>1</x:v>
      </x:c>
      <x:c r="N5" s="24" t="n">
        <x:v>0</x:v>
      </x:c>
      <x:c r="O5" s="24" t="n">
        <x:v>3.35</x:v>
      </x:c>
      <x:c r="P5" s="24" t="n">
        <x:f>IFERROR(O5*J5*K5*L5*M5*(1+N5),0)</x:f>
        <x:v>0.4589041095890411</x:v>
      </x:c>
      <x:c r="Q5" s="18" t="str">
        <x:v>disabled</x:v>
      </x:c>
      <x:c r="R5" s="18" t="str">
        <x:v>SRC-CH-09</x:v>
      </x:c>
      <x:c r="S5" s="19" t="str">
        <x:v>原始业务ID=COST-4STOKEN-R116-480-REQ; 来源定位=渠道成本!218</x:v>
      </x:c>
    </x:row>
    <x:row r="6">
      <x:c r="A6" s="20" t="str">
        <x:v>COST-V2/MAP-4STOKEN-R117-720</x:v>
      </x:c>
      <x:c r="B6" s="18" t="str">
        <x:v>channel-4stoken</x:v>
      </x:c>
      <x:c r="C6" s="18" t="str">
        <x:v>4sdance_fast431</x:v>
      </x:c>
      <x:c r="D6" s="18" t="str">
        <x:v>SKU-SD20-FAST-720</x:v>
      </x:c>
      <x:c r="E6" s="18" t="str">
        <x:v>no_video</x:v>
      </x:c>
      <x:c r="F6" s="18" t="str">
        <x:v>per_request</x:v>
      </x:c>
      <x:c r="G6" s="18" t="str">
        <x:v>720p</x:v>
      </x:c>
      <x:c r="H6" s="18" t="str">
        <x:v>ROUTE-MAP-4STOKEN-R117-720</x:v>
      </x:c>
      <x:c r="I6" s="18" t="str">
        <x:v>CNY</x:v>
      </x:c>
      <x:c r="J6" s="24" t="n">
        <x:v>0.136986301369863</x:v>
      </x:c>
      <x:c r="K6" s="24" t="n">
        <x:v>1</x:v>
      </x:c>
      <x:c r="L6" s="24" t="n">
        <x:v>1</x:v>
      </x:c>
      <x:c r="M6" s="24" t="n">
        <x:v>1</x:v>
      </x:c>
      <x:c r="N6" s="24" t="n">
        <x:v>0</x:v>
      </x:c>
      <x:c r="O6" s="24" t="n">
        <x:v>7.2</x:v>
      </x:c>
      <x:c r="P6" s="24" t="n">
        <x:f>IFERROR(O6*J6*K6*L6*M6*(1+N6),0)</x:f>
        <x:v>0.9863013698630136</x:v>
      </x:c>
      <x:c r="Q6" s="18" t="str">
        <x:v>disabled</x:v>
      </x:c>
      <x:c r="R6" s="18" t="str">
        <x:v>SRC-CH-09</x:v>
      </x:c>
      <x:c r="S6" s="19" t="str">
        <x:v>原始业务ID=COST-4STOKEN-R117-720-REQ; 来源定位=渠道成本!220</x:v>
      </x:c>
    </x:row>
    <x:row r="7">
      <x:c r="A7" s="20" t="str">
        <x:v>COST-V2/MAP-4STOKEN-R118-1080</x:v>
      </x:c>
      <x:c r="B7" s="18" t="str">
        <x:v>channel-4stoken</x:v>
      </x:c>
      <x:c r="C7" s="18" t="str">
        <x:v>4sdance_fast431</x:v>
      </x:c>
      <x:c r="D7" s="18" t="str">
        <x:v>SKU-SD20-FAST-1080</x:v>
      </x:c>
      <x:c r="E7" s="18" t="str">
        <x:v>no_video</x:v>
      </x:c>
      <x:c r="F7" s="18" t="str">
        <x:v>per_request</x:v>
      </x:c>
      <x:c r="G7" s="18" t="str">
        <x:v>1080p</x:v>
      </x:c>
      <x:c r="H7" s="18" t="str">
        <x:v>ROUTE-MAP-4STOKEN-R118-1080</x:v>
      </x:c>
      <x:c r="I7" s="18" t="str">
        <x:v>CNY</x:v>
      </x:c>
      <x:c r="J7" s="24" t="n">
        <x:v>0.136986301369863</x:v>
      </x:c>
      <x:c r="K7" s="24" t="n">
        <x:v>1</x:v>
      </x:c>
      <x:c r="L7" s="24" t="n">
        <x:v>1</x:v>
      </x:c>
      <x:c r="M7" s="24" t="n">
        <x:v>1</x:v>
      </x:c>
      <x:c r="N7" s="24" t="n">
        <x:v>0</x:v>
      </x:c>
      <x:c r="O7" s="24" t="n">
        <x:v>7.2</x:v>
      </x:c>
      <x:c r="P7" s="24" t="n">
        <x:f>IFERROR(O7*J7*K7*L7*M7*(1+N7),0)</x:f>
        <x:v>0.9863013698630136</x:v>
      </x:c>
      <x:c r="Q7" s="18" t="str">
        <x:v>disabled</x:v>
      </x:c>
      <x:c r="R7" s="18" t="str">
        <x:v>SRC-CH-09</x:v>
      </x:c>
      <x:c r="S7" s="19" t="str">
        <x:v>原始业务ID=COST-4STOKEN-R118-1080-REQ; 来源定位=渠道成本!222</x:v>
      </x:c>
    </x:row>
    <x:row r="8">
      <x:c r="A8" s="20" t="str">
        <x:v>COST-V2/MAP-4STOKEN-R119-480</x:v>
      </x:c>
      <x:c r="B8" s="18" t="str">
        <x:v>channel-4stoken</x:v>
      </x:c>
      <x:c r="C8" s="18" t="str">
        <x:v>4sdance431</x:v>
      </x:c>
      <x:c r="D8" s="18" t="str">
        <x:v>SKU-SD20-STD-480</x:v>
      </x:c>
      <x:c r="E8" s="18" t="str">
        <x:v>no_video</x:v>
      </x:c>
      <x:c r="F8" s="18" t="str">
        <x:v>per_request</x:v>
      </x:c>
      <x:c r="G8" s="18" t="str">
        <x:v>480p</x:v>
      </x:c>
      <x:c r="H8" s="18" t="str">
        <x:v>ROUTE-MAP-4STOKEN-R119-480</x:v>
      </x:c>
      <x:c r="I8" s="18" t="str">
        <x:v>CNY</x:v>
      </x:c>
      <x:c r="J8" s="24" t="n">
        <x:v>0.136986301369863</x:v>
      </x:c>
      <x:c r="K8" s="24" t="n">
        <x:v>1</x:v>
      </x:c>
      <x:c r="L8" s="24" t="n">
        <x:v>1</x:v>
      </x:c>
      <x:c r="M8" s="24" t="n">
        <x:v>1</x:v>
      </x:c>
      <x:c r="N8" s="24" t="n">
        <x:v>0</x:v>
      </x:c>
      <x:c r="O8" s="24" t="n">
        <x:v>4.1</x:v>
      </x:c>
      <x:c r="P8" s="24" t="n">
        <x:f>IFERROR(O8*J8*K8*L8*M8*(1+N8),0)</x:f>
        <x:v>0.5616438356164383</x:v>
      </x:c>
      <x:c r="Q8" s="18" t="str">
        <x:v>disabled</x:v>
      </x:c>
      <x:c r="R8" s="18" t="str">
        <x:v>SRC-CH-09</x:v>
      </x:c>
      <x:c r="S8" s="19" t="str">
        <x:v>原始业务ID=COST-4STOKEN-R119-480-REQ; 来源定位=渠道成本!224</x:v>
      </x:c>
    </x:row>
    <x:row r="9">
      <x:c r="A9" s="20" t="str">
        <x:v>COST-V2/MAP-4STOKEN-R120-720</x:v>
      </x:c>
      <x:c r="B9" s="18" t="str">
        <x:v>channel-4stoken</x:v>
      </x:c>
      <x:c r="C9" s="18" t="str">
        <x:v>4sdance431</x:v>
      </x:c>
      <x:c r="D9" s="18" t="str">
        <x:v>SKU-SD20-STD-720</x:v>
      </x:c>
      <x:c r="E9" s="18" t="str">
        <x:v>no_video</x:v>
      </x:c>
      <x:c r="F9" s="18" t="str">
        <x:v>per_request</x:v>
      </x:c>
      <x:c r="G9" s="18" t="str">
        <x:v>720p</x:v>
      </x:c>
      <x:c r="H9" s="18" t="str">
        <x:v>ROUTE-MAP-4STOKEN-R120-720</x:v>
      </x:c>
      <x:c r="I9" s="18" t="str">
        <x:v>CNY</x:v>
      </x:c>
      <x:c r="J9" s="24" t="n">
        <x:v>0.136986301369863</x:v>
      </x:c>
      <x:c r="K9" s="24" t="n">
        <x:v>1</x:v>
      </x:c>
      <x:c r="L9" s="24" t="n">
        <x:v>1</x:v>
      </x:c>
      <x:c r="M9" s="24" t="n">
        <x:v>1</x:v>
      </x:c>
      <x:c r="N9" s="24" t="n">
        <x:v>0</x:v>
      </x:c>
      <x:c r="O9" s="24" t="n">
        <x:v>8.9</x:v>
      </x:c>
      <x:c r="P9" s="24" t="n">
        <x:f>IFERROR(O9*J9*K9*L9*M9*(1+N9),0)</x:f>
        <x:v>1.2191780821917808</x:v>
      </x:c>
      <x:c r="Q9" s="18" t="str">
        <x:v>disabled</x:v>
      </x:c>
      <x:c r="R9" s="18" t="str">
        <x:v>SRC-CH-09</x:v>
      </x:c>
      <x:c r="S9" s="19" t="str">
        <x:v>原始业务ID=COST-4STOKEN-R120-720-REQ; 来源定位=渠道成本!226</x:v>
      </x:c>
    </x:row>
    <x:row r="10">
      <x:c r="A10" s="20" t="str">
        <x:v>COST-V2/MAP-4STOKEN-R121-720</x:v>
      </x:c>
      <x:c r="B10" s="18" t="str">
        <x:v>channel-4stoken</x:v>
      </x:c>
      <x:c r="C10" s="18" t="str">
        <x:v>4sdance_v2.0_900</x:v>
      </x:c>
      <x:c r="D10" s="18" t="str">
        <x:v>SKU-SD20-STD-720</x:v>
      </x:c>
      <x:c r="E10" s="18" t="str">
        <x:v>no_video</x:v>
      </x:c>
      <x:c r="F10" s="18" t="str">
        <x:v>per_request</x:v>
      </x:c>
      <x:c r="G10" s="18" t="str">
        <x:v>720p</x:v>
      </x:c>
      <x:c r="H10" s="18" t="str">
        <x:v>ROUTE-MAP-4STOKEN-R121-720</x:v>
      </x:c>
      <x:c r="I10" s="18" t="str">
        <x:v>CNY</x:v>
      </x:c>
      <x:c r="J10" s="24" t="n">
        <x:v>0.136986301369863</x:v>
      </x:c>
      <x:c r="K10" s="24" t="n">
        <x:v>1</x:v>
      </x:c>
      <x:c r="L10" s="24" t="n">
        <x:v>1</x:v>
      </x:c>
      <x:c r="M10" s="24" t="n">
        <x:v>1</x:v>
      </x:c>
      <x:c r="N10" s="24" t="n">
        <x:v>0</x:v>
      </x:c>
      <x:c r="O10" s="24" t="n">
        <x:v>6</x:v>
      </x:c>
      <x:c r="P10" s="24" t="n">
        <x:f>IFERROR(O10*J10*K10*L10*M10*(1+N10),0)</x:f>
        <x:v>0.821917808219178</x:v>
      </x:c>
      <x:c r="Q10" s="18" t="str">
        <x:v>disabled</x:v>
      </x:c>
      <x:c r="R10" s="18" t="str">
        <x:v>SRC-CH-09</x:v>
      </x:c>
      <x:c r="S10" s="19" t="str">
        <x:v>原始业务ID=COST-4STOKEN-R121-720-REQ; 来源定位=渠道成本!228</x:v>
      </x:c>
    </x:row>
    <x:row r="11">
      <x:c r="A11" s="20" t="str">
        <x:v>COST-V2/MAP-4STOKEN-R122-720</x:v>
      </x:c>
      <x:c r="B11" s="18" t="str">
        <x:v>channel-4stoken</x:v>
      </x:c>
      <x:c r="C11" s="18" t="str">
        <x:v>4sdance933_fast</x:v>
      </x:c>
      <x:c r="D11" s="18" t="str">
        <x:v>SKU-SD20-FAST-720</x:v>
      </x:c>
      <x:c r="E11" s="18" t="str">
        <x:v>no_video</x:v>
      </x:c>
      <x:c r="F11" s="18" t="str">
        <x:v>per_duration</x:v>
      </x:c>
      <x:c r="G11" s="18" t="str">
        <x:v>720p</x:v>
      </x:c>
      <x:c r="H11" s="18" t="str">
        <x:v>ROUTE-MAP-4STOKEN-R122-720</x:v>
      </x:c>
      <x:c r="I11" s="18" t="str">
        <x:v>CNY</x:v>
      </x:c>
      <x:c r="J11" s="24" t="n">
        <x:v>0.136986301369863</x:v>
      </x:c>
      <x:c r="K11" s="24" t="n">
        <x:v>1</x:v>
      </x:c>
      <x:c r="L11" s="24" t="n">
        <x:v>1</x:v>
      </x:c>
      <x:c r="M11" s="24" t="n">
        <x:v>1</x:v>
      </x:c>
      <x:c r="N11" s="24" t="n">
        <x:v>0</x:v>
      </x:c>
      <x:c r="O11" s="24" t="n">
        <x:v>0.48</x:v>
      </x:c>
      <x:c r="P11" s="24" t="n">
        <x:f>IFERROR(O11*J11*K11*L11*M11*(1+N11),0)</x:f>
        <x:v>0.06575342465753424</x:v>
      </x:c>
      <x:c r="Q11" s="18" t="str">
        <x:v>disabled</x:v>
      </x:c>
      <x:c r="R11" s="18" t="str">
        <x:v>SRC-CH-09</x:v>
      </x:c>
      <x:c r="S11" s="19" t="str">
        <x:v>原始业务ID=COST-4STOKEN-R122-720-SEC; 来源定位=渠道成本!229</x:v>
      </x:c>
    </x:row>
    <x:row r="12">
      <x:c r="A12" s="20" t="str">
        <x:v>COST-V2/MAP-4STOKEN-R123-720</x:v>
      </x:c>
      <x:c r="B12" s="18" t="str">
        <x:v>channel-4stoken</x:v>
      </x:c>
      <x:c r="C12" s="18" t="str">
        <x:v>4sdance_fast_933face</x:v>
      </x:c>
      <x:c r="D12" s="18" t="str">
        <x:v>SKU-SD20-FAST-720</x:v>
      </x:c>
      <x:c r="E12" s="18" t="str">
        <x:v>no_video</x:v>
      </x:c>
      <x:c r="F12" s="18" t="str">
        <x:v>per_duration</x:v>
      </x:c>
      <x:c r="G12" s="18" t="str">
        <x:v>720p</x:v>
      </x:c>
      <x:c r="H12" s="18" t="str">
        <x:v>ROUTE-MAP-4STOKEN-R123-720</x:v>
      </x:c>
      <x:c r="I12" s="18" t="str">
        <x:v>CNY</x:v>
      </x:c>
      <x:c r="J12" s="24" t="n">
        <x:v>0.136986301369863</x:v>
      </x:c>
      <x:c r="K12" s="24" t="n">
        <x:v>1</x:v>
      </x:c>
      <x:c r="L12" s="24" t="n">
        <x:v>1</x:v>
      </x:c>
      <x:c r="M12" s="24" t="n">
        <x:v>1</x:v>
      </x:c>
      <x:c r="N12" s="24" t="n">
        <x:v>0</x:v>
      </x:c>
      <x:c r="O12" s="24" t="n">
        <x:v>0.48</x:v>
      </x:c>
      <x:c r="P12" s="24" t="n">
        <x:f>IFERROR(O12*J12*K12*L12*M12*(1+N12),0)</x:f>
        <x:v>0.06575342465753424</x:v>
      </x:c>
      <x:c r="Q12" s="18" t="str">
        <x:v>disabled</x:v>
      </x:c>
      <x:c r="R12" s="18" t="str">
        <x:v>SRC-CH-09</x:v>
      </x:c>
      <x:c r="S12" s="19" t="str">
        <x:v>原始业务ID=COST-4STOKEN-R123-720-SEC; 来源定位=渠道成本!231</x:v>
      </x:c>
    </x:row>
    <x:row r="13">
      <x:c r="A13" s="20" t="str">
        <x:v>COST-V2/MAP-4STOKEN-R124-720</x:v>
      </x:c>
      <x:c r="B13" s="18" t="str">
        <x:v>channel-4stoken</x:v>
      </x:c>
      <x:c r="C13" s="18" t="str">
        <x:v>4sdance933</x:v>
      </x:c>
      <x:c r="D13" s="18" t="str">
        <x:v>SKU-SD20-STD-720</x:v>
      </x:c>
      <x:c r="E13" s="18" t="str">
        <x:v>no_video</x:v>
      </x:c>
      <x:c r="F13" s="18" t="str">
        <x:v>per_duration</x:v>
      </x:c>
      <x:c r="G13" s="18" t="str">
        <x:v>720p</x:v>
      </x:c>
      <x:c r="H13" s="18" t="str">
        <x:v>ROUTE-MAP-4STOKEN-R124-720</x:v>
      </x:c>
      <x:c r="I13" s="18" t="str">
        <x:v>CNY</x:v>
      </x:c>
      <x:c r="J13" s="24" t="n">
        <x:v>0.136986301369863</x:v>
      </x:c>
      <x:c r="K13" s="24" t="n">
        <x:v>1</x:v>
      </x:c>
      <x:c r="L13" s="24" t="n">
        <x:v>1</x:v>
      </x:c>
      <x:c r="M13" s="24" t="n">
        <x:v>1</x:v>
      </x:c>
      <x:c r="N13" s="24" t="n">
        <x:v>0</x:v>
      </x:c>
      <x:c r="O13" s="24" t="n">
        <x:v>0.6</x:v>
      </x:c>
      <x:c r="P13" s="24" t="n">
        <x:f>IFERROR(O13*J13*K13*L13*M13*(1+N13),0)</x:f>
        <x:v>0.0821917808219178</x:v>
      </x:c>
      <x:c r="Q13" s="18" t="str">
        <x:v>disabled</x:v>
      </x:c>
      <x:c r="R13" s="18" t="str">
        <x:v>SRC-CH-09</x:v>
      </x:c>
      <x:c r="S13" s="19" t="str">
        <x:v>原始业务ID=COST-4STOKEN-R124-720-SEC; 来源定位=渠道成本!233</x:v>
      </x:c>
    </x:row>
    <x:row r="14">
      <x:c r="A14" s="20" t="str">
        <x:v>COST-V2/MAP-4STOKEN-R125-480</x:v>
      </x:c>
      <x:c r="B14" s="18" t="str">
        <x:v>channel-4stoken</x:v>
      </x:c>
      <x:c r="C14" s="18" t="str">
        <x:v>4sdance_431_480p</x:v>
      </x:c>
      <x:c r="D14" s="18" t="str">
        <x:v>SKU-SD20-STD-480</x:v>
      </x:c>
      <x:c r="E14" s="18" t="str">
        <x:v>no_video</x:v>
      </x:c>
      <x:c r="F14" s="18" t="str">
        <x:v>per_request</x:v>
      </x:c>
      <x:c r="G14" s="18" t="str">
        <x:v>480p</x:v>
      </x:c>
      <x:c r="H14" s="18" t="str">
        <x:v>ROUTE-MAP-4STOKEN-R125-480</x:v>
      </x:c>
      <x:c r="I14" s="18" t="str">
        <x:v>CNY</x:v>
      </x:c>
      <x:c r="J14" s="24" t="n">
        <x:v>0.136986301369863</x:v>
      </x:c>
      <x:c r="K14" s="24" t="n">
        <x:v>1</x:v>
      </x:c>
      <x:c r="L14" s="24" t="n">
        <x:v>1</x:v>
      </x:c>
      <x:c r="M14" s="24" t="n">
        <x:v>1</x:v>
      </x:c>
      <x:c r="N14" s="24" t="n">
        <x:v>0</x:v>
      </x:c>
      <x:c r="O14" s="24" t="n">
        <x:v>4.1</x:v>
      </x:c>
      <x:c r="P14" s="24" t="n">
        <x:f>IFERROR(O14*J14*K14*L14*M14*(1+N14),0)</x:f>
        <x:v>0.5616438356164383</x:v>
      </x:c>
      <x:c r="Q14" s="18" t="str">
        <x:v>disabled</x:v>
      </x:c>
      <x:c r="R14" s="18" t="str">
        <x:v>SRC-CH-09</x:v>
      </x:c>
      <x:c r="S14" s="19" t="str">
        <x:v>原始业务ID=COST-4STOKEN-R125-480-REQ; 来源定位=渠道成本!235</x:v>
      </x:c>
    </x:row>
    <x:row r="15">
      <x:c r="A15" s="20" t="str">
        <x:v>COST-V2/MAP-8YES-R60-480</x:v>
      </x:c>
      <x:c r="B15" s="18" t="str">
        <x:v>channel-8yes</x:v>
      </x:c>
      <x:c r="C15" s="18" t="str">
        <x:v>seedance-2.0</x:v>
      </x:c>
      <x:c r="D15" s="18" t="str">
        <x:v>SKU-SD20-STD-480</x:v>
      </x:c>
      <x:c r="E15" s="18" t="str">
        <x:v>no_video</x:v>
      </x:c>
      <x:c r="F15" s="18" t="str">
        <x:v>per_request</x:v>
      </x:c>
      <x:c r="G15" s="18" t="str">
        <x:v>480p</x:v>
      </x:c>
      <x:c r="H15" s="18" t="str">
        <x:v>ROUTE-MAP-8YES-R60-480</x:v>
      </x:c>
      <x:c r="I15" s="18" t="str">
        <x:v>CNY</x:v>
      </x:c>
      <x:c r="J15" s="24" t="n">
        <x:v>0.136986301369863</x:v>
      </x:c>
      <x:c r="K15" s="24" t="n">
        <x:v>1</x:v>
      </x:c>
      <x:c r="L15" s="24" t="n">
        <x:v>1</x:v>
      </x:c>
      <x:c r="M15" s="24" t="n">
        <x:v>1</x:v>
      </x:c>
      <x:c r="N15" s="24" t="n">
        <x:v>0.01</x:v>
      </x:c>
      <x:c r="O15" s="24" t="n">
        <x:v>5.005</x:v>
      </x:c>
      <x:c r="P15" s="24" t="n">
        <x:f>IFERROR(O15*J15*K15*L15*M15*(1+N15),0)</x:f>
        <x:v>0.692472602739726</x:v>
      </x:c>
      <x:c r="Q15" s="18" t="str">
        <x:v>disabled</x:v>
      </x:c>
      <x:c r="R15" s="18" t="str">
        <x:v>SRC-CH-04</x:v>
      </x:c>
      <x:c r="S15" s="19" t="str">
        <x:v>原始业务ID=COST-8YES-R60-480-REQ; 来源定位=渠道成本!110</x:v>
      </x:c>
    </x:row>
    <x:row r="16">
      <x:c r="A16" s="20" t="str">
        <x:v>COST-V2/MAP-8YES-R60-720</x:v>
      </x:c>
      <x:c r="B16" s="18" t="str">
        <x:v>channel-8yes</x:v>
      </x:c>
      <x:c r="C16" s="18" t="str">
        <x:v>seedance-2.0</x:v>
      </x:c>
      <x:c r="D16" s="18" t="str">
        <x:v>SKU-SD20-STD-720</x:v>
      </x:c>
      <x:c r="E16" s="18" t="str">
        <x:v>no_video</x:v>
      </x:c>
      <x:c r="F16" s="18" t="str">
        <x:v>per_request</x:v>
      </x:c>
      <x:c r="G16" s="18" t="str">
        <x:v>720p</x:v>
      </x:c>
      <x:c r="H16" s="18" t="str">
        <x:v>ROUTE-MAP-8YES-R60-720</x:v>
      </x:c>
      <x:c r="I16" s="18" t="str">
        <x:v>CNY</x:v>
      </x:c>
      <x:c r="J16" s="24" t="n">
        <x:v>0.136986301369863</x:v>
      </x:c>
      <x:c r="K16" s="24" t="n">
        <x:v>1</x:v>
      </x:c>
      <x:c r="L16" s="24" t="n">
        <x:v>1</x:v>
      </x:c>
      <x:c r="M16" s="24" t="n">
        <x:v>1</x:v>
      </x:c>
      <x:c r="N16" s="24" t="n">
        <x:v>0.01</x:v>
      </x:c>
      <x:c r="O16" s="24" t="n">
        <x:v>5.005</x:v>
      </x:c>
      <x:c r="P16" s="24" t="n">
        <x:f>IFERROR(O16*J16*K16*L16*M16*(1+N16),0)</x:f>
        <x:v>0.692472602739726</x:v>
      </x:c>
      <x:c r="Q16" s="18" t="str">
        <x:v>disabled</x:v>
      </x:c>
      <x:c r="R16" s="18" t="str">
        <x:v>SRC-CH-04</x:v>
      </x:c>
      <x:c r="S16" s="19" t="str">
        <x:v>原始业务ID=COST-8YES-R60-720-REQ; 来源定位=渠道成本!112</x:v>
      </x:c>
    </x:row>
    <x:row r="17">
      <x:c r="A17" s="20" t="str">
        <x:v>COST-V2/MAP-8YES-R61-1080</x:v>
      </x:c>
      <x:c r="B17" s="18" t="str">
        <x:v>channel-8yes</x:v>
      </x:c>
      <x:c r="C17" s="18" t="str">
        <x:v>seedance-2.0-1080p</x:v>
      </x:c>
      <x:c r="D17" s="18" t="str">
        <x:v>SKU-SD20-STD-1080</x:v>
      </x:c>
      <x:c r="E17" s="18" t="str">
        <x:v>no_video</x:v>
      </x:c>
      <x:c r="F17" s="18" t="str">
        <x:v>per_duration</x:v>
      </x:c>
      <x:c r="G17" s="18" t="str">
        <x:v>1080p</x:v>
      </x:c>
      <x:c r="H17" s="18" t="str">
        <x:v>ROUTE-MAP-8YES-R61-1080</x:v>
      </x:c>
      <x:c r="I17" s="18" t="str">
        <x:v>CNY</x:v>
      </x:c>
      <x:c r="J17" s="24" t="n">
        <x:v>0.136986301369863</x:v>
      </x:c>
      <x:c r="K17" s="24" t="n">
        <x:v>1</x:v>
      </x:c>
      <x:c r="L17" s="24" t="n">
        <x:v>1</x:v>
      </x:c>
      <x:c r="M17" s="24" t="n">
        <x:v>1</x:v>
      </x:c>
      <x:c r="N17" s="24" t="n">
        <x:v>0.01</x:v>
      </x:c>
      <x:c r="O17" s="24" t="n">
        <x:v>1.95</x:v>
      </x:c>
      <x:c r="P17" s="24" t="n">
        <x:f>IFERROR(O17*J17*K17*L17*M17*(1+N17),0)</x:f>
        <x:v>0.26979452054794517</x:v>
      </x:c>
      <x:c r="Q17" s="18" t="str">
        <x:v>disabled</x:v>
      </x:c>
      <x:c r="R17" s="18" t="str">
        <x:v>SRC-CH-04</x:v>
      </x:c>
      <x:c r="S17" s="19" t="str">
        <x:v>原始业务ID=COST-8YES-R61-1080-SEC; 来源定位=渠道成本!114</x:v>
      </x:c>
    </x:row>
    <x:row r="18">
      <x:c r="A18" s="20" t="str">
        <x:v>COST-V2/MAP-8YES-R62-480</x:v>
      </x:c>
      <x:c r="B18" s="18" t="str">
        <x:v>channel-8yes</x:v>
      </x:c>
      <x:c r="C18" s="18" t="str">
        <x:v>seedance-2.0-480p</x:v>
      </x:c>
      <x:c r="D18" s="18" t="str">
        <x:v>SKU-SD20-STD-480</x:v>
      </x:c>
      <x:c r="E18" s="18" t="str">
        <x:v>no_video</x:v>
      </x:c>
      <x:c r="F18" s="18" t="str">
        <x:v>per_duration</x:v>
      </x:c>
      <x:c r="G18" s="18" t="str">
        <x:v>480p</x:v>
      </x:c>
      <x:c r="H18" s="18" t="str">
        <x:v>ROUTE-MAP-8YES-R62-480</x:v>
      </x:c>
      <x:c r="I18" s="18" t="str">
        <x:v>CNY</x:v>
      </x:c>
      <x:c r="J18" s="24" t="n">
        <x:v>0.136986301369863</x:v>
      </x:c>
      <x:c r="K18" s="24" t="n">
        <x:v>1</x:v>
      </x:c>
      <x:c r="L18" s="24" t="n">
        <x:v>1</x:v>
      </x:c>
      <x:c r="M18" s="24" t="n">
        <x:v>1</x:v>
      </x:c>
      <x:c r="N18" s="24" t="n">
        <x:v>0.01</x:v>
      </x:c>
      <x:c r="O18" s="24" t="n">
        <x:v>0.585</x:v>
      </x:c>
      <x:c r="P18" s="24" t="n">
        <x:f>IFERROR(O18*J18*K18*L18*M18*(1+N18),0)</x:f>
        <x:v>0.08093835616438355</x:v>
      </x:c>
      <x:c r="Q18" s="18" t="str">
        <x:v>disabled</x:v>
      </x:c>
      <x:c r="R18" s="18" t="str">
        <x:v>SRC-CH-04</x:v>
      </x:c>
      <x:c r="S18" s="19" t="str">
        <x:v>原始业务ID=COST-8YES-R62-480-SEC; 来源定位=渠道成本!116</x:v>
      </x:c>
    </x:row>
    <x:row r="19">
      <x:c r="A19" s="20" t="str">
        <x:v>COST-V2/MAP-8YES-R63-4K</x:v>
      </x:c>
      <x:c r="B19" s="18" t="str">
        <x:v>channel-8yes</x:v>
      </x:c>
      <x:c r="C19" s="18" t="str">
        <x:v>seedance-2.0-4k</x:v>
      </x:c>
      <x:c r="D19" s="18" t="str">
        <x:v>SKU-SD20-STD-4K</x:v>
      </x:c>
      <x:c r="E19" s="18" t="str">
        <x:v>no_video</x:v>
      </x:c>
      <x:c r="F19" s="18" t="str">
        <x:v>per_duration</x:v>
      </x:c>
      <x:c r="G19" s="18" t="str">
        <x:v>4k</x:v>
      </x:c>
      <x:c r="H19" s="18" t="str">
        <x:v>ROUTE-MAP-8YES-R63-4K</x:v>
      </x:c>
      <x:c r="I19" s="18" t="str">
        <x:v>CNY</x:v>
      </x:c>
      <x:c r="J19" s="24" t="n">
        <x:v>0.136986301369863</x:v>
      </x:c>
      <x:c r="K19" s="24" t="n">
        <x:v>1</x:v>
      </x:c>
      <x:c r="L19" s="24" t="n">
        <x:v>1</x:v>
      </x:c>
      <x:c r="M19" s="24" t="n">
        <x:v>1</x:v>
      </x:c>
      <x:c r="N19" s="24" t="n">
        <x:v>0.01</x:v>
      </x:c>
      <x:c r="O19" s="24" t="n">
        <x:v>3.9</x:v>
      </x:c>
      <x:c r="P19" s="24" t="n">
        <x:f>IFERROR(O19*J19*K19*L19*M19*(1+N19),0)</x:f>
        <x:v>0.5395890410958903</x:v>
      </x:c>
      <x:c r="Q19" s="18" t="str">
        <x:v>disabled</x:v>
      </x:c>
      <x:c r="R19" s="18" t="str">
        <x:v>SRC-CH-04</x:v>
      </x:c>
      <x:c r="S19" s="19" t="str">
        <x:v>原始业务ID=COST-8YES-R63-4K-SEC; 来源定位=渠道成本!118</x:v>
      </x:c>
    </x:row>
    <x:row r="20">
      <x:c r="A20" s="20" t="str">
        <x:v>COST-V2/MAP-8YES-R64-720</x:v>
      </x:c>
      <x:c r="B20" s="18" t="str">
        <x:v>channel-8yes</x:v>
      </x:c>
      <x:c r="C20" s="18" t="str">
        <x:v>seedance-2.0-720p</x:v>
      </x:c>
      <x:c r="D20" s="18" t="str">
        <x:v>SKU-SD20-STD-720</x:v>
      </x:c>
      <x:c r="E20" s="18" t="str">
        <x:v>no_video</x:v>
      </x:c>
      <x:c r="F20" s="18" t="str">
        <x:v>per_duration</x:v>
      </x:c>
      <x:c r="G20" s="18" t="str">
        <x:v>720p</x:v>
      </x:c>
      <x:c r="H20" s="18" t="str">
        <x:v>ROUTE-MAP-8YES-R64-720</x:v>
      </x:c>
      <x:c r="I20" s="18" t="str">
        <x:v>CNY</x:v>
      </x:c>
      <x:c r="J20" s="24" t="n">
        <x:v>0.136986301369863</x:v>
      </x:c>
      <x:c r="K20" s="24" t="n">
        <x:v>1</x:v>
      </x:c>
      <x:c r="L20" s="24" t="n">
        <x:v>1</x:v>
      </x:c>
      <x:c r="M20" s="24" t="n">
        <x:v>1</x:v>
      </x:c>
      <x:c r="N20" s="24" t="n">
        <x:v>0.01</x:v>
      </x:c>
      <x:c r="O20" s="24" t="n">
        <x:v>0.845</x:v>
      </x:c>
      <x:c r="P20" s="24" t="n">
        <x:f>IFERROR(O20*J20*K20*L20*M20*(1+N20),0)</x:f>
        <x:v>0.11691095890410959</x:v>
      </x:c>
      <x:c r="Q20" s="18" t="str">
        <x:v>disabled</x:v>
      </x:c>
      <x:c r="R20" s="18" t="str">
        <x:v>SRC-CH-04</x:v>
      </x:c>
      <x:c r="S20" s="19" t="str">
        <x:v>原始业务ID=COST-8YES-R64-720-SEC; 来源定位=渠道成本!120</x:v>
      </x:c>
    </x:row>
    <x:row r="21">
      <x:c r="A21" s="20" t="str">
        <x:v>COST-V2/MAP-CANGYUANSUANLI-R77-480</x:v>
      </x:c>
      <x:c r="B21" s="18" t="str">
        <x:v>channel-cangyuansuanli</x:v>
      </x:c>
      <x:c r="C21" s="18" t="str">
        <x:v>sd5-seedance-2.0</x:v>
      </x:c>
      <x:c r="D21" s="18" t="str">
        <x:v>SKU-SD20-STD-480</x:v>
      </x:c>
      <x:c r="E21" s="18" t="str">
        <x:v>no_video</x:v>
      </x:c>
      <x:c r="F21" s="18" t="str">
        <x:v>per_request</x:v>
      </x:c>
      <x:c r="G21" s="18" t="str">
        <x:v>480p</x:v>
      </x:c>
      <x:c r="H21" s="18" t="str">
        <x:v>ROUTE-MAP-CANGYUANSUANLI-R77-480</x:v>
      </x:c>
      <x:c r="I21" s="18" t="str">
        <x:v>CNY</x:v>
      </x:c>
      <x:c r="J21" s="24" t="n">
        <x:v>0.136986301369863</x:v>
      </x:c>
      <x:c r="K21" s="24" t="n">
        <x:v>1</x:v>
      </x:c>
      <x:c r="L21" s="24" t="n">
        <x:v>1</x:v>
      </x:c>
      <x:c r="M21" s="24" t="n">
        <x:v>1</x:v>
      </x:c>
      <x:c r="N21" s="24" t="n">
        <x:v>0</x:v>
      </x:c>
      <x:c r="O21" s="24" t="n">
        <x:v>3.85</x:v>
      </x:c>
      <x:c r="P21" s="24" t="n">
        <x:f>IFERROR(O21*J21*K21*L21*M21*(1+N21),0)</x:f>
        <x:v>0.5273972602739726</x:v>
      </x:c>
      <x:c r="Q21" s="18" t="str">
        <x:v>disabled</x:v>
      </x:c>
      <x:c r="R21" s="18" t="str">
        <x:v>SRC-CH-06</x:v>
      </x:c>
      <x:c r="S21" s="19" t="str">
        <x:v>原始业务ID=COST-CANGYUANSUANLI-R77-480-REQ; 来源定位=渠道成本!136</x:v>
      </x:c>
    </x:row>
    <x:row r="22">
      <x:c r="A22" s="20" t="str">
        <x:v>COST-V2/MAP-CANGYUANSUANLI-R77-720</x:v>
      </x:c>
      <x:c r="B22" s="18" t="str">
        <x:v>channel-cangyuansuanli</x:v>
      </x:c>
      <x:c r="C22" s="18" t="str">
        <x:v>sd5-seedance-2.0</x:v>
      </x:c>
      <x:c r="D22" s="18" t="str">
        <x:v>SKU-SD20-STD-720</x:v>
      </x:c>
      <x:c r="E22" s="18" t="str">
        <x:v>no_video</x:v>
      </x:c>
      <x:c r="F22" s="18" t="str">
        <x:v>per_request</x:v>
      </x:c>
      <x:c r="G22" s="18" t="str">
        <x:v>720p</x:v>
      </x:c>
      <x:c r="H22" s="18" t="str">
        <x:v>ROUTE-MAP-CANGYUANSUANLI-R77-720</x:v>
      </x:c>
      <x:c r="I22" s="18" t="str">
        <x:v>CNY</x:v>
      </x:c>
      <x:c r="J22" s="24" t="n">
        <x:v>0.136986301369863</x:v>
      </x:c>
      <x:c r="K22" s="24" t="n">
        <x:v>1</x:v>
      </x:c>
      <x:c r="L22" s="24" t="n">
        <x:v>1</x:v>
      </x:c>
      <x:c r="M22" s="24" t="n">
        <x:v>1</x:v>
      </x:c>
      <x:c r="N22" s="24" t="n">
        <x:v>0</x:v>
      </x:c>
      <x:c r="O22" s="24" t="n">
        <x:v>3.85</x:v>
      </x:c>
      <x:c r="P22" s="24" t="n">
        <x:f>IFERROR(O22*J22*K22*L22*M22*(1+N22),0)</x:f>
        <x:v>0.5273972602739726</x:v>
      </x:c>
      <x:c r="Q22" s="18" t="str">
        <x:v>disabled</x:v>
      </x:c>
      <x:c r="R22" s="18" t="str">
        <x:v>SRC-CH-06</x:v>
      </x:c>
      <x:c r="S22" s="19" t="str">
        <x:v>原始业务ID=COST-CANGYUANSUANLI-R77-720-REQ; 来源定位=渠道成本!138</x:v>
      </x:c>
    </x:row>
    <x:row r="23">
      <x:c r="A23" s="20" t="str">
        <x:v>COST-V2/MAP-CANGYUANSUANLI-R78-480</x:v>
      </x:c>
      <x:c r="B23" s="18" t="str">
        <x:v>channel-cangyuansuanli</x:v>
      </x:c>
      <x:c r="C23" s="18" t="str">
        <x:v>sd5-seedance-2.0-fast</x:v>
      </x:c>
      <x:c r="D23" s="18" t="str">
        <x:v>SKU-SD20-FAST-480</x:v>
      </x:c>
      <x:c r="E23" s="18" t="str">
        <x:v>no_video</x:v>
      </x:c>
      <x:c r="F23" s="18" t="str">
        <x:v>per_request</x:v>
      </x:c>
      <x:c r="G23" s="18" t="str">
        <x:v>480p</x:v>
      </x:c>
      <x:c r="H23" s="18" t="str">
        <x:v>ROUTE-MAP-CANGYUANSUANLI-R78-480</x:v>
      </x:c>
      <x:c r="I23" s="18" t="str">
        <x:v>CNY</x:v>
      </x:c>
      <x:c r="J23" s="24" t="n">
        <x:v>0.136986301369863</x:v>
      </x:c>
      <x:c r="K23" s="24" t="n">
        <x:v>1</x:v>
      </x:c>
      <x:c r="L23" s="24" t="n">
        <x:v>1</x:v>
      </x:c>
      <x:c r="M23" s="24" t="n">
        <x:v>1</x:v>
      </x:c>
      <x:c r="N23" s="24" t="n">
        <x:v>0</x:v>
      </x:c>
      <x:c r="O23" s="24" t="n">
        <x:v>2.6</x:v>
      </x:c>
      <x:c r="P23" s="24" t="n">
        <x:f>IFERROR(O23*J23*K23*L23*M23*(1+N23),0)</x:f>
        <x:v>0.3561643835616438</x:v>
      </x:c>
      <x:c r="Q23" s="18" t="str">
        <x:v>disabled</x:v>
      </x:c>
      <x:c r="R23" s="18" t="str">
        <x:v>SRC-CH-06</x:v>
      </x:c>
      <x:c r="S23" s="19" t="str">
        <x:v>原始业务ID=COST-CANGYUANSUANLI-R78-480-REQ; 来源定位=渠道成本!140</x:v>
      </x:c>
    </x:row>
    <x:row r="24">
      <x:c r="A24" s="20" t="str">
        <x:v>COST-V2/MAP-CANGYUANSUANLI-R78-720</x:v>
      </x:c>
      <x:c r="B24" s="18" t="str">
        <x:v>channel-cangyuansuanli</x:v>
      </x:c>
      <x:c r="C24" s="18" t="str">
        <x:v>sd5-seedance-2.0-fast</x:v>
      </x:c>
      <x:c r="D24" s="18" t="str">
        <x:v>SKU-SD20-FAST-720</x:v>
      </x:c>
      <x:c r="E24" s="18" t="str">
        <x:v>no_video</x:v>
      </x:c>
      <x:c r="F24" s="18" t="str">
        <x:v>per_request</x:v>
      </x:c>
      <x:c r="G24" s="18" t="str">
        <x:v>720p</x:v>
      </x:c>
      <x:c r="H24" s="18" t="str">
        <x:v>ROUTE-MAP-CANGYUANSUANLI-R78-720</x:v>
      </x:c>
      <x:c r="I24" s="18" t="str">
        <x:v>CNY</x:v>
      </x:c>
      <x:c r="J24" s="24" t="n">
        <x:v>0.136986301369863</x:v>
      </x:c>
      <x:c r="K24" s="24" t="n">
        <x:v>1</x:v>
      </x:c>
      <x:c r="L24" s="24" t="n">
        <x:v>1</x:v>
      </x:c>
      <x:c r="M24" s="24" t="n">
        <x:v>1</x:v>
      </x:c>
      <x:c r="N24" s="24" t="n">
        <x:v>0</x:v>
      </x:c>
      <x:c r="O24" s="24" t="n">
        <x:v>2.6</x:v>
      </x:c>
      <x:c r="P24" s="24" t="n">
        <x:f>IFERROR(O24*J24*K24*L24*M24*(1+N24),0)</x:f>
        <x:v>0.3561643835616438</x:v>
      </x:c>
      <x:c r="Q24" s="18" t="str">
        <x:v>disabled</x:v>
      </x:c>
      <x:c r="R24" s="18" t="str">
        <x:v>SRC-CH-06</x:v>
      </x:c>
      <x:c r="S24" s="19" t="str">
        <x:v>原始业务ID=COST-CANGYUANSUANLI-R78-720-REQ; 来源定位=渠道成本!142</x:v>
      </x:c>
    </x:row>
    <x:row r="25">
      <x:c r="A25" s="20" t="str">
        <x:v>COST-V2/MAP-CANGYUANSUANLI-R79-480</x:v>
      </x:c>
      <x:c r="B25" s="18" t="str">
        <x:v>channel-cangyuansuanli</x:v>
      </x:c>
      <x:c r="C25" s="18" t="str">
        <x:v>seedance-2.0</x:v>
      </x:c>
      <x:c r="D25" s="18" t="str">
        <x:v>SKU-SD20-STD-480</x:v>
      </x:c>
      <x:c r="E25" s="18" t="str">
        <x:v>no_video</x:v>
      </x:c>
      <x:c r="F25" s="18" t="str">
        <x:v>per_request</x:v>
      </x:c>
      <x:c r="G25" s="18" t="str">
        <x:v>480p</x:v>
      </x:c>
      <x:c r="H25" s="18" t="str">
        <x:v>ROUTE-MAP-CANGYUANSUANLI-R79-480</x:v>
      </x:c>
      <x:c r="I25" s="18" t="str">
        <x:v>CNY</x:v>
      </x:c>
      <x:c r="J25" s="24" t="n">
        <x:v>0.136986301369863</x:v>
      </x:c>
      <x:c r="K25" s="24" t="n">
        <x:v>1</x:v>
      </x:c>
      <x:c r="L25" s="24" t="n">
        <x:v>1</x:v>
      </x:c>
      <x:c r="M25" s="24" t="n">
        <x:v>1</x:v>
      </x:c>
      <x:c r="N25" s="24" t="n">
        <x:v>0</x:v>
      </x:c>
      <x:c r="O25" s="24" t="n">
        <x:v>4.85</x:v>
      </x:c>
      <x:c r="P25" s="24" t="n">
        <x:f>IFERROR(O25*J25*K25*L25*M25*(1+N25),0)</x:f>
        <x:v>0.6643835616438355</x:v>
      </x:c>
      <x:c r="Q25" s="18" t="str">
        <x:v>disabled</x:v>
      </x:c>
      <x:c r="R25" s="18" t="str">
        <x:v>SRC-CH-06</x:v>
      </x:c>
      <x:c r="S25" s="19" t="str">
        <x:v>原始业务ID=COST-CANGYUANSUANLI-R79-480-REQ; 来源定位=渠道成本!144</x:v>
      </x:c>
    </x:row>
    <x:row r="26">
      <x:c r="A26" s="20" t="str">
        <x:v>COST-V2/MAP-CANGYUANSUANLI-R79-720</x:v>
      </x:c>
      <x:c r="B26" s="18" t="str">
        <x:v>channel-cangyuansuanli</x:v>
      </x:c>
      <x:c r="C26" s="18" t="str">
        <x:v>seedance-2.0</x:v>
      </x:c>
      <x:c r="D26" s="18" t="str">
        <x:v>SKU-SD20-STD-720</x:v>
      </x:c>
      <x:c r="E26" s="18" t="str">
        <x:v>no_video</x:v>
      </x:c>
      <x:c r="F26" s="18" t="str">
        <x:v>per_request</x:v>
      </x:c>
      <x:c r="G26" s="18" t="str">
        <x:v>720p</x:v>
      </x:c>
      <x:c r="H26" s="18" t="str">
        <x:v>ROUTE-MAP-CANGYUANSUANLI-R79-720</x:v>
      </x:c>
      <x:c r="I26" s="18" t="str">
        <x:v>CNY</x:v>
      </x:c>
      <x:c r="J26" s="24" t="n">
        <x:v>0.136986301369863</x:v>
      </x:c>
      <x:c r="K26" s="24" t="n">
        <x:v>1</x:v>
      </x:c>
      <x:c r="L26" s="24" t="n">
        <x:v>1</x:v>
      </x:c>
      <x:c r="M26" s="24" t="n">
        <x:v>1</x:v>
      </x:c>
      <x:c r="N26" s="24" t="n">
        <x:v>0</x:v>
      </x:c>
      <x:c r="O26" s="24" t="n">
        <x:v>4.85</x:v>
      </x:c>
      <x:c r="P26" s="24" t="n">
        <x:f>IFERROR(O26*J26*K26*L26*M26*(1+N26),0)</x:f>
        <x:v>0.6643835616438355</x:v>
      </x:c>
      <x:c r="Q26" s="18" t="str">
        <x:v>disabled</x:v>
      </x:c>
      <x:c r="R26" s="18" t="str">
        <x:v>SRC-CH-06</x:v>
      </x:c>
      <x:c r="S26" s="19" t="str">
        <x:v>原始业务ID=COST-CANGYUANSUANLI-R79-720-REQ; 来源定位=渠道成本!146</x:v>
      </x:c>
    </x:row>
    <x:row r="27">
      <x:c r="A27" s="20" t="str">
        <x:v>COST-V2/MAP-CANGYUANSUANLI-R80-480</x:v>
      </x:c>
      <x:c r="B27" s="18" t="str">
        <x:v>channel-cangyuansuanli</x:v>
      </x:c>
      <x:c r="C27" s="18" t="str">
        <x:v>seedance-2.0-fast</x:v>
      </x:c>
      <x:c r="D27" s="18" t="str">
        <x:v>SKU-SD20-FAST-480</x:v>
      </x:c>
      <x:c r="E27" s="18" t="str">
        <x:v>no_video</x:v>
      </x:c>
      <x:c r="F27" s="18" t="str">
        <x:v>per_request</x:v>
      </x:c>
      <x:c r="G27" s="18" t="str">
        <x:v>480p</x:v>
      </x:c>
      <x:c r="H27" s="18" t="str">
        <x:v>ROUTE-MAP-CANGYUANSUANLI-R80-480</x:v>
      </x:c>
      <x:c r="I27" s="18" t="str">
        <x:v>CNY</x:v>
      </x:c>
      <x:c r="J27" s="24" t="n">
        <x:v>0.136986301369863</x:v>
      </x:c>
      <x:c r="K27" s="24" t="n">
        <x:v>1</x:v>
      </x:c>
      <x:c r="L27" s="24" t="n">
        <x:v>1</x:v>
      </x:c>
      <x:c r="M27" s="24" t="n">
        <x:v>1</x:v>
      </x:c>
      <x:c r="N27" s="24" t="n">
        <x:v>0</x:v>
      </x:c>
      <x:c r="O27" s="24" t="n">
        <x:v>3.6</x:v>
      </x:c>
      <x:c r="P27" s="24" t="n">
        <x:f>IFERROR(O27*J27*K27*L27*M27*(1+N27),0)</x:f>
        <x:v>0.4931506849315068</x:v>
      </x:c>
      <x:c r="Q27" s="18" t="str">
        <x:v>disabled</x:v>
      </x:c>
      <x:c r="R27" s="18" t="str">
        <x:v>SRC-CH-06</x:v>
      </x:c>
      <x:c r="S27" s="19" t="str">
        <x:v>原始业务ID=COST-CANGYUANSUANLI-R80-480-REQ; 来源定位=渠道成本!148</x:v>
      </x:c>
    </x:row>
    <x:row r="28">
      <x:c r="A28" s="20" t="str">
        <x:v>COST-V2/MAP-CANGYUANSUANLI-R80-720</x:v>
      </x:c>
      <x:c r="B28" s="18" t="str">
        <x:v>channel-cangyuansuanli</x:v>
      </x:c>
      <x:c r="C28" s="18" t="str">
        <x:v>seedance-2.0-fast</x:v>
      </x:c>
      <x:c r="D28" s="18" t="str">
        <x:v>SKU-SD20-FAST-720</x:v>
      </x:c>
      <x:c r="E28" s="18" t="str">
        <x:v>no_video</x:v>
      </x:c>
      <x:c r="F28" s="18" t="str">
        <x:v>per_request</x:v>
      </x:c>
      <x:c r="G28" s="18" t="str">
        <x:v>720p</x:v>
      </x:c>
      <x:c r="H28" s="18" t="str">
        <x:v>ROUTE-MAP-CANGYUANSUANLI-R80-720</x:v>
      </x:c>
      <x:c r="I28" s="18" t="str">
        <x:v>CNY</x:v>
      </x:c>
      <x:c r="J28" s="24" t="n">
        <x:v>0.136986301369863</x:v>
      </x:c>
      <x:c r="K28" s="24" t="n">
        <x:v>1</x:v>
      </x:c>
      <x:c r="L28" s="24" t="n">
        <x:v>1</x:v>
      </x:c>
      <x:c r="M28" s="24" t="n">
        <x:v>1</x:v>
      </x:c>
      <x:c r="N28" s="24" t="n">
        <x:v>0</x:v>
      </x:c>
      <x:c r="O28" s="24" t="n">
        <x:v>3.6</x:v>
      </x:c>
      <x:c r="P28" s="24" t="n">
        <x:f>IFERROR(O28*J28*K28*L28*M28*(1+N28),0)</x:f>
        <x:v>0.4931506849315068</x:v>
      </x:c>
      <x:c r="Q28" s="18" t="str">
        <x:v>disabled</x:v>
      </x:c>
      <x:c r="R28" s="18" t="str">
        <x:v>SRC-CH-06</x:v>
      </x:c>
      <x:c r="S28" s="19" t="str">
        <x:v>原始业务ID=COST-CANGYUANSUANLI-R80-720-REQ; 来源定位=渠道成本!150</x:v>
      </x:c>
    </x:row>
    <x:row r="29">
      <x:c r="A29" s="20" t="str">
        <x:v>COST-V2/MAP-CANGYUANSUANLI-R81-480</x:v>
      </x:c>
      <x:c r="B29" s="18" t="str">
        <x:v>channel-cangyuansuanli</x:v>
      </x:c>
      <x:c r="C29" s="18" t="str">
        <x:v>seedance-2.0-mini</x:v>
      </x:c>
      <x:c r="D29" s="18" t="str">
        <x:v>SKU-SD20-MINI-480</x:v>
      </x:c>
      <x:c r="E29" s="18" t="str">
        <x:v>no_video</x:v>
      </x:c>
      <x:c r="F29" s="18" t="str">
        <x:v>per_request</x:v>
      </x:c>
      <x:c r="G29" s="18" t="str">
        <x:v>480p</x:v>
      </x:c>
      <x:c r="H29" s="18" t="str">
        <x:v>ROUTE-MAP-CANGYUANSUANLI-R81-480</x:v>
      </x:c>
      <x:c r="I29" s="18" t="str">
        <x:v>CNY</x:v>
      </x:c>
      <x:c r="J29" s="24" t="n">
        <x:v>0.136986301369863</x:v>
      </x:c>
      <x:c r="K29" s="24" t="n">
        <x:v>1</x:v>
      </x:c>
      <x:c r="L29" s="24" t="n">
        <x:v>1</x:v>
      </x:c>
      <x:c r="M29" s="24" t="n">
        <x:v>1</x:v>
      </x:c>
      <x:c r="N29" s="24" t="n">
        <x:v>0</x:v>
      </x:c>
      <x:c r="O29" s="24" t="n">
        <x:v>2.9</x:v>
      </x:c>
      <x:c r="P29" s="24" t="n">
        <x:f>IFERROR(O29*J29*K29*L29*M29*(1+N29),0)</x:f>
        <x:v>0.3972602739726027</x:v>
      </x:c>
      <x:c r="Q29" s="18" t="str">
        <x:v>disabled</x:v>
      </x:c>
      <x:c r="R29" s="18" t="str">
        <x:v>SRC-CH-06</x:v>
      </x:c>
      <x:c r="S29" s="19" t="str">
        <x:v>原始业务ID=COST-CANGYUANSUANLI-R81-480-REQ; 来源定位=渠道成本!152</x:v>
      </x:c>
    </x:row>
    <x:row r="30">
      <x:c r="A30" s="20" t="str">
        <x:v>COST-V2/MAP-CANGYUANSUANLI-R81-720</x:v>
      </x:c>
      <x:c r="B30" s="18" t="str">
        <x:v>channel-cangyuansuanli</x:v>
      </x:c>
      <x:c r="C30" s="18" t="str">
        <x:v>seedance-2.0-mini</x:v>
      </x:c>
      <x:c r="D30" s="18" t="str">
        <x:v>SKU-SD20-MINI-720</x:v>
      </x:c>
      <x:c r="E30" s="18" t="str">
        <x:v>no_video</x:v>
      </x:c>
      <x:c r="F30" s="18" t="str">
        <x:v>per_request</x:v>
      </x:c>
      <x:c r="G30" s="18" t="str">
        <x:v>720p</x:v>
      </x:c>
      <x:c r="H30" s="18" t="str">
        <x:v>ROUTE-MAP-CANGYUANSUANLI-R81-720</x:v>
      </x:c>
      <x:c r="I30" s="18" t="str">
        <x:v>CNY</x:v>
      </x:c>
      <x:c r="J30" s="24" t="n">
        <x:v>0.136986301369863</x:v>
      </x:c>
      <x:c r="K30" s="24" t="n">
        <x:v>1</x:v>
      </x:c>
      <x:c r="L30" s="24" t="n">
        <x:v>1</x:v>
      </x:c>
      <x:c r="M30" s="24" t="n">
        <x:v>1</x:v>
      </x:c>
      <x:c r="N30" s="24" t="n">
        <x:v>0</x:v>
      </x:c>
      <x:c r="O30" s="24" t="n">
        <x:v>2.9</x:v>
      </x:c>
      <x:c r="P30" s="24" t="n">
        <x:f>IFERROR(O30*J30*K30*L30*M30*(1+N30),0)</x:f>
        <x:v>0.3972602739726027</x:v>
      </x:c>
      <x:c r="Q30" s="18" t="str">
        <x:v>disabled</x:v>
      </x:c>
      <x:c r="R30" s="18" t="str">
        <x:v>SRC-CH-06</x:v>
      </x:c>
      <x:c r="S30" s="19" t="str">
        <x:v>原始业务ID=COST-CANGYUANSUANLI-R81-720-REQ; 来源定位=渠道成本!154</x:v>
      </x:c>
    </x:row>
    <x:row r="31">
      <x:c r="A31" s="20" t="str">
        <x:v>COST-V2/MAP-CLMM-R10-720</x:v>
      </x:c>
      <x:c r="B31" s="18" t="str">
        <x:v>channel-clmm</x:v>
      </x:c>
      <x:c r="C31" s="18" t="str">
        <x:v>mg-seedance2.0 -720p fast</x:v>
      </x:c>
      <x:c r="D31" s="18" t="str">
        <x:v>SKU-SD20-FAST-720</x:v>
      </x:c>
      <x:c r="E31" s="18" t="str">
        <x:v>no_video</x:v>
      </x:c>
      <x:c r="F31" s="18" t="str">
        <x:v>per_duration</x:v>
      </x:c>
      <x:c r="G31" s="18" t="str">
        <x:v>720p</x:v>
      </x:c>
      <x:c r="H31" s="18" t="str">
        <x:v>ROUTE-MAP-CLMM-R10-720</x:v>
      </x:c>
      <x:c r="I31" s="18" t="str">
        <x:v>CNY</x:v>
      </x:c>
      <x:c r="J31" s="24" t="n">
        <x:v>0.136986301369863</x:v>
      </x:c>
      <x:c r="K31" s="24" t="n">
        <x:v>1</x:v>
      </x:c>
      <x:c r="L31" s="24" t="n">
        <x:v>1</x:v>
      </x:c>
      <x:c r="M31" s="24" t="n">
        <x:v>1</x:v>
      </x:c>
      <x:c r="N31" s="24" t="n">
        <x:v>0</x:v>
      </x:c>
      <x:c r="O31" s="24" t="n">
        <x:v>0.268</x:v>
      </x:c>
      <x:c r="P31" s="24" t="n">
        <x:f>IFERROR(O31*J31*K31*L31*M31*(1+N31),0)</x:f>
        <x:v>0.03671232876712329</x:v>
      </x:c>
      <x:c r="Q31" s="18" t="str">
        <x:v>disabled</x:v>
      </x:c>
      <x:c r="R31" s="18" t="str">
        <x:v>SRC-CH-01</x:v>
      </x:c>
      <x:c r="S31" s="19" t="str">
        <x:v>原始业务ID=COST-CLMM-R10-720-SEC; 来源定位=渠道成本!19</x:v>
      </x:c>
    </x:row>
    <x:row r="32">
      <x:c r="A32" s="20" t="str">
        <x:v>COST-V2/MAP-CLMM-R11-720</x:v>
      </x:c>
      <x:c r="B32" s="18" t="str">
        <x:v>channel-clmm</x:v>
      </x:c>
      <x:c r="C32" s="18" t="str">
        <x:v>mg-seedance2.0 -720p mini</x:v>
      </x:c>
      <x:c r="D32" s="18" t="str">
        <x:v>SKU-SD20-MINI-720</x:v>
      </x:c>
      <x:c r="E32" s="18" t="str">
        <x:v>no_video</x:v>
      </x:c>
      <x:c r="F32" s="18" t="str">
        <x:v>per_duration</x:v>
      </x:c>
      <x:c r="G32" s="18" t="str">
        <x:v>720p</x:v>
      </x:c>
      <x:c r="H32" s="18" t="str">
        <x:v>ROUTE-MAP-CLMM-R11-720</x:v>
      </x:c>
      <x:c r="I32" s="18" t="str">
        <x:v>CNY</x:v>
      </x:c>
      <x:c r="J32" s="24" t="n">
        <x:v>0.136986301369863</x:v>
      </x:c>
      <x:c r="K32" s="24" t="n">
        <x:v>1</x:v>
      </x:c>
      <x:c r="L32" s="24" t="n">
        <x:v>1</x:v>
      </x:c>
      <x:c r="M32" s="24" t="n">
        <x:v>1</x:v>
      </x:c>
      <x:c r="N32" s="24" t="n">
        <x:v>0</x:v>
      </x:c>
      <x:c r="O32" s="24" t="n">
        <x:v>0.198</x:v>
      </x:c>
      <x:c r="P32" s="24" t="n">
        <x:f>IFERROR(O32*J32*K32*L32*M32*(1+N32),0)</x:f>
        <x:v>0.027123287671232878</x:v>
      </x:c>
      <x:c r="Q32" s="18" t="str">
        <x:v>disabled</x:v>
      </x:c>
      <x:c r="R32" s="18" t="str">
        <x:v>SRC-CH-01</x:v>
      </x:c>
      <x:c r="S32" s="19" t="str">
        <x:v>原始业务ID=COST-CLMM-R11-720-SEC; 来源定位=渠道成本!21</x:v>
      </x:c>
    </x:row>
    <x:row r="33">
      <x:c r="A33" s="20" t="str">
        <x:v>COST-V2/MAP-CLMM-R12-720</x:v>
      </x:c>
      <x:c r="B33" s="18" t="str">
        <x:v>channel-clmm</x:v>
      </x:c>
      <x:c r="C33" s="18" t="str">
        <x:v>mg-seedance2.0 -720p pro</x:v>
      </x:c>
      <x:c r="D33" s="18" t="str">
        <x:v>SKU-SD20-STD-720</x:v>
      </x:c>
      <x:c r="E33" s="18" t="str">
        <x:v>no_video</x:v>
      </x:c>
      <x:c r="F33" s="18" t="str">
        <x:v>per_duration</x:v>
      </x:c>
      <x:c r="G33" s="18" t="str">
        <x:v>720p</x:v>
      </x:c>
      <x:c r="H33" s="18" t="str">
        <x:v>ROUTE-MAP-CLMM-R12-720</x:v>
      </x:c>
      <x:c r="I33" s="18" t="str">
        <x:v>CNY</x:v>
      </x:c>
      <x:c r="J33" s="24" t="n">
        <x:v>0.136986301369863</x:v>
      </x:c>
      <x:c r="K33" s="24" t="n">
        <x:v>1</x:v>
      </x:c>
      <x:c r="L33" s="24" t="n">
        <x:v>1</x:v>
      </x:c>
      <x:c r="M33" s="24" t="n">
        <x:v>1</x:v>
      </x:c>
      <x:c r="N33" s="24" t="n">
        <x:v>0</x:v>
      </x:c>
      <x:c r="O33" s="24" t="n">
        <x:v>0.368</x:v>
      </x:c>
      <x:c r="P33" s="24" t="n">
        <x:f>IFERROR(O33*J33*K33*L33*M33*(1+N33),0)</x:f>
        <x:v>0.050410958904109585</x:v>
      </x:c>
      <x:c r="Q33" s="18" t="str">
        <x:v>disabled</x:v>
      </x:c>
      <x:c r="R33" s="18" t="str">
        <x:v>SRC-CH-01</x:v>
      </x:c>
      <x:c r="S33" s="19" t="str">
        <x:v>原始业务ID=COST-CLMM-R12-720-SEC; 来源定位=渠道成本!23</x:v>
      </x:c>
    </x:row>
    <x:row r="34">
      <x:c r="A34" s="20" t="str">
        <x:v>COST-V2/MAP-CLMM-R3-720</x:v>
      </x:c>
      <x:c r="B34" s="18" t="str">
        <x:v>channel-clmm</x:v>
      </x:c>
      <x:c r="C34" s="18" t="str">
        <x:v>seedance 720p-fast</x:v>
      </x:c>
      <x:c r="D34" s="18" t="str">
        <x:v>SKU-SD20-FAST-720</x:v>
      </x:c>
      <x:c r="E34" s="18" t="str">
        <x:v>no_video</x:v>
      </x:c>
      <x:c r="F34" s="18" t="str">
        <x:v>per_duration</x:v>
      </x:c>
      <x:c r="G34" s="18" t="str">
        <x:v>720p</x:v>
      </x:c>
      <x:c r="H34" s="18" t="str">
        <x:v>ROUTE-MAP-CLMM-R3-720</x:v>
      </x:c>
      <x:c r="I34" s="18" t="str">
        <x:v>CNY</x:v>
      </x:c>
      <x:c r="J34" s="24" t="n">
        <x:v>0.136986301369863</x:v>
      </x:c>
      <x:c r="K34" s="24" t="n">
        <x:v>1</x:v>
      </x:c>
      <x:c r="L34" s="24" t="n">
        <x:v>1</x:v>
      </x:c>
      <x:c r="M34" s="24" t="n">
        <x:v>1</x:v>
      </x:c>
      <x:c r="N34" s="24" t="n">
        <x:v>0</x:v>
      </x:c>
      <x:c r="O34" s="24" t="n">
        <x:v>1.38</x:v>
      </x:c>
      <x:c r="P34" s="24" t="n">
        <x:f>IFERROR(O34*J34*K34*L34*M34*(1+N34),0)</x:f>
        <x:v>0.18904109589041093</x:v>
      </x:c>
      <x:c r="Q34" s="18" t="str">
        <x:v>disabled</x:v>
      </x:c>
      <x:c r="R34" s="18" t="str">
        <x:v>SRC-CH-01</x:v>
      </x:c>
      <x:c r="S34" s="19" t="str">
        <x:v>原始业务ID=COST-CLMM-R3-720-SEC; 来源定位=渠道成本!5</x:v>
      </x:c>
    </x:row>
    <x:row r="35">
      <x:c r="A35" s="20" t="str">
        <x:v>COST-V2/MAP-CLMM-R4-1080</x:v>
      </x:c>
      <x:c r="B35" s="18" t="str">
        <x:v>channel-clmm</x:v>
      </x:c>
      <x:c r="C35" s="18" t="str">
        <x:v>bb-seedance2.0 1080p-pro-gz-15s</x:v>
      </x:c>
      <x:c r="D35" s="18" t="str">
        <x:v>SKU-SD20-STD-1080</x:v>
      </x:c>
      <x:c r="E35" s="18" t="str">
        <x:v>no_video</x:v>
      </x:c>
      <x:c r="F35" s="18" t="str">
        <x:v>per_request</x:v>
      </x:c>
      <x:c r="G35" s="18" t="str">
        <x:v>1080p</x:v>
      </x:c>
      <x:c r="H35" s="18" t="str">
        <x:v>ROUTE-MAP-CLMM-R4-1080</x:v>
      </x:c>
      <x:c r="I35" s="18" t="str">
        <x:v>CNY</x:v>
      </x:c>
      <x:c r="J35" s="24" t="n">
        <x:v>0.136986301369863</x:v>
      </x:c>
      <x:c r="K35" s="24" t="n">
        <x:v>1</x:v>
      </x:c>
      <x:c r="L35" s="24" t="n">
        <x:v>1</x:v>
      </x:c>
      <x:c r="M35" s="24" t="n">
        <x:v>1</x:v>
      </x:c>
      <x:c r="N35" s="24" t="n">
        <x:v>0</x:v>
      </x:c>
      <x:c r="O35" s="24" t="n">
        <x:v>6.8</x:v>
      </x:c>
      <x:c r="P35" s="24" t="n">
        <x:f>IFERROR(O35*J35*K35*L35*M35*(1+N35),0)</x:f>
        <x:v>0.9315068493150684</x:v>
      </x:c>
      <x:c r="Q35" s="18" t="str">
        <x:v>disabled</x:v>
      </x:c>
      <x:c r="R35" s="18" t="str">
        <x:v>SRC-CH-01</x:v>
      </x:c>
      <x:c r="S35" s="19" t="str">
        <x:v>原始业务ID=COST-CLMM-R4-1080-REQ; 来源定位=渠道成本!7</x:v>
      </x:c>
    </x:row>
    <x:row r="36">
      <x:c r="A36" s="20" t="str">
        <x:v>COST-V2/MAP-CLMM-R5-720</x:v>
      </x:c>
      <x:c r="B36" s="18" t="str">
        <x:v>channel-clmm</x:v>
      </x:c>
      <x:c r="C36" s="18" t="str">
        <x:v>bb-seedance2.0 720p-fast-gz-15s</x:v>
      </x:c>
      <x:c r="D36" s="18" t="str">
        <x:v>SKU-SD20-FAST-720</x:v>
      </x:c>
      <x:c r="E36" s="18" t="str">
        <x:v>no_video</x:v>
      </x:c>
      <x:c r="F36" s="18" t="str">
        <x:v>per_request</x:v>
      </x:c>
      <x:c r="G36" s="18" t="str">
        <x:v>720p</x:v>
      </x:c>
      <x:c r="H36" s="18" t="str">
        <x:v>ROUTE-MAP-CLMM-R5-720</x:v>
      </x:c>
      <x:c r="I36" s="18" t="str">
        <x:v>CNY</x:v>
      </x:c>
      <x:c r="J36" s="24" t="n">
        <x:v>0.136986301369863</x:v>
      </x:c>
      <x:c r="K36" s="24" t="n">
        <x:v>1</x:v>
      </x:c>
      <x:c r="L36" s="24" t="n">
        <x:v>1</x:v>
      </x:c>
      <x:c r="M36" s="24" t="n">
        <x:v>1</x:v>
      </x:c>
      <x:c r="N36" s="24" t="n">
        <x:v>0</x:v>
      </x:c>
      <x:c r="O36" s="24" t="n">
        <x:v>4.68</x:v>
      </x:c>
      <x:c r="P36" s="24" t="n">
        <x:f>IFERROR(O36*J36*K36*L36*M36*(1+N36),0)</x:f>
        <x:v>0.6410958904109588</x:v>
      </x:c>
      <x:c r="Q36" s="18" t="str">
        <x:v>disabled</x:v>
      </x:c>
      <x:c r="R36" s="18" t="str">
        <x:v>SRC-CH-01</x:v>
      </x:c>
      <x:c r="S36" s="19" t="str">
        <x:v>原始业务ID=COST-CLMM-R5-720-REQ; 来源定位=渠道成本!9</x:v>
      </x:c>
    </x:row>
    <x:row r="37">
      <x:c r="A37" s="20" t="str">
        <x:v>COST-V2/MAP-CLMM-R6-720</x:v>
      </x:c>
      <x:c r="B37" s="18" t="str">
        <x:v>channel-clmm</x:v>
      </x:c>
      <x:c r="C37" s="18" t="str">
        <x:v>bb-seedance2.0 720p-pro-gz-15s</x:v>
      </x:c>
      <x:c r="D37" s="18" t="str">
        <x:v>SKU-SD20-STD-720</x:v>
      </x:c>
      <x:c r="E37" s="18" t="str">
        <x:v>no_video</x:v>
      </x:c>
      <x:c r="F37" s="18" t="str">
        <x:v>per_request</x:v>
      </x:c>
      <x:c r="G37" s="18" t="str">
        <x:v>720p</x:v>
      </x:c>
      <x:c r="H37" s="18" t="str">
        <x:v>ROUTE-MAP-CLMM-R6-720</x:v>
      </x:c>
      <x:c r="I37" s="18" t="str">
        <x:v>CNY</x:v>
      </x:c>
      <x:c r="J37" s="24" t="n">
        <x:v>0.136986301369863</x:v>
      </x:c>
      <x:c r="K37" s="24" t="n">
        <x:v>1</x:v>
      </x:c>
      <x:c r="L37" s="24" t="n">
        <x:v>1</x:v>
      </x:c>
      <x:c r="M37" s="24" t="n">
        <x:v>1</x:v>
      </x:c>
      <x:c r="N37" s="24" t="n">
        <x:v>0</x:v>
      </x:c>
      <x:c r="O37" s="24" t="n">
        <x:v>5.58</x:v>
      </x:c>
      <x:c r="P37" s="24" t="n">
        <x:f>IFERROR(O37*J37*K37*L37*M37*(1+N37),0)</x:f>
        <x:v>0.7643835616438356</x:v>
      </x:c>
      <x:c r="Q37" s="18" t="str">
        <x:v>disabled</x:v>
      </x:c>
      <x:c r="R37" s="18" t="str">
        <x:v>SRC-CH-01</x:v>
      </x:c>
      <x:c r="S37" s="19" t="str">
        <x:v>原始业务ID=COST-CLMM-R6-720-REQ; 来源定位=渠道成本!11</x:v>
      </x:c>
    </x:row>
    <x:row r="38">
      <x:c r="A38" s="20" t="str">
        <x:v>COST-V2/MAP-CLMM-R7-480</x:v>
      </x:c>
      <x:c r="B38" s="18" t="str">
        <x:v>channel-clmm</x:v>
      </x:c>
      <x:c r="C38" s="18" t="str">
        <x:v>mg-seedance2.0 -480p</x:v>
      </x:c>
      <x:c r="D38" s="18" t="str">
        <x:v>SKU-SD20-STD-480</x:v>
      </x:c>
      <x:c r="E38" s="18" t="str">
        <x:v>no_video</x:v>
      </x:c>
      <x:c r="F38" s="18" t="str">
        <x:v>per_duration</x:v>
      </x:c>
      <x:c r="G38" s="18" t="str">
        <x:v>480p</x:v>
      </x:c>
      <x:c r="H38" s="18" t="str">
        <x:v>ROUTE-MAP-CLMM-R7-480</x:v>
      </x:c>
      <x:c r="I38" s="18" t="str">
        <x:v>CNY</x:v>
      </x:c>
      <x:c r="J38" s="24" t="n">
        <x:v>0.136986301369863</x:v>
      </x:c>
      <x:c r="K38" s="24" t="n">
        <x:v>1</x:v>
      </x:c>
      <x:c r="L38" s="24" t="n">
        <x:v>1</x:v>
      </x:c>
      <x:c r="M38" s="24" t="n">
        <x:v>1</x:v>
      </x:c>
      <x:c r="N38" s="24" t="n">
        <x:v>0</x:v>
      </x:c>
      <x:c r="O38" s="24" t="n">
        <x:v>0.268</x:v>
      </x:c>
      <x:c r="P38" s="24" t="n">
        <x:f>IFERROR(O38*J38*K38*L38*M38*(1+N38),0)</x:f>
        <x:v>0.03671232876712329</x:v>
      </x:c>
      <x:c r="Q38" s="18" t="str">
        <x:v>disabled</x:v>
      </x:c>
      <x:c r="R38" s="18" t="str">
        <x:v>SRC-CH-01</x:v>
      </x:c>
      <x:c r="S38" s="19" t="str">
        <x:v>原始业务ID=COST-CLMM-R7-480-SEC; 来源定位=渠道成本!13</x:v>
      </x:c>
    </x:row>
    <x:row r="39">
      <x:c r="A39" s="20" t="str">
        <x:v>COST-V2/MAP-CLMM-R8-480</x:v>
      </x:c>
      <x:c r="B39" s="18" t="str">
        <x:v>channel-clmm</x:v>
      </x:c>
      <x:c r="C39" s="18" t="str">
        <x:v>mg-seedance2.0 -480p fast</x:v>
      </x:c>
      <x:c r="D39" s="18" t="str">
        <x:v>SKU-SD20-FAST-480</x:v>
      </x:c>
      <x:c r="E39" s="18" t="str">
        <x:v>no_video</x:v>
      </x:c>
      <x:c r="F39" s="18" t="str">
        <x:v>per_duration</x:v>
      </x:c>
      <x:c r="G39" s="18" t="str">
        <x:v>480p</x:v>
      </x:c>
      <x:c r="H39" s="18" t="str">
        <x:v>ROUTE-MAP-CLMM-R8-480</x:v>
      </x:c>
      <x:c r="I39" s="18" t="str">
        <x:v>CNY</x:v>
      </x:c>
      <x:c r="J39" s="24" t="n">
        <x:v>0.136986301369863</x:v>
      </x:c>
      <x:c r="K39" s="24" t="n">
        <x:v>1</x:v>
      </x:c>
      <x:c r="L39" s="24" t="n">
        <x:v>1</x:v>
      </x:c>
      <x:c r="M39" s="24" t="n">
        <x:v>1</x:v>
      </x:c>
      <x:c r="N39" s="24" t="n">
        <x:v>0</x:v>
      </x:c>
      <x:c r="O39" s="24" t="n">
        <x:v>0.165</x:v>
      </x:c>
      <x:c r="P39" s="24" t="n">
        <x:f>IFERROR(O39*J39*K39*L39*M39*(1+N39),0)</x:f>
        <x:v>0.022602739726027398</x:v>
      </x:c>
      <x:c r="Q39" s="18" t="str">
        <x:v>disabled</x:v>
      </x:c>
      <x:c r="R39" s="18" t="str">
        <x:v>SRC-CH-01</x:v>
      </x:c>
      <x:c r="S39" s="19" t="str">
        <x:v>原始业务ID=COST-CLMM-R8-480-SEC; 来源定位=渠道成本!15</x:v>
      </x:c>
    </x:row>
    <x:row r="40">
      <x:c r="A40" s="20" t="str">
        <x:v>COST-V2/MAP-CLMM-R9-480</x:v>
      </x:c>
      <x:c r="B40" s="18" t="str">
        <x:v>channel-clmm</x:v>
      </x:c>
      <x:c r="C40" s="18" t="str">
        <x:v>mg-seedance2.0 -480p mini</x:v>
      </x:c>
      <x:c r="D40" s="18" t="str">
        <x:v>SKU-SD20-MINI-480</x:v>
      </x:c>
      <x:c r="E40" s="18" t="str">
        <x:v>no_video</x:v>
      </x:c>
      <x:c r="F40" s="18" t="str">
        <x:v>per_duration</x:v>
      </x:c>
      <x:c r="G40" s="18" t="str">
        <x:v>480p</x:v>
      </x:c>
      <x:c r="H40" s="18" t="str">
        <x:v>ROUTE-MAP-CLMM-R9-480</x:v>
      </x:c>
      <x:c r="I40" s="18" t="str">
        <x:v>CNY</x:v>
      </x:c>
      <x:c r="J40" s="24" t="n">
        <x:v>0.136986301369863</x:v>
      </x:c>
      <x:c r="K40" s="24" t="n">
        <x:v>1</x:v>
      </x:c>
      <x:c r="L40" s="24" t="n">
        <x:v>1</x:v>
      </x:c>
      <x:c r="M40" s="24" t="n">
        <x:v>1</x:v>
      </x:c>
      <x:c r="N40" s="24" t="n">
        <x:v>0</x:v>
      </x:c>
      <x:c r="O40" s="24" t="n">
        <x:v>0.128</x:v>
      </x:c>
      <x:c r="P40" s="24" t="n">
        <x:f>IFERROR(O40*J40*K40*L40*M40*(1+N40),0)</x:f>
        <x:v>0.017534246575342465</x:v>
      </x:c>
      <x:c r="Q40" s="18" t="str">
        <x:v>disabled</x:v>
      </x:c>
      <x:c r="R40" s="18" t="str">
        <x:v>SRC-CH-01</x:v>
      </x:c>
      <x:c r="S40" s="19" t="str">
        <x:v>原始业务ID=COST-CLMM-R9-480-SEC; 来源定位=渠道成本!17</x:v>
      </x:c>
    </x:row>
    <x:row r="41">
      <x:c r="A41" s="20" t="str">
        <x:v>COST-V2/MAP-DIMENSIO-R83-720</x:v>
      </x:c>
      <x:c r="B41" s="18" t="str">
        <x:v>channel-dimensio</x:v>
      </x:c>
      <x:c r="C41" s="18" t="str">
        <x:v>jimeng-video-seedance-2.0-mini</x:v>
      </x:c>
      <x:c r="D41" s="18" t="str">
        <x:v>SKU-SD20-MINI-720</x:v>
      </x:c>
      <x:c r="E41" s="18" t="str">
        <x:v>no_video</x:v>
      </x:c>
      <x:c r="F41" s="18" t="str">
        <x:v>per_duration</x:v>
      </x:c>
      <x:c r="G41" s="18" t="str">
        <x:v>720p</x:v>
      </x:c>
      <x:c r="H41" s="18" t="str">
        <x:v>ROUTE-MAP-DIMENSIO-R83-720</x:v>
      </x:c>
      <x:c r="I41" s="18" t="str">
        <x:v>CNY</x:v>
      </x:c>
      <x:c r="J41" s="24" t="n">
        <x:v>0.136986301369863</x:v>
      </x:c>
      <x:c r="K41" s="24" t="n">
        <x:v>1</x:v>
      </x:c>
      <x:c r="L41" s="24" t="n">
        <x:v>1</x:v>
      </x:c>
      <x:c r="M41" s="24" t="n">
        <x:v>1</x:v>
      </x:c>
      <x:c r="N41" s="24" t="n">
        <x:v>0</x:v>
      </x:c>
      <x:c r="O41" s="24" t="n">
        <x:v>0.39</x:v>
      </x:c>
      <x:c r="P41" s="24" t="n">
        <x:f>IFERROR(O41*J41*K41*L41*M41*(1+N41),0)</x:f>
        <x:v>0.05342465753424657</x:v>
      </x:c>
      <x:c r="Q41" s="18" t="str">
        <x:v>disabled</x:v>
      </x:c>
      <x:c r="R41" s="18" t="str">
        <x:v>SRC-CH-07</x:v>
      </x:c>
      <x:c r="S41" s="19" t="str">
        <x:v>原始业务ID=COST-DIMENSIO-R83-720-SEC; 来源定位=渠道成本!156</x:v>
      </x:c>
    </x:row>
    <x:row r="42">
      <x:c r="A42" s="20" t="str">
        <x:v>COST-V2/MAP-DIMENSIO-R84-720</x:v>
      </x:c>
      <x:c r="B42" s="18" t="str">
        <x:v>channel-dimensio</x:v>
      </x:c>
      <x:c r="C42" s="18" t="str">
        <x:v>jimeng-video-seedance-2.0-fast-vip</x:v>
      </x:c>
      <x:c r="D42" s="18" t="str">
        <x:v>SKU-SD20-FAST-720</x:v>
      </x:c>
      <x:c r="E42" s="18" t="str">
        <x:v>no_video</x:v>
      </x:c>
      <x:c r="F42" s="18" t="str">
        <x:v>per_duration</x:v>
      </x:c>
      <x:c r="G42" s="18" t="str">
        <x:v>720p</x:v>
      </x:c>
      <x:c r="H42" s="18" t="str">
        <x:v>ROUTE-MAP-DIMENSIO-R84-720</x:v>
      </x:c>
      <x:c r="I42" s="18" t="str">
        <x:v>CNY</x:v>
      </x:c>
      <x:c r="J42" s="24" t="n">
        <x:v>0.136986301369863</x:v>
      </x:c>
      <x:c r="K42" s="24" t="n">
        <x:v>1</x:v>
      </x:c>
      <x:c r="L42" s="24" t="n">
        <x:v>1</x:v>
      </x:c>
      <x:c r="M42" s="24" t="n">
        <x:v>1</x:v>
      </x:c>
      <x:c r="N42" s="24" t="n">
        <x:v>0</x:v>
      </x:c>
      <x:c r="O42" s="24" t="n">
        <x:v>0.48</x:v>
      </x:c>
      <x:c r="P42" s="24" t="n">
        <x:f>IFERROR(O42*J42*K42*L42*M42*(1+N42),0)</x:f>
        <x:v>0.06575342465753424</x:v>
      </x:c>
      <x:c r="Q42" s="18" t="str">
        <x:v>disabled</x:v>
      </x:c>
      <x:c r="R42" s="18" t="str">
        <x:v>SRC-CH-07</x:v>
      </x:c>
      <x:c r="S42" s="19" t="str">
        <x:v>原始业务ID=COST-DIMENSIO-R84-720-SEC; 来源定位=渠道成本!158</x:v>
      </x:c>
    </x:row>
    <x:row r="43">
      <x:c r="A43" s="20" t="str">
        <x:v>COST-V2/MAP-DIMENSIO-R85-720</x:v>
      </x:c>
      <x:c r="B43" s="18" t="str">
        <x:v>channel-dimensio</x:v>
      </x:c>
      <x:c r="C43" s="18" t="str">
        <x:v>jimeng-video-seedance-2.0-vip</x:v>
      </x:c>
      <x:c r="D43" s="18" t="str">
        <x:v>SKU-SD20-STD-720</x:v>
      </x:c>
      <x:c r="E43" s="18" t="str">
        <x:v>no_video</x:v>
      </x:c>
      <x:c r="F43" s="18" t="str">
        <x:v>per_duration</x:v>
      </x:c>
      <x:c r="G43" s="18" t="str">
        <x:v>720p</x:v>
      </x:c>
      <x:c r="H43" s="18" t="str">
        <x:v>ROUTE-MAP-DIMENSIO-R85-720</x:v>
      </x:c>
      <x:c r="I43" s="18" t="str">
        <x:v>CNY</x:v>
      </x:c>
      <x:c r="J43" s="24" t="n">
        <x:v>0.136986301369863</x:v>
      </x:c>
      <x:c r="K43" s="24" t="n">
        <x:v>1</x:v>
      </x:c>
      <x:c r="L43" s="24" t="n">
        <x:v>1</x:v>
      </x:c>
      <x:c r="M43" s="24" t="n">
        <x:v>1</x:v>
      </x:c>
      <x:c r="N43" s="24" t="n">
        <x:v>0</x:v>
      </x:c>
      <x:c r="O43" s="24" t="n">
        <x:v>0.62</x:v>
      </x:c>
      <x:c r="P43" s="24" t="n">
        <x:f>IFERROR(O43*J43*K43*L43*M43*(1+N43),0)</x:f>
        <x:v>0.08493150684931507</x:v>
      </x:c>
      <x:c r="Q43" s="18" t="str">
        <x:v>disabled</x:v>
      </x:c>
      <x:c r="R43" s="18" t="str">
        <x:v>SRC-CH-07</x:v>
      </x:c>
      <x:c r="S43" s="19" t="str">
        <x:v>原始业务ID=COST-DIMENSIO-R85-720-SEC; 来源定位=渠道成本!160</x:v>
      </x:c>
    </x:row>
    <x:row r="44">
      <x:c r="A44" s="20" t="str">
        <x:v>COST-V2/MAP-DIMENSIO-R86-1080</x:v>
      </x:c>
      <x:c r="B44" s="18" t="str">
        <x:v>channel-dimensio</x:v>
      </x:c>
      <x:c r="C44" s="18" t="str">
        <x:v>jimeng-video-seedance-2.0-vip</x:v>
      </x:c>
      <x:c r="D44" s="18" t="str">
        <x:v>SKU-SD20-STD-1080</x:v>
      </x:c>
      <x:c r="E44" s="18" t="str">
        <x:v>no_video</x:v>
      </x:c>
      <x:c r="F44" s="18" t="str">
        <x:v>per_duration</x:v>
      </x:c>
      <x:c r="G44" s="18" t="str">
        <x:v>1080p</x:v>
      </x:c>
      <x:c r="H44" s="18" t="str">
        <x:v>ROUTE-MAP-DIMENSIO-R86-1080</x:v>
      </x:c>
      <x:c r="I44" s="18" t="str">
        <x:v>CNY</x:v>
      </x:c>
      <x:c r="J44" s="24" t="n">
        <x:v>0.136986301369863</x:v>
      </x:c>
      <x:c r="K44" s="24" t="n">
        <x:v>1</x:v>
      </x:c>
      <x:c r="L44" s="24" t="n">
        <x:v>1</x:v>
      </x:c>
      <x:c r="M44" s="24" t="n">
        <x:v>1</x:v>
      </x:c>
      <x:c r="N44" s="24" t="n">
        <x:v>0</x:v>
      </x:c>
      <x:c r="O44" s="24" t="n">
        <x:v>1.55</x:v>
      </x:c>
      <x:c r="P44" s="24" t="n">
        <x:f>IFERROR(O44*J44*K44*L44*M44*(1+N44),0)</x:f>
        <x:v>0.21232876712328766</x:v>
      </x:c>
      <x:c r="Q44" s="18" t="str">
        <x:v>disabled</x:v>
      </x:c>
      <x:c r="R44" s="18" t="str">
        <x:v>SRC-CH-07</x:v>
      </x:c>
      <x:c r="S44" s="19" t="str">
        <x:v>原始业务ID=COST-DIMENSIO-R86-1080-SEC; 来源定位=渠道成本!162</x:v>
      </x:c>
    </x:row>
    <x:row r="45">
      <x:c r="A45" s="20" t="str">
        <x:v>COST-V2/MAP-DIMENSIO-R87-480</x:v>
      </x:c>
      <x:c r="B45" s="18" t="str">
        <x:v>channel-dimensio</x:v>
      </x:c>
      <x:c r="C45" s="18" t="str">
        <x:v>dimensio-seedance-2.0</x:v>
      </x:c>
      <x:c r="D45" s="18" t="str">
        <x:v>SKU-SD20-STD-480</x:v>
      </x:c>
      <x:c r="E45" s="18" t="str">
        <x:v>no_video</x:v>
      </x:c>
      <x:c r="F45" s="18" t="str">
        <x:v>per_duration</x:v>
      </x:c>
      <x:c r="G45" s="18" t="str">
        <x:v>480p</x:v>
      </x:c>
      <x:c r="H45" s="18" t="str">
        <x:v>ROUTE-MAP-DIMENSIO-R87-480</x:v>
      </x:c>
      <x:c r="I45" s="18" t="str">
        <x:v>CNY</x:v>
      </x:c>
      <x:c r="J45" s="24" t="n">
        <x:v>0.136986301369863</x:v>
      </x:c>
      <x:c r="K45" s="24" t="n">
        <x:v>1</x:v>
      </x:c>
      <x:c r="L45" s="24" t="n">
        <x:v>1</x:v>
      </x:c>
      <x:c r="M45" s="24" t="n">
        <x:v>1</x:v>
      </x:c>
      <x:c r="N45" s="24" t="n">
        <x:v>0</x:v>
      </x:c>
      <x:c r="O45" s="24" t="n">
        <x:v>0.2</x:v>
      </x:c>
      <x:c r="P45" s="24" t="n">
        <x:f>IFERROR(O45*J45*K45*L45*M45*(1+N45),0)</x:f>
        <x:v>0.0273972602739726</x:v>
      </x:c>
      <x:c r="Q45" s="18" t="str">
        <x:v>disabled</x:v>
      </x:c>
      <x:c r="R45" s="18" t="str">
        <x:v>SRC-CH-07</x:v>
      </x:c>
      <x:c r="S45" s="19" t="str">
        <x:v>原始业务ID=COST-DIMENSIO-R87-480-SEC; 来源定位=渠道成本!164</x:v>
      </x:c>
    </x:row>
    <x:row r="46">
      <x:c r="A46" s="20" t="str">
        <x:v>COST-V2/MAP-DIMENSIO-R88-720</x:v>
      </x:c>
      <x:c r="B46" s="18" t="str">
        <x:v>channel-dimensio</x:v>
      </x:c>
      <x:c r="C46" s="18" t="str">
        <x:v>dimensio-seedance-2.0</x:v>
      </x:c>
      <x:c r="D46" s="18" t="str">
        <x:v>SKU-SD20-STD-720</x:v>
      </x:c>
      <x:c r="E46" s="18" t="str">
        <x:v>no_video</x:v>
      </x:c>
      <x:c r="F46" s="18" t="str">
        <x:v>per_duration</x:v>
      </x:c>
      <x:c r="G46" s="18" t="str">
        <x:v>720p</x:v>
      </x:c>
      <x:c r="H46" s="18" t="str">
        <x:v>ROUTE-MAP-DIMENSIO-R88-720</x:v>
      </x:c>
      <x:c r="I46" s="18" t="str">
        <x:v>CNY</x:v>
      </x:c>
      <x:c r="J46" s="24" t="n">
        <x:v>0.136986301369863</x:v>
      </x:c>
      <x:c r="K46" s="24" t="n">
        <x:v>1</x:v>
      </x:c>
      <x:c r="L46" s="24" t="n">
        <x:v>1</x:v>
      </x:c>
      <x:c r="M46" s="24" t="n">
        <x:v>1</x:v>
      </x:c>
      <x:c r="N46" s="24" t="n">
        <x:v>0</x:v>
      </x:c>
      <x:c r="O46" s="24" t="n">
        <x:v>0.4</x:v>
      </x:c>
      <x:c r="P46" s="24" t="n">
        <x:f>IFERROR(O46*J46*K46*L46*M46*(1+N46),0)</x:f>
        <x:v>0.0547945205479452</x:v>
      </x:c>
      <x:c r="Q46" s="18" t="str">
        <x:v>disabled</x:v>
      </x:c>
      <x:c r="R46" s="18" t="str">
        <x:v>SRC-CH-07</x:v>
      </x:c>
      <x:c r="S46" s="19" t="str">
        <x:v>原始业务ID=COST-DIMENSIO-R88-720-SEC; 来源定位=渠道成本!166</x:v>
      </x:c>
    </x:row>
    <x:row r="47">
      <x:c r="A47" s="20" t="str">
        <x:v>COST-V2/MAP-DIMENSIO-R89-1080</x:v>
      </x:c>
      <x:c r="B47" s="18" t="str">
        <x:v>channel-dimensio</x:v>
      </x:c>
      <x:c r="C47" s="18" t="str">
        <x:v>dimensio-seedance-2.0</x:v>
      </x:c>
      <x:c r="D47" s="18" t="str">
        <x:v>SKU-SD20-STD-1080</x:v>
      </x:c>
      <x:c r="E47" s="18" t="str">
        <x:v>no_video</x:v>
      </x:c>
      <x:c r="F47" s="18" t="str">
        <x:v>per_duration</x:v>
      </x:c>
      <x:c r="G47" s="18" t="str">
        <x:v>1080p</x:v>
      </x:c>
      <x:c r="H47" s="18" t="str">
        <x:v>ROUTE-MAP-DIMENSIO-R89-1080</x:v>
      </x:c>
      <x:c r="I47" s="18" t="str">
        <x:v>CNY</x:v>
      </x:c>
      <x:c r="J47" s="24" t="n">
        <x:v>0.136986301369863</x:v>
      </x:c>
      <x:c r="K47" s="24" t="n">
        <x:v>1</x:v>
      </x:c>
      <x:c r="L47" s="24" t="n">
        <x:v>1</x:v>
      </x:c>
      <x:c r="M47" s="24" t="n">
        <x:v>1</x:v>
      </x:c>
      <x:c r="N47" s="24" t="n">
        <x:v>0</x:v>
      </x:c>
      <x:c r="O47" s="24" t="n">
        <x:v>0.85</x:v>
      </x:c>
      <x:c r="P47" s="24" t="n">
        <x:f>IFERROR(O47*J47*K47*L47*M47*(1+N47),0)</x:f>
        <x:v>0.11643835616438356</x:v>
      </x:c>
      <x:c r="Q47" s="18" t="str">
        <x:v>disabled</x:v>
      </x:c>
      <x:c r="R47" s="18" t="str">
        <x:v>SRC-CH-07</x:v>
      </x:c>
      <x:c r="S47" s="19" t="str">
        <x:v>原始业务ID=COST-DIMENSIO-R89-1080-SEC; 来源定位=渠道成本!168</x:v>
      </x:c>
    </x:row>
    <x:row r="48">
      <x:c r="A48" s="20" t="str">
        <x:v>COST-V2/MAP-DIMENSIO-R90-4K</x:v>
      </x:c>
      <x:c r="B48" s="18" t="str">
        <x:v>channel-dimensio</x:v>
      </x:c>
      <x:c r="C48" s="18" t="str">
        <x:v>dimensio-seedance-2.0</x:v>
      </x:c>
      <x:c r="D48" s="18" t="str">
        <x:v>SKU-SD20-STD-4K</x:v>
      </x:c>
      <x:c r="E48" s="18" t="str">
        <x:v>no_video</x:v>
      </x:c>
      <x:c r="F48" s="18" t="str">
        <x:v>per_duration</x:v>
      </x:c>
      <x:c r="G48" s="18" t="str">
        <x:v>4k</x:v>
      </x:c>
      <x:c r="H48" s="18" t="str">
        <x:v>ROUTE-MAP-DIMENSIO-R90-4K</x:v>
      </x:c>
      <x:c r="I48" s="18" t="str">
        <x:v>CNY</x:v>
      </x:c>
      <x:c r="J48" s="24" t="n">
        <x:v>0.136986301369863</x:v>
      </x:c>
      <x:c r="K48" s="24" t="n">
        <x:v>1</x:v>
      </x:c>
      <x:c r="L48" s="24" t="n">
        <x:v>1</x:v>
      </x:c>
      <x:c r="M48" s="24" t="n">
        <x:v>1</x:v>
      </x:c>
      <x:c r="N48" s="24" t="n">
        <x:v>0</x:v>
      </x:c>
      <x:c r="O48" s="24" t="n">
        <x:v>2</x:v>
      </x:c>
      <x:c r="P48" s="24" t="n">
        <x:f>IFERROR(O48*J48*K48*L48*M48*(1+N48),0)</x:f>
        <x:v>0.273972602739726</x:v>
      </x:c>
      <x:c r="Q48" s="18" t="str">
        <x:v>disabled</x:v>
      </x:c>
      <x:c r="R48" s="18" t="str">
        <x:v>SRC-CH-07</x:v>
      </x:c>
      <x:c r="S48" s="19" t="str">
        <x:v>原始业务ID=COST-DIMENSIO-R90-4K-SEC; 来源定位=渠道成本!170</x:v>
      </x:c>
    </x:row>
    <x:row r="49">
      <x:c r="A49" s="20" t="str">
        <x:v>COST-V2/MAP-DIMENSIO-R91-480</x:v>
      </x:c>
      <x:c r="B49" s="18" t="str">
        <x:v>channel-dimensio</x:v>
      </x:c>
      <x:c r="C49" s="18" t="str">
        <x:v>dimensio-seedance-2.0-fast</x:v>
      </x:c>
      <x:c r="D49" s="18" t="str">
        <x:v>SKU-SD20-FAST-480</x:v>
      </x:c>
      <x:c r="E49" s="18" t="str">
        <x:v>no_video</x:v>
      </x:c>
      <x:c r="F49" s="18" t="str">
        <x:v>per_duration</x:v>
      </x:c>
      <x:c r="G49" s="18" t="str">
        <x:v>480p</x:v>
      </x:c>
      <x:c r="H49" s="18" t="str">
        <x:v>ROUTE-MAP-DIMENSIO-R91-480</x:v>
      </x:c>
      <x:c r="I49" s="18" t="str">
        <x:v>CNY</x:v>
      </x:c>
      <x:c r="J49" s="24" t="n">
        <x:v>0.136986301369863</x:v>
      </x:c>
      <x:c r="K49" s="24" t="n">
        <x:v>1</x:v>
      </x:c>
      <x:c r="L49" s="24" t="n">
        <x:v>1</x:v>
      </x:c>
      <x:c r="M49" s="24" t="n">
        <x:v>1</x:v>
      </x:c>
      <x:c r="N49" s="24" t="n">
        <x:v>0</x:v>
      </x:c>
      <x:c r="O49" s="24" t="n">
        <x:v>0.15</x:v>
      </x:c>
      <x:c r="P49" s="24" t="n">
        <x:f>IFERROR(O49*J49*K49*L49*M49*(1+N49),0)</x:f>
        <x:v>0.02054794520547945</x:v>
      </x:c>
      <x:c r="Q49" s="18" t="str">
        <x:v>disabled</x:v>
      </x:c>
      <x:c r="R49" s="18" t="str">
        <x:v>SRC-CH-07</x:v>
      </x:c>
      <x:c r="S49" s="19" t="str">
        <x:v>原始业务ID=COST-DIMENSIO-R91-480-SEC; 来源定位=渠道成本!172</x:v>
      </x:c>
    </x:row>
    <x:row r="50">
      <x:c r="A50" s="20" t="str">
        <x:v>COST-V2/MAP-DIMENSIO-R92-720</x:v>
      </x:c>
      <x:c r="B50" s="18" t="str">
        <x:v>channel-dimensio</x:v>
      </x:c>
      <x:c r="C50" s="18" t="str">
        <x:v>dimensio-seedance-2.0-fast</x:v>
      </x:c>
      <x:c r="D50" s="18" t="str">
        <x:v>SKU-SD20-FAST-720</x:v>
      </x:c>
      <x:c r="E50" s="18" t="str">
        <x:v>no_video</x:v>
      </x:c>
      <x:c r="F50" s="18" t="str">
        <x:v>per_duration</x:v>
      </x:c>
      <x:c r="G50" s="18" t="str">
        <x:v>720p</x:v>
      </x:c>
      <x:c r="H50" s="18" t="str">
        <x:v>ROUTE-MAP-DIMENSIO-R92-720</x:v>
      </x:c>
      <x:c r="I50" s="18" t="str">
        <x:v>CNY</x:v>
      </x:c>
      <x:c r="J50" s="24" t="n">
        <x:v>0.136986301369863</x:v>
      </x:c>
      <x:c r="K50" s="24" t="n">
        <x:v>1</x:v>
      </x:c>
      <x:c r="L50" s="24" t="n">
        <x:v>1</x:v>
      </x:c>
      <x:c r="M50" s="24" t="n">
        <x:v>1</x:v>
      </x:c>
      <x:c r="N50" s="24" t="n">
        <x:v>0</x:v>
      </x:c>
      <x:c r="O50" s="24" t="n">
        <x:v>0.3</x:v>
      </x:c>
      <x:c r="P50" s="24" t="n">
        <x:f>IFERROR(O50*J50*K50*L50*M50*(1+N50),0)</x:f>
        <x:v>0.0410958904109589</x:v>
      </x:c>
      <x:c r="Q50" s="18" t="str">
        <x:v>disabled</x:v>
      </x:c>
      <x:c r="R50" s="18" t="str">
        <x:v>SRC-CH-07</x:v>
      </x:c>
      <x:c r="S50" s="19" t="str">
        <x:v>原始业务ID=COST-DIMENSIO-R92-720-SEC; 来源定位=渠道成本!174</x:v>
      </x:c>
    </x:row>
    <x:row r="51">
      <x:c r="A51" s="20" t="str">
        <x:v>COST-V2/MAP-LUCEN-R47-720</x:v>
      </x:c>
      <x:c r="B51" s="18" t="str">
        <x:v>channel-lucen</x:v>
      </x:c>
      <x:c r="C51" s="18" t="str">
        <x:v>seedance-720p-5s</x:v>
      </x:c>
      <x:c r="D51" s="18" t="str">
        <x:v>SKU-SD20-STD-720</x:v>
      </x:c>
      <x:c r="E51" s="18" t="str">
        <x:v>no_video</x:v>
      </x:c>
      <x:c r="F51" s="18" t="str">
        <x:v>per_duration</x:v>
      </x:c>
      <x:c r="G51" s="18" t="str">
        <x:v>720p</x:v>
      </x:c>
      <x:c r="H51" s="18" t="str">
        <x:v>ROUTE-MAP-LUCEN-R47-720</x:v>
      </x:c>
      <x:c r="I51" s="18" t="str">
        <x:v>CNY</x:v>
      </x:c>
      <x:c r="J51" s="24" t="n">
        <x:v>0.136986301369863</x:v>
      </x:c>
      <x:c r="K51" s="24" t="n">
        <x:v>1</x:v>
      </x:c>
      <x:c r="L51" s="24" t="n">
        <x:v>1</x:v>
      </x:c>
      <x:c r="M51" s="24" t="n">
        <x:v>1</x:v>
      </x:c>
      <x:c r="N51" s="24" t="n">
        <x:v>0</x:v>
      </x:c>
      <x:c r="O51" s="24" t="n">
        <x:v>1</x:v>
      </x:c>
      <x:c r="P51" s="24" t="n">
        <x:f>IFERROR(O51*J51*K51*L51*M51*(1+N51),0)</x:f>
        <x:v>0.136986301369863</x:v>
      </x:c>
      <x:c r="Q51" s="18" t="str">
        <x:v>disabled</x:v>
      </x:c>
      <x:c r="R51" s="18" t="str">
        <x:v>SRC-CH-03</x:v>
      </x:c>
      <x:c r="S51" s="19" t="str">
        <x:v>原始业务ID=COST-LUCEN-R47-720-SEC; 来源定位=渠道成本!86</x:v>
      </x:c>
    </x:row>
    <x:row r="52">
      <x:c r="A52" s="20" t="str">
        <x:v>COST-V2/MAP-LUCEN-R48-720</x:v>
      </x:c>
      <x:c r="B52" s="18" t="str">
        <x:v>channel-lucen</x:v>
      </x:c>
      <x:c r="C52" s="18" t="str">
        <x:v>seedance-720p-10s</x:v>
      </x:c>
      <x:c r="D52" s="18" t="str">
        <x:v>SKU-SD20-STD-720</x:v>
      </x:c>
      <x:c r="E52" s="18" t="str">
        <x:v>no_video</x:v>
      </x:c>
      <x:c r="F52" s="18" t="str">
        <x:v>per_duration</x:v>
      </x:c>
      <x:c r="G52" s="18" t="str">
        <x:v>720p</x:v>
      </x:c>
      <x:c r="H52" s="18" t="str">
        <x:v>ROUTE-MAP-LUCEN-R48-720</x:v>
      </x:c>
      <x:c r="I52" s="18" t="str">
        <x:v>CNY</x:v>
      </x:c>
      <x:c r="J52" s="24" t="n">
        <x:v>0.136986301369863</x:v>
      </x:c>
      <x:c r="K52" s="24" t="n">
        <x:v>1</x:v>
      </x:c>
      <x:c r="L52" s="24" t="n">
        <x:v>1</x:v>
      </x:c>
      <x:c r="M52" s="24" t="n">
        <x:v>1</x:v>
      </x:c>
      <x:c r="N52" s="24" t="n">
        <x:v>0</x:v>
      </x:c>
      <x:c r="O52" s="24" t="n">
        <x:v>1</x:v>
      </x:c>
      <x:c r="P52" s="24" t="n">
        <x:f>IFERROR(O52*J52*K52*L52*M52*(1+N52),0)</x:f>
        <x:v>0.136986301369863</x:v>
      </x:c>
      <x:c r="Q52" s="18" t="str">
        <x:v>disabled</x:v>
      </x:c>
      <x:c r="R52" s="18" t="str">
        <x:v>SRC-CH-03</x:v>
      </x:c>
      <x:c r="S52" s="19" t="str">
        <x:v>原始业务ID=COST-LUCEN-R48-720-SEC; 来源定位=渠道成本!88</x:v>
      </x:c>
    </x:row>
    <x:row r="53">
      <x:c r="A53" s="20" t="str">
        <x:v>COST-V2/MAP-LUCEN-R49-720</x:v>
      </x:c>
      <x:c r="B53" s="18" t="str">
        <x:v>channel-lucen</x:v>
      </x:c>
      <x:c r="C53" s="18" t="str">
        <x:v>seedance-720p-15s</x:v>
      </x:c>
      <x:c r="D53" s="18" t="str">
        <x:v>SKU-SD20-STD-720</x:v>
      </x:c>
      <x:c r="E53" s="18" t="str">
        <x:v>no_video</x:v>
      </x:c>
      <x:c r="F53" s="18" t="str">
        <x:v>per_duration</x:v>
      </x:c>
      <x:c r="G53" s="18" t="str">
        <x:v>720p</x:v>
      </x:c>
      <x:c r="H53" s="18" t="str">
        <x:v>ROUTE-MAP-LUCEN-R49-720</x:v>
      </x:c>
      <x:c r="I53" s="18" t="str">
        <x:v>CNY</x:v>
      </x:c>
      <x:c r="J53" s="24" t="n">
        <x:v>0.136986301369863</x:v>
      </x:c>
      <x:c r="K53" s="24" t="n">
        <x:v>1</x:v>
      </x:c>
      <x:c r="L53" s="24" t="n">
        <x:v>1</x:v>
      </x:c>
      <x:c r="M53" s="24" t="n">
        <x:v>1</x:v>
      </x:c>
      <x:c r="N53" s="24" t="n">
        <x:v>0</x:v>
      </x:c>
      <x:c r="O53" s="24" t="n">
        <x:v>1</x:v>
      </x:c>
      <x:c r="P53" s="24" t="n">
        <x:f>IFERROR(O53*J53*K53*L53*M53*(1+N53),0)</x:f>
        <x:v>0.136986301369863</x:v>
      </x:c>
      <x:c r="Q53" s="18" t="str">
        <x:v>disabled</x:v>
      </x:c>
      <x:c r="R53" s="18" t="str">
        <x:v>SRC-CH-03</x:v>
      </x:c>
      <x:c r="S53" s="19" t="str">
        <x:v>原始业务ID=COST-LUCEN-R49-720-SEC; 来源定位=渠道成本!90</x:v>
      </x:c>
    </x:row>
    <x:row r="54">
      <x:c r="A54" s="20" t="str">
        <x:v>COST-V2/MAP-LUCEN-R50-480</x:v>
      </x:c>
      <x:c r="B54" s="18" t="str">
        <x:v>channel-lucen</x:v>
      </x:c>
      <x:c r="C54" s="18" t="str">
        <x:v>seedance-480p-5s</x:v>
      </x:c>
      <x:c r="D54" s="18" t="str">
        <x:v>SKU-SD20-STD-480</x:v>
      </x:c>
      <x:c r="E54" s="18" t="str">
        <x:v>no_video</x:v>
      </x:c>
      <x:c r="F54" s="18" t="str">
        <x:v>per_duration</x:v>
      </x:c>
      <x:c r="G54" s="18" t="str">
        <x:v>480p</x:v>
      </x:c>
      <x:c r="H54" s="18" t="str">
        <x:v>ROUTE-MAP-LUCEN-R50-480</x:v>
      </x:c>
      <x:c r="I54" s="18" t="str">
        <x:v>CNY</x:v>
      </x:c>
      <x:c r="J54" s="24" t="n">
        <x:v>0.136986301369863</x:v>
      </x:c>
      <x:c r="K54" s="24" t="n">
        <x:v>1</x:v>
      </x:c>
      <x:c r="L54" s="24" t="n">
        <x:v>1</x:v>
      </x:c>
      <x:c r="M54" s="24" t="n">
        <x:v>1</x:v>
      </x:c>
      <x:c r="N54" s="24" t="n">
        <x:v>0</x:v>
      </x:c>
      <x:c r="O54" s="24" t="n">
        <x:v>0.5</x:v>
      </x:c>
      <x:c r="P54" s="24" t="n">
        <x:f>IFERROR(O54*J54*K54*L54*M54*(1+N54),0)</x:f>
        <x:v>0.0684931506849315</x:v>
      </x:c>
      <x:c r="Q54" s="18" t="str">
        <x:v>disabled</x:v>
      </x:c>
      <x:c r="R54" s="18" t="str">
        <x:v>SRC-CH-03</x:v>
      </x:c>
      <x:c r="S54" s="19" t="str">
        <x:v>原始业务ID=COST-LUCEN-R50-480-SEC; 来源定位=渠道成本!92</x:v>
      </x:c>
    </x:row>
    <x:row r="55">
      <x:c r="A55" s="20" t="str">
        <x:v>COST-V2/MAP-LUCEN-R51-480</x:v>
      </x:c>
      <x:c r="B55" s="18" t="str">
        <x:v>channel-lucen</x:v>
      </x:c>
      <x:c r="C55" s="18" t="str">
        <x:v>seedance-480p-10s</x:v>
      </x:c>
      <x:c r="D55" s="18" t="str">
        <x:v>SKU-SD20-STD-480</x:v>
      </x:c>
      <x:c r="E55" s="18" t="str">
        <x:v>no_video</x:v>
      </x:c>
      <x:c r="F55" s="18" t="str">
        <x:v>per_duration</x:v>
      </x:c>
      <x:c r="G55" s="18" t="str">
        <x:v>480p</x:v>
      </x:c>
      <x:c r="H55" s="18" t="str">
        <x:v>ROUTE-MAP-LUCEN-R51-480</x:v>
      </x:c>
      <x:c r="I55" s="18" t="str">
        <x:v>CNY</x:v>
      </x:c>
      <x:c r="J55" s="24" t="n">
        <x:v>0.136986301369863</x:v>
      </x:c>
      <x:c r="K55" s="24" t="n">
        <x:v>1</x:v>
      </x:c>
      <x:c r="L55" s="24" t="n">
        <x:v>1</x:v>
      </x:c>
      <x:c r="M55" s="24" t="n">
        <x:v>1</x:v>
      </x:c>
      <x:c r="N55" s="24" t="n">
        <x:v>0</x:v>
      </x:c>
      <x:c r="O55" s="24" t="n">
        <x:v>0.5</x:v>
      </x:c>
      <x:c r="P55" s="24" t="n">
        <x:f>IFERROR(O55*J55*K55*L55*M55*(1+N55),0)</x:f>
        <x:v>0.0684931506849315</x:v>
      </x:c>
      <x:c r="Q55" s="18" t="str">
        <x:v>disabled</x:v>
      </x:c>
      <x:c r="R55" s="18" t="str">
        <x:v>SRC-CH-03</x:v>
      </x:c>
      <x:c r="S55" s="19" t="str">
        <x:v>原始业务ID=COST-LUCEN-R51-480-SEC; 来源定位=渠道成本!94</x:v>
      </x:c>
    </x:row>
    <x:row r="56">
      <x:c r="A56" s="20" t="str">
        <x:v>COST-V2/MAP-LUCEN-R52-480</x:v>
      </x:c>
      <x:c r="B56" s="18" t="str">
        <x:v>channel-lucen</x:v>
      </x:c>
      <x:c r="C56" s="18" t="str">
        <x:v>seedance-480p-15s</x:v>
      </x:c>
      <x:c r="D56" s="18" t="str">
        <x:v>SKU-SD20-STD-480</x:v>
      </x:c>
      <x:c r="E56" s="18" t="str">
        <x:v>no_video</x:v>
      </x:c>
      <x:c r="F56" s="18" t="str">
        <x:v>per_duration</x:v>
      </x:c>
      <x:c r="G56" s="18" t="str">
        <x:v>480p</x:v>
      </x:c>
      <x:c r="H56" s="18" t="str">
        <x:v>ROUTE-MAP-LUCEN-R52-480</x:v>
      </x:c>
      <x:c r="I56" s="18" t="str">
        <x:v>CNY</x:v>
      </x:c>
      <x:c r="J56" s="24" t="n">
        <x:v>0.136986301369863</x:v>
      </x:c>
      <x:c r="K56" s="24" t="n">
        <x:v>1</x:v>
      </x:c>
      <x:c r="L56" s="24" t="n">
        <x:v>1</x:v>
      </x:c>
      <x:c r="M56" s="24" t="n">
        <x:v>1</x:v>
      </x:c>
      <x:c r="N56" s="24" t="n">
        <x:v>0</x:v>
      </x:c>
      <x:c r="O56" s="24" t="n">
        <x:v>0.5</x:v>
      </x:c>
      <x:c r="P56" s="24" t="n">
        <x:f>IFERROR(O56*J56*K56*L56*M56*(1+N56),0)</x:f>
        <x:v>0.0684931506849315</x:v>
      </x:c>
      <x:c r="Q56" s="18" t="str">
        <x:v>disabled</x:v>
      </x:c>
      <x:c r="R56" s="18" t="str">
        <x:v>SRC-CH-03</x:v>
      </x:c>
      <x:c r="S56" s="19" t="str">
        <x:v>原始业务ID=COST-LUCEN-R52-480-SEC; 来源定位=渠道成本!96</x:v>
      </x:c>
    </x:row>
    <x:row r="57">
      <x:c r="A57" s="20" t="str">
        <x:v>COST-V2/MAP-LUCEN-R53-1080</x:v>
      </x:c>
      <x:c r="B57" s="18" t="str">
        <x:v>channel-lucen</x:v>
      </x:c>
      <x:c r="C57" s="18" t="str">
        <x:v>seedance-1080p-5s</x:v>
      </x:c>
      <x:c r="D57" s="18" t="str">
        <x:v>SKU-SD20-STD-1080</x:v>
      </x:c>
      <x:c r="E57" s="18" t="str">
        <x:v>no_video</x:v>
      </x:c>
      <x:c r="F57" s="18" t="str">
        <x:v>per_duration</x:v>
      </x:c>
      <x:c r="G57" s="18" t="str">
        <x:v>1080p</x:v>
      </x:c>
      <x:c r="H57" s="18" t="str">
        <x:v>ROUTE-MAP-LUCEN-R53-1080</x:v>
      </x:c>
      <x:c r="I57" s="18" t="str">
        <x:v>CNY</x:v>
      </x:c>
      <x:c r="J57" s="24" t="n">
        <x:v>0.136986301369863</x:v>
      </x:c>
      <x:c r="K57" s="24" t="n">
        <x:v>1</x:v>
      </x:c>
      <x:c r="L57" s="24" t="n">
        <x:v>1</x:v>
      </x:c>
      <x:c r="M57" s="24" t="n">
        <x:v>1</x:v>
      </x:c>
      <x:c r="N57" s="24" t="n">
        <x:v>0</x:v>
      </x:c>
      <x:c r="O57" s="24" t="n">
        <x:v>2.5</x:v>
      </x:c>
      <x:c r="P57" s="24" t="n">
        <x:f>IFERROR(O57*J57*K57*L57*M57*(1+N57),0)</x:f>
        <x:v>0.3424657534246575</x:v>
      </x:c>
      <x:c r="Q57" s="18" t="str">
        <x:v>disabled</x:v>
      </x:c>
      <x:c r="R57" s="18" t="str">
        <x:v>SRC-CH-03</x:v>
      </x:c>
      <x:c r="S57" s="19" t="str">
        <x:v>原始业务ID=COST-LUCEN-R53-1080-SEC; 来源定位=渠道成本!98</x:v>
      </x:c>
    </x:row>
    <x:row r="58">
      <x:c r="A58" s="20" t="str">
        <x:v>COST-V2/MAP-LUCEN-R54-1080</x:v>
      </x:c>
      <x:c r="B58" s="18" t="str">
        <x:v>channel-lucen</x:v>
      </x:c>
      <x:c r="C58" s="18" t="str">
        <x:v>seedance-1080p-10s</x:v>
      </x:c>
      <x:c r="D58" s="18" t="str">
        <x:v>SKU-SD20-STD-1080</x:v>
      </x:c>
      <x:c r="E58" s="18" t="str">
        <x:v>no_video</x:v>
      </x:c>
      <x:c r="F58" s="18" t="str">
        <x:v>per_duration</x:v>
      </x:c>
      <x:c r="G58" s="18" t="str">
        <x:v>1080p</x:v>
      </x:c>
      <x:c r="H58" s="18" t="str">
        <x:v>ROUTE-MAP-LUCEN-R54-1080</x:v>
      </x:c>
      <x:c r="I58" s="18" t="str">
        <x:v>CNY</x:v>
      </x:c>
      <x:c r="J58" s="24" t="n">
        <x:v>0.136986301369863</x:v>
      </x:c>
      <x:c r="K58" s="24" t="n">
        <x:v>1</x:v>
      </x:c>
      <x:c r="L58" s="24" t="n">
        <x:v>1</x:v>
      </x:c>
      <x:c r="M58" s="24" t="n">
        <x:v>1</x:v>
      </x:c>
      <x:c r="N58" s="24" t="n">
        <x:v>0</x:v>
      </x:c>
      <x:c r="O58" s="24" t="n">
        <x:v>2.5</x:v>
      </x:c>
      <x:c r="P58" s="24" t="n">
        <x:f>IFERROR(O58*J58*K58*L58*M58*(1+N58),0)</x:f>
        <x:v>0.3424657534246575</x:v>
      </x:c>
      <x:c r="Q58" s="18" t="str">
        <x:v>disabled</x:v>
      </x:c>
      <x:c r="R58" s="18" t="str">
        <x:v>SRC-CH-03</x:v>
      </x:c>
      <x:c r="S58" s="19" t="str">
        <x:v>原始业务ID=COST-LUCEN-R54-1080-SEC; 来源定位=渠道成本!100</x:v>
      </x:c>
    </x:row>
    <x:row r="59">
      <x:c r="A59" s="20" t="str">
        <x:v>COST-V2/MAP-LUCEN-R55-1080</x:v>
      </x:c>
      <x:c r="B59" s="18" t="str">
        <x:v>channel-lucen</x:v>
      </x:c>
      <x:c r="C59" s="18" t="str">
        <x:v>seedance-1080p-15s</x:v>
      </x:c>
      <x:c r="D59" s="18" t="str">
        <x:v>SKU-SD20-STD-1080</x:v>
      </x:c>
      <x:c r="E59" s="18" t="str">
        <x:v>no_video</x:v>
      </x:c>
      <x:c r="F59" s="18" t="str">
        <x:v>per_duration</x:v>
      </x:c>
      <x:c r="G59" s="18" t="str">
        <x:v>1080p</x:v>
      </x:c>
      <x:c r="H59" s="18" t="str">
        <x:v>ROUTE-MAP-LUCEN-R55-1080</x:v>
      </x:c>
      <x:c r="I59" s="18" t="str">
        <x:v>CNY</x:v>
      </x:c>
      <x:c r="J59" s="24" t="n">
        <x:v>0.136986301369863</x:v>
      </x:c>
      <x:c r="K59" s="24" t="n">
        <x:v>1</x:v>
      </x:c>
      <x:c r="L59" s="24" t="n">
        <x:v>1</x:v>
      </x:c>
      <x:c r="M59" s="24" t="n">
        <x:v>1</x:v>
      </x:c>
      <x:c r="N59" s="24" t="n">
        <x:v>0</x:v>
      </x:c>
      <x:c r="O59" s="24" t="n">
        <x:v>2.5</x:v>
      </x:c>
      <x:c r="P59" s="24" t="n">
        <x:f>IFERROR(O59*J59*K59*L59*M59*(1+N59),0)</x:f>
        <x:v>0.3424657534246575</x:v>
      </x:c>
      <x:c r="Q59" s="18" t="str">
        <x:v>disabled</x:v>
      </x:c>
      <x:c r="R59" s="18" t="str">
        <x:v>SRC-CH-03</x:v>
      </x:c>
      <x:c r="S59" s="19" t="str">
        <x:v>原始业务ID=COST-LUCEN-R55-1080-SEC; 来源定位=渠道成本!102</x:v>
      </x:c>
    </x:row>
    <x:row r="60">
      <x:c r="A60" s="20" t="str">
        <x:v>COST-V2/MAP-LUCEN-R56-480</x:v>
      </x:c>
      <x:c r="B60" s="18" t="str">
        <x:v>channel-lucen</x:v>
      </x:c>
      <x:c r="C60" s="18" t="str">
        <x:v>seedance-480p-token</x:v>
      </x:c>
      <x:c r="D60" s="18" t="str">
        <x:v>SKU-SD20-STD-480</x:v>
      </x:c>
      <x:c r="E60" s="18" t="str">
        <x:v>no_video</x:v>
      </x:c>
      <x:c r="F60" s="18" t="str">
        <x:v>per_token</x:v>
      </x:c>
      <x:c r="G60" s="18" t="str">
        <x:v>480p</x:v>
      </x:c>
      <x:c r="H60" s="18" t="str">
        <x:v>ROUTE-MAP-LUCEN-R56-480</x:v>
      </x:c>
      <x:c r="I60" s="18" t="str">
        <x:v>CNY</x:v>
      </x:c>
      <x:c r="J60" s="24" t="n">
        <x:v>0.136986301369863</x:v>
      </x:c>
      <x:c r="K60" s="24" t="n">
        <x:v>1</x:v>
      </x:c>
      <x:c r="L60" s="24" t="n">
        <x:v>1</x:v>
      </x:c>
      <x:c r="M60" s="24" t="n">
        <x:v>1</x:v>
      </x:c>
      <x:c r="N60" s="24" t="n">
        <x:v>0</x:v>
      </x:c>
      <x:c r="O60" s="24" t="n">
        <x:v>46</x:v>
      </x:c>
      <x:c r="P60" s="24" t="n">
        <x:f>IFERROR(O60*J60*K60*L60*M60*(1+N60),0)</x:f>
        <x:v>6.301369863013698</x:v>
      </x:c>
      <x:c r="Q60" s="18" t="str">
        <x:v>disabled</x:v>
      </x:c>
      <x:c r="R60" s="18" t="str">
        <x:v>SRC-CH-03</x:v>
      </x:c>
      <x:c r="S60" s="19" t="str">
        <x:v>原始业务ID=COST-LUCEN-R56-480-TOK; 来源定位=渠道成本!104</x:v>
      </x:c>
    </x:row>
    <x:row r="61">
      <x:c r="A61" s="20" t="str">
        <x:v>COST-V2/MAP-LUCEN-R57-720</x:v>
      </x:c>
      <x:c r="B61" s="18" t="str">
        <x:v>channel-lucen</x:v>
      </x:c>
      <x:c r="C61" s="18" t="str">
        <x:v>seedance-720p-token</x:v>
      </x:c>
      <x:c r="D61" s="18" t="str">
        <x:v>SKU-SD20-STD-720</x:v>
      </x:c>
      <x:c r="E61" s="18" t="str">
        <x:v>no_video</x:v>
      </x:c>
      <x:c r="F61" s="18" t="str">
        <x:v>per_token</x:v>
      </x:c>
      <x:c r="G61" s="18" t="str">
        <x:v>720p</x:v>
      </x:c>
      <x:c r="H61" s="18" t="str">
        <x:v>ROUTE-MAP-LUCEN-R57-720</x:v>
      </x:c>
      <x:c r="I61" s="18" t="str">
        <x:v>CNY</x:v>
      </x:c>
      <x:c r="J61" s="24" t="n">
        <x:v>0.136986301369863</x:v>
      </x:c>
      <x:c r="K61" s="24" t="n">
        <x:v>1</x:v>
      </x:c>
      <x:c r="L61" s="24" t="n">
        <x:v>1</x:v>
      </x:c>
      <x:c r="M61" s="24" t="n">
        <x:v>1</x:v>
      </x:c>
      <x:c r="N61" s="24" t="n">
        <x:v>0</x:v>
      </x:c>
      <x:c r="O61" s="24" t="n">
        <x:v>46</x:v>
      </x:c>
      <x:c r="P61" s="24" t="n">
        <x:f>IFERROR(O61*J61*K61*L61*M61*(1+N61),0)</x:f>
        <x:v>6.301369863013698</x:v>
      </x:c>
      <x:c r="Q61" s="18" t="str">
        <x:v>disabled</x:v>
      </x:c>
      <x:c r="R61" s="18" t="str">
        <x:v>SRC-CH-03</x:v>
      </x:c>
      <x:c r="S61" s="19" t="str">
        <x:v>原始业务ID=COST-LUCEN-R57-720-TOK; 来源定位=渠道成本!106</x:v>
      </x:c>
    </x:row>
    <x:row r="62">
      <x:c r="A62" s="20" t="str">
        <x:v>COST-V2/MAP-LUCEN-R58-1080</x:v>
      </x:c>
      <x:c r="B62" s="18" t="str">
        <x:v>channel-lucen</x:v>
      </x:c>
      <x:c r="C62" s="18" t="str">
        <x:v>seedance-1080p-token</x:v>
      </x:c>
      <x:c r="D62" s="18" t="str">
        <x:v>SKU-SD20-STD-1080</x:v>
      </x:c>
      <x:c r="E62" s="18" t="str">
        <x:v>no_video</x:v>
      </x:c>
      <x:c r="F62" s="18" t="str">
        <x:v>per_token</x:v>
      </x:c>
      <x:c r="G62" s="18" t="str">
        <x:v>1080p</x:v>
      </x:c>
      <x:c r="H62" s="18" t="str">
        <x:v>ROUTE-MAP-LUCEN-R58-1080</x:v>
      </x:c>
      <x:c r="I62" s="18" t="str">
        <x:v>CNY</x:v>
      </x:c>
      <x:c r="J62" s="24" t="n">
        <x:v>0.136986301369863</x:v>
      </x:c>
      <x:c r="K62" s="24" t="n">
        <x:v>1</x:v>
      </x:c>
      <x:c r="L62" s="24" t="n">
        <x:v>1</x:v>
      </x:c>
      <x:c r="M62" s="24" t="n">
        <x:v>1</x:v>
      </x:c>
      <x:c r="N62" s="24" t="n">
        <x:v>0</x:v>
      </x:c>
      <x:c r="O62" s="24" t="n">
        <x:v>51</x:v>
      </x:c>
      <x:c r="P62" s="24" t="n">
        <x:f>IFERROR(O62*J62*K62*L62*M62*(1+N62),0)</x:f>
        <x:v>6.986301369863013</x:v>
      </x:c>
      <x:c r="Q62" s="18" t="str">
        <x:v>disabled</x:v>
      </x:c>
      <x:c r="R62" s="18" t="str">
        <x:v>SRC-CH-03</x:v>
      </x:c>
      <x:c r="S62" s="19" t="str">
        <x:v>原始业务ID=COST-LUCEN-R58-1080-TOK; 来源定位=渠道成本!108</x:v>
      </x:c>
    </x:row>
    <x:row r="63">
      <x:c r="A63" s="20" t="str">
        <x:v>COST-V2/MAP-MEGABYAI-R102-480</x:v>
      </x:c>
      <x:c r="B63" s="18" t="str">
        <x:v>megabyai-fast-real-person</x:v>
      </x:c>
      <x:c r="C63" s="18" t="str">
        <x:v>videos-fast</x:v>
      </x:c>
      <x:c r="D63" s="18" t="str">
        <x:v>SKU-SD20-FAST-480</x:v>
      </x:c>
      <x:c r="E63" s="18" t="str">
        <x:v>no_video</x:v>
      </x:c>
      <x:c r="F63" s="18" t="str">
        <x:v>per_request</x:v>
      </x:c>
      <x:c r="G63" s="18" t="str">
        <x:v>480p</x:v>
      </x:c>
      <x:c r="H63" s="18" t="str">
        <x:v>ROUTE-MAP-MEGABYAI-R102-480</x:v>
      </x:c>
      <x:c r="I63" s="18" t="str">
        <x:v>CNY</x:v>
      </x:c>
      <x:c r="J63" s="24" t="n">
        <x:v>0.136986301369863</x:v>
      </x:c>
      <x:c r="K63" s="24" t="n">
        <x:v>1</x:v>
      </x:c>
      <x:c r="L63" s="24" t="n">
        <x:v>1</x:v>
      </x:c>
      <x:c r="M63" s="24" t="n">
        <x:v>1</x:v>
      </x:c>
      <x:c r="N63" s="24" t="n">
        <x:v>0</x:v>
      </x:c>
      <x:c r="O63" s="24" t="n">
        <x:v>3</x:v>
      </x:c>
      <x:c r="P63" s="24" t="n">
        <x:f>IFERROR(O63*J63*K63*L63*M63*(1+N63),0)</x:f>
        <x:v>0.410958904109589</x:v>
      </x:c>
      <x:c r="Q63" s="18" t="str">
        <x:v>disabled</x:v>
      </x:c>
      <x:c r="R63" s="18" t="str">
        <x:v>SRC-CH-08</x:v>
      </x:c>
      <x:c r="S63" s="19" t="str">
        <x:v>原始业务ID=COST-MEGABYAI-R102-480-REQ; 来源定位=渠道成本!192</x:v>
      </x:c>
    </x:row>
    <x:row r="64">
      <x:c r="A64" s="20" t="str">
        <x:v>COST-V2/MAP-MEGABYAI-R103-720</x:v>
      </x:c>
      <x:c r="B64" s="18" t="str">
        <x:v>megabyai-fast-real-person</x:v>
      </x:c>
      <x:c r="C64" s="18" t="str">
        <x:v>videos-fast</x:v>
      </x:c>
      <x:c r="D64" s="18" t="str">
        <x:v>SKU-SD20-FAST-720</x:v>
      </x:c>
      <x:c r="E64" s="18" t="str">
        <x:v>no_video</x:v>
      </x:c>
      <x:c r="F64" s="18" t="str">
        <x:v>per_request</x:v>
      </x:c>
      <x:c r="G64" s="18" t="str">
        <x:v>720p</x:v>
      </x:c>
      <x:c r="H64" s="18" t="str">
        <x:v>ROUTE-MAP-MEGABYAI-R103-720</x:v>
      </x:c>
      <x:c r="I64" s="18" t="str">
        <x:v>CNY</x:v>
      </x:c>
      <x:c r="J64" s="24" t="n">
        <x:v>0.136986301369863</x:v>
      </x:c>
      <x:c r="K64" s="24" t="n">
        <x:v>1</x:v>
      </x:c>
      <x:c r="L64" s="24" t="n">
        <x:v>1</x:v>
      </x:c>
      <x:c r="M64" s="24" t="n">
        <x:v>1</x:v>
      </x:c>
      <x:c r="N64" s="24" t="n">
        <x:v>0</x:v>
      </x:c>
      <x:c r="O64" s="24" t="n">
        <x:v>4</x:v>
      </x:c>
      <x:c r="P64" s="24" t="n">
        <x:f>IFERROR(O64*J64*K64*L64*M64*(1+N64),0)</x:f>
        <x:v>0.547945205479452</x:v>
      </x:c>
      <x:c r="Q64" s="18" t="str">
        <x:v>disabled</x:v>
      </x:c>
      <x:c r="R64" s="18" t="str">
        <x:v>SRC-CH-08</x:v>
      </x:c>
      <x:c r="S64" s="19" t="str">
        <x:v>原始业务ID=COST-MEGABYAI-R103-720-REQ; 来源定位=渠道成本!194</x:v>
      </x:c>
    </x:row>
    <x:row r="65">
      <x:c r="A65" s="20" t="str">
        <x:v>COST-V2/MAP-MEGABYAI-R104-480</x:v>
      </x:c>
      <x:c r="B65" s="18" t="str">
        <x:v>megabyai-fast-no-real-person</x:v>
      </x:c>
      <x:c r="C65" s="18" t="str">
        <x:v>videos-fast</x:v>
      </x:c>
      <x:c r="D65" s="18" t="str">
        <x:v>SKU-SD20-FAST-480</x:v>
      </x:c>
      <x:c r="E65" s="18" t="str">
        <x:v>no_video</x:v>
      </x:c>
      <x:c r="F65" s="18" t="str">
        <x:v>per_request</x:v>
      </x:c>
      <x:c r="G65" s="18" t="str">
        <x:v>480p</x:v>
      </x:c>
      <x:c r="H65" s="18" t="str">
        <x:v>ROUTE-MAP-MEGABYAI-R104-480</x:v>
      </x:c>
      <x:c r="I65" s="18" t="str">
        <x:v>CNY</x:v>
      </x:c>
      <x:c r="J65" s="24" t="n">
        <x:v>0.136986301369863</x:v>
      </x:c>
      <x:c r="K65" s="24" t="n">
        <x:v>1</x:v>
      </x:c>
      <x:c r="L65" s="24" t="n">
        <x:v>1</x:v>
      </x:c>
      <x:c r="M65" s="24" t="n">
        <x:v>1</x:v>
      </x:c>
      <x:c r="N65" s="24" t="n">
        <x:v>0</x:v>
      </x:c>
      <x:c r="O65" s="24" t="n">
        <x:v>1.2</x:v>
      </x:c>
      <x:c r="P65" s="24" t="n">
        <x:f>IFERROR(O65*J65*K65*L65*M65*(1+N65),0)</x:f>
        <x:v>0.1643835616438356</x:v>
      </x:c>
      <x:c r="Q65" s="18" t="str">
        <x:v>disabled</x:v>
      </x:c>
      <x:c r="R65" s="18" t="str">
        <x:v>SRC-CH-08</x:v>
      </x:c>
      <x:c r="S65" s="19" t="str">
        <x:v>原始业务ID=COST-MEGABYAI-R104-480-REQ; 来源定位=渠道成本!196</x:v>
      </x:c>
    </x:row>
    <x:row r="66">
      <x:c r="A66" s="20" t="str">
        <x:v>COST-V2/MAP-MEGABYAI-R105-720</x:v>
      </x:c>
      <x:c r="B66" s="18" t="str">
        <x:v>megabyai-fast-no-real-person</x:v>
      </x:c>
      <x:c r="C66" s="18" t="str">
        <x:v>videos-fast</x:v>
      </x:c>
      <x:c r="D66" s="18" t="str">
        <x:v>SKU-SD20-FAST-720</x:v>
      </x:c>
      <x:c r="E66" s="18" t="str">
        <x:v>no_video</x:v>
      </x:c>
      <x:c r="F66" s="18" t="str">
        <x:v>per_request</x:v>
      </x:c>
      <x:c r="G66" s="18" t="str">
        <x:v>720p</x:v>
      </x:c>
      <x:c r="H66" s="18" t="str">
        <x:v>ROUTE-MAP-MEGABYAI-R105-720</x:v>
      </x:c>
      <x:c r="I66" s="18" t="str">
        <x:v>CNY</x:v>
      </x:c>
      <x:c r="J66" s="24" t="n">
        <x:v>0.136986301369863</x:v>
      </x:c>
      <x:c r="K66" s="24" t="n">
        <x:v>1</x:v>
      </x:c>
      <x:c r="L66" s="24" t="n">
        <x:v>1</x:v>
      </x:c>
      <x:c r="M66" s="24" t="n">
        <x:v>1</x:v>
      </x:c>
      <x:c r="N66" s="24" t="n">
        <x:v>0</x:v>
      </x:c>
      <x:c r="O66" s="24" t="n">
        <x:v>1.6</x:v>
      </x:c>
      <x:c r="P66" s="24" t="n">
        <x:f>IFERROR(O66*J66*K66*L66*M66*(1+N66),0)</x:f>
        <x:v>0.2191780821917808</x:v>
      </x:c>
      <x:c r="Q66" s="18" t="str">
        <x:v>disabled</x:v>
      </x:c>
      <x:c r="R66" s="18" t="str">
        <x:v>SRC-CH-08</x:v>
      </x:c>
      <x:c r="S66" s="19" t="str">
        <x:v>原始业务ID=COST-MEGABYAI-R105-720-REQ; 来源定位=渠道成本!198</x:v>
      </x:c>
    </x:row>
    <x:row r="67">
      <x:c r="A67" s="20" t="str">
        <x:v>COST-V2/MAP-PAIPU-R14-720</x:v>
      </x:c>
      <x:c r="B67" s="18" t="str">
        <x:v>channel-paipu</x:v>
      </x:c>
      <x:c r="C67" s="18" t="str">
        <x:v>lec-seedance-2-0</x:v>
      </x:c>
      <x:c r="D67" s="18" t="str">
        <x:v>SKU-SD20-STD-720</x:v>
      </x:c>
      <x:c r="E67" s="18" t="str">
        <x:v>no_video</x:v>
      </x:c>
      <x:c r="F67" s="18" t="str">
        <x:v>per_request</x:v>
      </x:c>
      <x:c r="G67" s="18" t="str">
        <x:v>720p</x:v>
      </x:c>
      <x:c r="H67" s="18" t="str">
        <x:v>ROUTE-MAP-PAIPU-R14-720</x:v>
      </x:c>
      <x:c r="I67" s="18" t="str">
        <x:v>CNY</x:v>
      </x:c>
      <x:c r="J67" s="24" t="n">
        <x:v>0.136986301369863</x:v>
      </x:c>
      <x:c r="K67" s="24" t="n">
        <x:v>1</x:v>
      </x:c>
      <x:c r="L67" s="24" t="n">
        <x:v>1</x:v>
      </x:c>
      <x:c r="M67" s="24" t="n">
        <x:v>1</x:v>
      </x:c>
      <x:c r="N67" s="24" t="n">
        <x:v>0</x:v>
      </x:c>
      <x:c r="O67" s="24" t="n">
        <x:v>2.3</x:v>
      </x:c>
      <x:c r="P67" s="24" t="n">
        <x:f>IFERROR(O67*J67*K67*L67*M67*(1+N67),0)</x:f>
        <x:v>0.3150684931506849</x:v>
      </x:c>
      <x:c r="Q67" s="18" t="str">
        <x:v>disabled</x:v>
      </x:c>
      <x:c r="R67" s="18" t="str">
        <x:v>SRC-CH-02</x:v>
      </x:c>
      <x:c r="S67" s="19" t="str">
        <x:v>原始业务ID=COST-PAIPU-R14-720-REQ; 来源定位=渠道成本!25</x:v>
      </x:c>
    </x:row>
    <x:row r="68">
      <x:c r="A68" s="20" t="str">
        <x:v>COST-V2/MAP-PAIPU-R15-720</x:v>
      </x:c>
      <x:c r="B68" s="18" t="str">
        <x:v>channel-paipu</x:v>
      </x:c>
      <x:c r="C68" s="18" t="str">
        <x:v>lec-seedance-fast-ht-720p</x:v>
      </x:c>
      <x:c r="D68" s="18" t="str">
        <x:v>SKU-SD20-FAST-720</x:v>
      </x:c>
      <x:c r="E68" s="18" t="str">
        <x:v>no_video</x:v>
      </x:c>
      <x:c r="F68" s="18" t="str">
        <x:v>per_request</x:v>
      </x:c>
      <x:c r="G68" s="18" t="str">
        <x:v>720p</x:v>
      </x:c>
      <x:c r="H68" s="18" t="str">
        <x:v>ROUTE-MAP-PAIPU-R15-720</x:v>
      </x:c>
      <x:c r="I68" s="18" t="str">
        <x:v>CNY</x:v>
      </x:c>
      <x:c r="J68" s="24" t="n">
        <x:v>0.136986301369863</x:v>
      </x:c>
      <x:c r="K68" s="24" t="n">
        <x:v>1</x:v>
      </x:c>
      <x:c r="L68" s="24" t="n">
        <x:v>1</x:v>
      </x:c>
      <x:c r="M68" s="24" t="n">
        <x:v>1</x:v>
      </x:c>
      <x:c r="N68" s="24" t="n">
        <x:v>0</x:v>
      </x:c>
      <x:c r="O68" s="24" t="n">
        <x:v>2</x:v>
      </x:c>
      <x:c r="P68" s="24" t="n">
        <x:f>IFERROR(O68*J68*K68*L68*M68*(1+N68),0)</x:f>
        <x:v>0.273972602739726</x:v>
      </x:c>
      <x:c r="Q68" s="18" t="str">
        <x:v>disabled</x:v>
      </x:c>
      <x:c r="R68" s="18" t="str">
        <x:v>SRC-CH-02</x:v>
      </x:c>
      <x:c r="S68" s="19" t="str">
        <x:v>原始业务ID=COST-PAIPU-R15-720-REQ; 来源定位=渠道成本!26</x:v>
      </x:c>
    </x:row>
    <x:row r="69">
      <x:c r="A69" s="20" t="str">
        <x:v>COST-V2/MAP-PAIPU-R16-720</x:v>
      </x:c>
      <x:c r="B69" s="18" t="str">
        <x:v>channel-paipu</x:v>
      </x:c>
      <x:c r="C69" s="18" t="str">
        <x:v>lec-feituo-seedance-2-0-hn-fast-720p</x:v>
      </x:c>
      <x:c r="D69" s="18" t="str">
        <x:v>SKU-SD20-FAST-720</x:v>
      </x:c>
      <x:c r="E69" s="18" t="str">
        <x:v>no_video</x:v>
      </x:c>
      <x:c r="F69" s="18" t="str">
        <x:v>per_request</x:v>
      </x:c>
      <x:c r="G69" s="18" t="str">
        <x:v>720p</x:v>
      </x:c>
      <x:c r="H69" s="18" t="str">
        <x:v>ROUTE-MAP-PAIPU-R16-720</x:v>
      </x:c>
      <x:c r="I69" s="18" t="str">
        <x:v>CNY</x:v>
      </x:c>
      <x:c r="J69" s="24" t="n">
        <x:v>0.136986301369863</x:v>
      </x:c>
      <x:c r="K69" s="24" t="n">
        <x:v>1</x:v>
      </x:c>
      <x:c r="L69" s="24" t="n">
        <x:v>1</x:v>
      </x:c>
      <x:c r="M69" s="24" t="n">
        <x:v>1</x:v>
      </x:c>
      <x:c r="N69" s="24" t="n">
        <x:v>0</x:v>
      </x:c>
      <x:c r="O69" s="24" t="n">
        <x:v>4.3</x:v>
      </x:c>
      <x:c r="P69" s="24" t="n">
        <x:f>IFERROR(O69*J69*K69*L69*M69*(1+N69),0)</x:f>
        <x:v>0.5890410958904109</x:v>
      </x:c>
      <x:c r="Q69" s="18" t="str">
        <x:v>disabled</x:v>
      </x:c>
      <x:c r="R69" s="18" t="str">
        <x:v>SRC-CH-02</x:v>
      </x:c>
      <x:c r="S69" s="19" t="str">
        <x:v>原始业务ID=COST-PAIPU-R16-720-REQ; 来源定位=渠道成本!27</x:v>
      </x:c>
    </x:row>
    <x:row r="70">
      <x:c r="A70" s="20" t="str">
        <x:v>COST-V2/MAP-PAIPU-R17-720</x:v>
      </x:c>
      <x:c r="B70" s="18" t="str">
        <x:v>channel-paipu</x:v>
      </x:c>
      <x:c r="C70" s="18" t="str">
        <x:v>lec-feituo-seedance-2-0-hn-720p</x:v>
      </x:c>
      <x:c r="D70" s="18" t="str">
        <x:v>SKU-SD20-STD-720</x:v>
      </x:c>
      <x:c r="E70" s="18" t="str">
        <x:v>no_video</x:v>
      </x:c>
      <x:c r="F70" s="18" t="str">
        <x:v>per_request</x:v>
      </x:c>
      <x:c r="G70" s="18" t="str">
        <x:v>720p</x:v>
      </x:c>
      <x:c r="H70" s="18" t="str">
        <x:v>ROUTE-MAP-PAIPU-R17-720</x:v>
      </x:c>
      <x:c r="I70" s="18" t="str">
        <x:v>CNY</x:v>
      </x:c>
      <x:c r="J70" s="24" t="n">
        <x:v>0.136986301369863</x:v>
      </x:c>
      <x:c r="K70" s="24" t="n">
        <x:v>1</x:v>
      </x:c>
      <x:c r="L70" s="24" t="n">
        <x:v>1</x:v>
      </x:c>
      <x:c r="M70" s="24" t="n">
        <x:v>1</x:v>
      </x:c>
      <x:c r="N70" s="24" t="n">
        <x:v>0</x:v>
      </x:c>
      <x:c r="O70" s="24" t="n">
        <x:v>5.3</x:v>
      </x:c>
      <x:c r="P70" s="24" t="n">
        <x:f>IFERROR(O70*J70*K70*L70*M70*(1+N70),0)</x:f>
        <x:v>0.7260273972602739</x:v>
      </x:c>
      <x:c r="Q70" s="18" t="str">
        <x:v>disabled</x:v>
      </x:c>
      <x:c r="R70" s="18" t="str">
        <x:v>SRC-CH-02</x:v>
      </x:c>
      <x:c r="S70" s="19" t="str">
        <x:v>原始业务ID=COST-PAIPU-R17-720-REQ; 来源定位=渠道成本!29</x:v>
      </x:c>
    </x:row>
    <x:row r="71">
      <x:c r="A71" s="20" t="str">
        <x:v>COST-V2/MAP-PAIPU-R18-720</x:v>
      </x:c>
      <x:c r="B71" s="18" t="str">
        <x:v>channel-paipu</x:v>
      </x:c>
      <x:c r="C71" s="18" t="str">
        <x:v>lec-feituo-seedance-2-0-ld-cvk-2</x:v>
      </x:c>
      <x:c r="D71" s="18" t="str">
        <x:v>SKU-SD20-STD-720</x:v>
      </x:c>
      <x:c r="E71" s="18" t="str">
        <x:v>no_video</x:v>
      </x:c>
      <x:c r="F71" s="18" t="str">
        <x:v>per_request</x:v>
      </x:c>
      <x:c r="G71" s="18" t="str">
        <x:v>720p</x:v>
      </x:c>
      <x:c r="H71" s="18" t="str">
        <x:v>ROUTE-MAP-PAIPU-R18-720</x:v>
      </x:c>
      <x:c r="I71" s="18" t="str">
        <x:v>CNY</x:v>
      </x:c>
      <x:c r="J71" s="24" t="n">
        <x:v>0.136986301369863</x:v>
      </x:c>
      <x:c r="K71" s="24" t="n">
        <x:v>1</x:v>
      </x:c>
      <x:c r="L71" s="24" t="n">
        <x:v>1</x:v>
      </x:c>
      <x:c r="M71" s="24" t="n">
        <x:v>1</x:v>
      </x:c>
      <x:c r="N71" s="24" t="n">
        <x:v>0</x:v>
      </x:c>
      <x:c r="O71" s="24" t="n">
        <x:v>6</x:v>
      </x:c>
      <x:c r="P71" s="24" t="n">
        <x:f>IFERROR(O71*J71*K71*L71*M71*(1+N71),0)</x:f>
        <x:v>0.821917808219178</x:v>
      </x:c>
      <x:c r="Q71" s="18" t="str">
        <x:v>disabled</x:v>
      </x:c>
      <x:c r="R71" s="18" t="str">
        <x:v>SRC-CH-02</x:v>
      </x:c>
      <x:c r="S71" s="19" t="str">
        <x:v>原始业务ID=COST-PAIPU-R18-720-REQ; 来源定位=渠道成本!31</x:v>
      </x:c>
    </x:row>
    <x:row r="72">
      <x:c r="A72" s="20" t="str">
        <x:v>COST-V2/MAP-PAIPU-R19-720</x:v>
      </x:c>
      <x:c r="B72" s="18" t="str">
        <x:v>channel-paipu</x:v>
      </x:c>
      <x:c r="C72" s="18" t="str">
        <x:v>lec-feituo-seedance-2-0-limited-720p</x:v>
      </x:c>
      <x:c r="D72" s="18" t="str">
        <x:v>SKU-SD20-STD-720</x:v>
      </x:c>
      <x:c r="E72" s="18" t="str">
        <x:v>no_video</x:v>
      </x:c>
      <x:c r="F72" s="18" t="str">
        <x:v>per_duration</x:v>
      </x:c>
      <x:c r="G72" s="18" t="str">
        <x:v>720p</x:v>
      </x:c>
      <x:c r="H72" s="18" t="str">
        <x:v>ROUTE-MAP-PAIPU-R19-720</x:v>
      </x:c>
      <x:c r="I72" s="18" t="str">
        <x:v>CNY</x:v>
      </x:c>
      <x:c r="J72" s="24" t="n">
        <x:v>0.136986301369863</x:v>
      </x:c>
      <x:c r="K72" s="24" t="n">
        <x:v>1</x:v>
      </x:c>
      <x:c r="L72" s="24" t="n">
        <x:v>1</x:v>
      </x:c>
      <x:c r="M72" s="24" t="n">
        <x:v>1</x:v>
      </x:c>
      <x:c r="N72" s="24" t="n">
        <x:v>0</x:v>
      </x:c>
      <x:c r="O72" s="24" t="n">
        <x:v>0.25</x:v>
      </x:c>
      <x:c r="P72" s="24" t="n">
        <x:f>IFERROR(O72*J72*K72*L72*M72*(1+N72),0)</x:f>
        <x:v>0.03424657534246575</x:v>
      </x:c>
      <x:c r="Q72" s="18" t="str">
        <x:v>disabled</x:v>
      </x:c>
      <x:c r="R72" s="18" t="str">
        <x:v>SRC-CH-02</x:v>
      </x:c>
      <x:c r="S72" s="19" t="str">
        <x:v>原始业务ID=COST-PAIPU-R19-720-SEC; 来源定位=渠道成本!33</x:v>
      </x:c>
    </x:row>
    <x:row r="73">
      <x:c r="A73" s="20" t="str">
        <x:v>COST-V2/MAP-PAIPU-R20-720</x:v>
      </x:c>
      <x:c r="B73" s="18" t="str">
        <x:v>channel-paipu</x:v>
      </x:c>
      <x:c r="C73" s="18" t="str">
        <x:v>lec-feituo-seedance-2-0-lg-720p</x:v>
      </x:c>
      <x:c r="D73" s="18" t="str">
        <x:v>SKU-SD20-STD-720</x:v>
      </x:c>
      <x:c r="E73" s="18" t="str">
        <x:v>no_video</x:v>
      </x:c>
      <x:c r="F73" s="18" t="str">
        <x:v>per_request</x:v>
      </x:c>
      <x:c r="G73" s="18" t="str">
        <x:v>720p</x:v>
      </x:c>
      <x:c r="H73" s="18" t="str">
        <x:v>ROUTE-MAP-PAIPU-R20-720</x:v>
      </x:c>
      <x:c r="I73" s="18" t="str">
        <x:v>CNY</x:v>
      </x:c>
      <x:c r="J73" s="24" t="n">
        <x:v>0.136986301369863</x:v>
      </x:c>
      <x:c r="K73" s="24" t="n">
        <x:v>1</x:v>
      </x:c>
      <x:c r="L73" s="24" t="n">
        <x:v>1</x:v>
      </x:c>
      <x:c r="M73" s="24" t="n">
        <x:v>1</x:v>
      </x:c>
      <x:c r="N73" s="24" t="n">
        <x:v>0</x:v>
      </x:c>
      <x:c r="O73" s="24" t="n">
        <x:v>6</x:v>
      </x:c>
      <x:c r="P73" s="24" t="n">
        <x:f>IFERROR(O73*J73*K73*L73*M73*(1+N73),0)</x:f>
        <x:v>0.821917808219178</x:v>
      </x:c>
      <x:c r="Q73" s="18" t="str">
        <x:v>disabled</x:v>
      </x:c>
      <x:c r="R73" s="18" t="str">
        <x:v>SRC-CH-02</x:v>
      </x:c>
      <x:c r="S73" s="19" t="str">
        <x:v>原始业务ID=COST-PAIPU-R20-720-REQ; 来源定位=渠道成本!34</x:v>
      </x:c>
    </x:row>
    <x:row r="74">
      <x:c r="A74" s="20" t="str">
        <x:v>COST-V2/MAP-PAIPU-R21-1080</x:v>
      </x:c>
      <x:c r="B74" s="18" t="str">
        <x:v>channel-paipu</x:v>
      </x:c>
      <x:c r="C74" s="18" t="str">
        <x:v>lec-feituo-seedance-2-0-my-fast-upscaled-1080p</x:v>
      </x:c>
      <x:c r="D74" s="18" t="str">
        <x:v>SKU-SD20-FAST-1080</x:v>
      </x:c>
      <x:c r="E74" s="18" t="str">
        <x:v>no_video</x:v>
      </x:c>
      <x:c r="F74" s="18" t="str">
        <x:v>per_request</x:v>
      </x:c>
      <x:c r="G74" s="18" t="str">
        <x:v>1080p</x:v>
      </x:c>
      <x:c r="H74" s="18" t="str">
        <x:v>ROUTE-MAP-PAIPU-R21-1080</x:v>
      </x:c>
      <x:c r="I74" s="18" t="str">
        <x:v>CNY</x:v>
      </x:c>
      <x:c r="J74" s="24" t="n">
        <x:v>0.136986301369863</x:v>
      </x:c>
      <x:c r="K74" s="24" t="n">
        <x:v>1</x:v>
      </x:c>
      <x:c r="L74" s="24" t="n">
        <x:v>1</x:v>
      </x:c>
      <x:c r="M74" s="24" t="n">
        <x:v>1</x:v>
      </x:c>
      <x:c r="N74" s="24" t="n">
        <x:v>0</x:v>
      </x:c>
      <x:c r="O74" s="24" t="n">
        <x:v>3.8</x:v>
      </x:c>
      <x:c r="P74" s="24" t="n">
        <x:f>IFERROR(O74*J74*K74*L74*M74*(1+N74),0)</x:f>
        <x:v>0.5205479452054794</x:v>
      </x:c>
      <x:c r="Q74" s="18" t="str">
        <x:v>disabled</x:v>
      </x:c>
      <x:c r="R74" s="18" t="str">
        <x:v>SRC-CH-02</x:v>
      </x:c>
      <x:c r="S74" s="19" t="str">
        <x:v>原始业务ID=COST-PAIPU-R21-1080-REQ; 来源定位=渠道成本!36</x:v>
      </x:c>
    </x:row>
    <x:row r="75">
      <x:c r="A75" s="20" t="str">
        <x:v>COST-V2/MAP-PAIPU-R22-1080</x:v>
      </x:c>
      <x:c r="B75" s="18" t="str">
        <x:v>channel-paipu</x:v>
      </x:c>
      <x:c r="C75" s="18" t="str">
        <x:v>lec-feituo-seedance-2-0-my-upscaled-1080p</x:v>
      </x:c>
      <x:c r="D75" s="18" t="str">
        <x:v>SKU-SD20-STD-1080</x:v>
      </x:c>
      <x:c r="E75" s="18" t="str">
        <x:v>no_video</x:v>
      </x:c>
      <x:c r="F75" s="18" t="str">
        <x:v>per_request</x:v>
      </x:c>
      <x:c r="G75" s="18" t="str">
        <x:v>1080p</x:v>
      </x:c>
      <x:c r="H75" s="18" t="str">
        <x:v>ROUTE-MAP-PAIPU-R22-1080</x:v>
      </x:c>
      <x:c r="I75" s="18" t="str">
        <x:v>CNY</x:v>
      </x:c>
      <x:c r="J75" s="24" t="n">
        <x:v>0.136986301369863</x:v>
      </x:c>
      <x:c r="K75" s="24" t="n">
        <x:v>1</x:v>
      </x:c>
      <x:c r="L75" s="24" t="n">
        <x:v>1</x:v>
      </x:c>
      <x:c r="M75" s="24" t="n">
        <x:v>1</x:v>
      </x:c>
      <x:c r="N75" s="24" t="n">
        <x:v>0</x:v>
      </x:c>
      <x:c r="O75" s="24" t="n">
        <x:v>4.8</x:v>
      </x:c>
      <x:c r="P75" s="24" t="n">
        <x:f>IFERROR(O75*J75*K75*L75*M75*(1+N75),0)</x:f>
        <x:v>0.6575342465753424</x:v>
      </x:c>
      <x:c r="Q75" s="18" t="str">
        <x:v>disabled</x:v>
      </x:c>
      <x:c r="R75" s="18" t="str">
        <x:v>SRC-CH-02</x:v>
      </x:c>
      <x:c r="S75" s="19" t="str">
        <x:v>原始业务ID=COST-PAIPU-R22-1080-REQ; 来源定位=渠道成本!38</x:v>
      </x:c>
    </x:row>
    <x:row r="76">
      <x:c r="A76" s="20" t="str">
        <x:v>COST-V2/MAP-PAIPU-R23-480</x:v>
      </x:c>
      <x:c r="B76" s="18" t="str">
        <x:v>channel-paipu</x:v>
      </x:c>
      <x:c r="C76" s="18" t="str">
        <x:v>lec-seedance-videos-standard</x:v>
      </x:c>
      <x:c r="D76" s="18" t="str">
        <x:v>SKU-SD20-STD-480</x:v>
      </x:c>
      <x:c r="E76" s="18" t="str">
        <x:v>no_video</x:v>
      </x:c>
      <x:c r="F76" s="18" t="str">
        <x:v>per_request</x:v>
      </x:c>
      <x:c r="G76" s="18" t="str">
        <x:v>480p</x:v>
      </x:c>
      <x:c r="H76" s="18" t="str">
        <x:v>ROUTE-MAP-PAIPU-R23-480</x:v>
      </x:c>
      <x:c r="I76" s="18" t="str">
        <x:v>CNY</x:v>
      </x:c>
      <x:c r="J76" s="24" t="n">
        <x:v>0.136986301369863</x:v>
      </x:c>
      <x:c r="K76" s="24" t="n">
        <x:v>1</x:v>
      </x:c>
      <x:c r="L76" s="24" t="n">
        <x:v>1</x:v>
      </x:c>
      <x:c r="M76" s="24" t="n">
        <x:v>1</x:v>
      </x:c>
      <x:c r="N76" s="24" t="n">
        <x:v>0</x:v>
      </x:c>
      <x:c r="O76" s="24" t="n">
        <x:v>4.8</x:v>
      </x:c>
      <x:c r="P76" s="24" t="n">
        <x:f>IFERROR(O76*J76*K76*L76*M76*(1+N76),0)</x:f>
        <x:v>0.6575342465753424</x:v>
      </x:c>
      <x:c r="Q76" s="18" t="str">
        <x:v>disabled</x:v>
      </x:c>
      <x:c r="R76" s="18" t="str">
        <x:v>SRC-CH-02</x:v>
      </x:c>
      <x:c r="S76" s="19" t="str">
        <x:v>原始业务ID=COST-PAIPU-R23-480-REQ; 来源定位=渠道成本!40</x:v>
      </x:c>
    </x:row>
    <x:row r="77">
      <x:c r="A77" s="20" t="str">
        <x:v>COST-V2/MAP-PAIPU-R24-720</x:v>
      </x:c>
      <x:c r="B77" s="18" t="str">
        <x:v>channel-paipu</x:v>
      </x:c>
      <x:c r="C77" s="18" t="str">
        <x:v>lec-seedance-videos-standard</x:v>
      </x:c>
      <x:c r="D77" s="18" t="str">
        <x:v>SKU-SD20-STD-720</x:v>
      </x:c>
      <x:c r="E77" s="18" t="str">
        <x:v>no_video</x:v>
      </x:c>
      <x:c r="F77" s="18" t="str">
        <x:v>per_request</x:v>
      </x:c>
      <x:c r="G77" s="18" t="str">
        <x:v>720p</x:v>
      </x:c>
      <x:c r="H77" s="18" t="str">
        <x:v>ROUTE-MAP-PAIPU-R24-720</x:v>
      </x:c>
      <x:c r="I77" s="18" t="str">
        <x:v>CNY</x:v>
      </x:c>
      <x:c r="J77" s="24" t="n">
        <x:v>0.136986301369863</x:v>
      </x:c>
      <x:c r="K77" s="24" t="n">
        <x:v>1</x:v>
      </x:c>
      <x:c r="L77" s="24" t="n">
        <x:v>1</x:v>
      </x:c>
      <x:c r="M77" s="24" t="n">
        <x:v>1</x:v>
      </x:c>
      <x:c r="N77" s="24" t="n">
        <x:v>0</x:v>
      </x:c>
      <x:c r="O77" s="24" t="n">
        <x:v>5.8</x:v>
      </x:c>
      <x:c r="P77" s="24" t="n">
        <x:f>IFERROR(O77*J77*K77*L77*M77*(1+N77),0)</x:f>
        <x:v>0.7945205479452054</x:v>
      </x:c>
      <x:c r="Q77" s="18" t="str">
        <x:v>disabled</x:v>
      </x:c>
      <x:c r="R77" s="18" t="str">
        <x:v>SRC-CH-02</x:v>
      </x:c>
      <x:c r="S77" s="19" t="str">
        <x:v>原始业务ID=COST-PAIPU-R24-720-REQ; 来源定位=渠道成本!42</x:v>
      </x:c>
    </x:row>
    <x:row r="78">
      <x:c r="A78" s="20" t="str">
        <x:v>COST-V2/MAP-PAIPU-R25-1080</x:v>
      </x:c>
      <x:c r="B78" s="18" t="str">
        <x:v>channel-paipu</x:v>
      </x:c>
      <x:c r="C78" s="18" t="str">
        <x:v>lec-seedance-videos-standard</x:v>
      </x:c>
      <x:c r="D78" s="18" t="str">
        <x:v>SKU-SD20-STD-1080</x:v>
      </x:c>
      <x:c r="E78" s="18" t="str">
        <x:v>no_video</x:v>
      </x:c>
      <x:c r="F78" s="18" t="str">
        <x:v>per_duration</x:v>
      </x:c>
      <x:c r="G78" s="18" t="str">
        <x:v>1080p</x:v>
      </x:c>
      <x:c r="H78" s="18" t="str">
        <x:v>ROUTE-MAP-PAIPU-R25-1080</x:v>
      </x:c>
      <x:c r="I78" s="18" t="str">
        <x:v>CNY</x:v>
      </x:c>
      <x:c r="J78" s="24" t="n">
        <x:v>0.136986301369863</x:v>
      </x:c>
      <x:c r="K78" s="24" t="n">
        <x:v>1</x:v>
      </x:c>
      <x:c r="L78" s="24" t="n">
        <x:v>1</x:v>
      </x:c>
      <x:c r="M78" s="24" t="n">
        <x:v>1</x:v>
      </x:c>
      <x:c r="N78" s="24" t="n">
        <x:v>0</x:v>
      </x:c>
      <x:c r="O78" s="24" t="n">
        <x:v>0.6</x:v>
      </x:c>
      <x:c r="P78" s="24" t="n">
        <x:f>IFERROR(O78*J78*K78*L78*M78*(1+N78),0)</x:f>
        <x:v>0.0821917808219178</x:v>
      </x:c>
      <x:c r="Q78" s="18" t="str">
        <x:v>disabled</x:v>
      </x:c>
      <x:c r="R78" s="18" t="str">
        <x:v>SRC-CH-02</x:v>
      </x:c>
      <x:c r="S78" s="19" t="str">
        <x:v>原始业务ID=COST-PAIPU-R25-1080-SEC; 来源定位=渠道成本!44</x:v>
      </x:c>
    </x:row>
    <x:row r="79">
      <x:c r="A79" s="20" t="str">
        <x:v>COST-V2/MAP-PAIPU-R26-4K</x:v>
      </x:c>
      <x:c r="B79" s="18" t="str">
        <x:v>channel-paipu</x:v>
      </x:c>
      <x:c r="C79" s="18" t="str">
        <x:v>lec-seedance-videos-standard</x:v>
      </x:c>
      <x:c r="D79" s="18" t="str">
        <x:v>SKU-SD20-STD-4K</x:v>
      </x:c>
      <x:c r="E79" s="18" t="str">
        <x:v>no_video</x:v>
      </x:c>
      <x:c r="F79" s="18" t="str">
        <x:v>per_duration</x:v>
      </x:c>
      <x:c r="G79" s="18" t="str">
        <x:v>4k</x:v>
      </x:c>
      <x:c r="H79" s="18" t="str">
        <x:v>ROUTE-MAP-PAIPU-R26-4K</x:v>
      </x:c>
      <x:c r="I79" s="18" t="str">
        <x:v>CNY</x:v>
      </x:c>
      <x:c r="J79" s="24" t="n">
        <x:v>0.136986301369863</x:v>
      </x:c>
      <x:c r="K79" s="24" t="n">
        <x:v>1</x:v>
      </x:c>
      <x:c r="L79" s="24" t="n">
        <x:v>1</x:v>
      </x:c>
      <x:c r="M79" s="24" t="n">
        <x:v>1</x:v>
      </x:c>
      <x:c r="N79" s="24" t="n">
        <x:v>0</x:v>
      </x:c>
      <x:c r="O79" s="24" t="n">
        <x:v>1.71</x:v>
      </x:c>
      <x:c r="P79" s="24" t="n">
        <x:f>IFERROR(O79*J79*K79*L79*M79*(1+N79),0)</x:f>
        <x:v>0.23424657534246573</x:v>
      </x:c>
      <x:c r="Q79" s="18" t="str">
        <x:v>disabled</x:v>
      </x:c>
      <x:c r="R79" s="18" t="str">
        <x:v>SRC-CH-02</x:v>
      </x:c>
      <x:c r="S79" s="19" t="str">
        <x:v>原始业务ID=COST-PAIPU-R26-4K-SEC; 来源定位=渠道成本!46</x:v>
      </x:c>
    </x:row>
    <x:row r="80">
      <x:c r="A80" s="20" t="str">
        <x:v>COST-V2/MAP-PAIPU-R27-480</x:v>
      </x:c>
      <x:c r="B80" s="18" t="str">
        <x:v>channel-paipu</x:v>
      </x:c>
      <x:c r="C80" s="18" t="str">
        <x:v>lec-seedance-videos-fast</x:v>
      </x:c>
      <x:c r="D80" s="18" t="str">
        <x:v>SKU-SD20-FAST-480</x:v>
      </x:c>
      <x:c r="E80" s="18" t="str">
        <x:v>no_video</x:v>
      </x:c>
      <x:c r="F80" s="18" t="str">
        <x:v>per_request</x:v>
      </x:c>
      <x:c r="G80" s="18" t="str">
        <x:v>480p</x:v>
      </x:c>
      <x:c r="H80" s="18" t="str">
        <x:v>ROUTE-MAP-PAIPU-R27-480</x:v>
      </x:c>
      <x:c r="I80" s="18" t="str">
        <x:v>CNY</x:v>
      </x:c>
      <x:c r="J80" s="24" t="n">
        <x:v>0.136986301369863</x:v>
      </x:c>
      <x:c r="K80" s="24" t="n">
        <x:v>1</x:v>
      </x:c>
      <x:c r="L80" s="24" t="n">
        <x:v>1</x:v>
      </x:c>
      <x:c r="M80" s="24" t="n">
        <x:v>1</x:v>
      </x:c>
      <x:c r="N80" s="24" t="n">
        <x:v>0</x:v>
      </x:c>
      <x:c r="O80" s="24" t="n">
        <x:v>3.3</x:v>
      </x:c>
      <x:c r="P80" s="24" t="n">
        <x:f>IFERROR(O80*J80*K80*L80*M80*(1+N80),0)</x:f>
        <x:v>0.4520547945205479</x:v>
      </x:c>
      <x:c r="Q80" s="18" t="str">
        <x:v>disabled</x:v>
      </x:c>
      <x:c r="R80" s="18" t="str">
        <x:v>SRC-CH-02</x:v>
      </x:c>
      <x:c r="S80" s="19" t="str">
        <x:v>原始业务ID=COST-PAIPU-R27-480-REQ; 来源定位=渠道成本!48</x:v>
      </x:c>
    </x:row>
    <x:row r="81">
      <x:c r="A81" s="20" t="str">
        <x:v>COST-V2/MAP-PAIPU-R28-720</x:v>
      </x:c>
      <x:c r="B81" s="18" t="str">
        <x:v>channel-paipu</x:v>
      </x:c>
      <x:c r="C81" s="18" t="str">
        <x:v>lec-seedance-videos-fast</x:v>
      </x:c>
      <x:c r="D81" s="18" t="str">
        <x:v>SKU-SD20-FAST-720</x:v>
      </x:c>
      <x:c r="E81" s="18" t="str">
        <x:v>no_video</x:v>
      </x:c>
      <x:c r="F81" s="18" t="str">
        <x:v>per_request</x:v>
      </x:c>
      <x:c r="G81" s="18" t="str">
        <x:v>720p</x:v>
      </x:c>
      <x:c r="H81" s="18" t="str">
        <x:v>ROUTE-MAP-PAIPU-R28-720</x:v>
      </x:c>
      <x:c r="I81" s="18" t="str">
        <x:v>CNY</x:v>
      </x:c>
      <x:c r="J81" s="24" t="n">
        <x:v>0.136986301369863</x:v>
      </x:c>
      <x:c r="K81" s="24" t="n">
        <x:v>1</x:v>
      </x:c>
      <x:c r="L81" s="24" t="n">
        <x:v>1</x:v>
      </x:c>
      <x:c r="M81" s="24" t="n">
        <x:v>1</x:v>
      </x:c>
      <x:c r="N81" s="24" t="n">
        <x:v>0</x:v>
      </x:c>
      <x:c r="O81" s="24" t="n">
        <x:v>3.3</x:v>
      </x:c>
      <x:c r="P81" s="24" t="n">
        <x:f>IFERROR(O81*J81*K81*L81*M81*(1+N81),0)</x:f>
        <x:v>0.4520547945205479</x:v>
      </x:c>
      <x:c r="Q81" s="18" t="str">
        <x:v>disabled</x:v>
      </x:c>
      <x:c r="R81" s="18" t="str">
        <x:v>SRC-CH-02</x:v>
      </x:c>
      <x:c r="S81" s="19" t="str">
        <x:v>原始业务ID=COST-PAIPU-R28-720-REQ; 来源定位=渠道成本!50</x:v>
      </x:c>
    </x:row>
    <x:row r="82">
      <x:c r="A82" s="20" t="str">
        <x:v>COST-V2/MAP-PAIPU-R29-480</x:v>
      </x:c>
      <x:c r="B82" s="18" t="str">
        <x:v>channel-paipu</x:v>
      </x:c>
      <x:c r="C82" s="18" t="str">
        <x:v>lec-seedance-videos-mini</x:v>
      </x:c>
      <x:c r="D82" s="18" t="str">
        <x:v>SKU-SD20-MINI-480</x:v>
      </x:c>
      <x:c r="E82" s="18" t="str">
        <x:v>no_video</x:v>
      </x:c>
      <x:c r="F82" s="18" t="str">
        <x:v>per_request</x:v>
      </x:c>
      <x:c r="G82" s="18" t="str">
        <x:v>480p</x:v>
      </x:c>
      <x:c r="H82" s="18" t="str">
        <x:v>ROUTE-MAP-PAIPU-R29-480</x:v>
      </x:c>
      <x:c r="I82" s="18" t="str">
        <x:v>CNY</x:v>
      </x:c>
      <x:c r="J82" s="24" t="n">
        <x:v>0.136986301369863</x:v>
      </x:c>
      <x:c r="K82" s="24" t="n">
        <x:v>1</x:v>
      </x:c>
      <x:c r="L82" s="24" t="n">
        <x:v>1</x:v>
      </x:c>
      <x:c r="M82" s="24" t="n">
        <x:v>1</x:v>
      </x:c>
      <x:c r="N82" s="24" t="n">
        <x:v>0</x:v>
      </x:c>
      <x:c r="O82" s="24" t="n">
        <x:v>2.3</x:v>
      </x:c>
      <x:c r="P82" s="24" t="n">
        <x:f>IFERROR(O82*J82*K82*L82*M82*(1+N82),0)</x:f>
        <x:v>0.3150684931506849</x:v>
      </x:c>
      <x:c r="Q82" s="18" t="str">
        <x:v>disabled</x:v>
      </x:c>
      <x:c r="R82" s="18" t="str">
        <x:v>SRC-CH-02</x:v>
      </x:c>
      <x:c r="S82" s="19" t="str">
        <x:v>原始业务ID=COST-PAIPU-R29-480-REQ; 来源定位=渠道成本!52</x:v>
      </x:c>
    </x:row>
    <x:row r="83">
      <x:c r="A83" s="20" t="str">
        <x:v>COST-V2/MAP-PAIPU-R30-720</x:v>
      </x:c>
      <x:c r="B83" s="18" t="str">
        <x:v>channel-paipu</x:v>
      </x:c>
      <x:c r="C83" s="18" t="str">
        <x:v>lec-seedance-videos-mini</x:v>
      </x:c>
      <x:c r="D83" s="18" t="str">
        <x:v>SKU-SD20-MINI-720</x:v>
      </x:c>
      <x:c r="E83" s="18" t="str">
        <x:v>no_video</x:v>
      </x:c>
      <x:c r="F83" s="18" t="str">
        <x:v>per_request</x:v>
      </x:c>
      <x:c r="G83" s="18" t="str">
        <x:v>720p</x:v>
      </x:c>
      <x:c r="H83" s="18" t="str">
        <x:v>ROUTE-MAP-PAIPU-R30-720</x:v>
      </x:c>
      <x:c r="I83" s="18" t="str">
        <x:v>CNY</x:v>
      </x:c>
      <x:c r="J83" s="24" t="n">
        <x:v>0.136986301369863</x:v>
      </x:c>
      <x:c r="K83" s="24" t="n">
        <x:v>1</x:v>
      </x:c>
      <x:c r="L83" s="24" t="n">
        <x:v>1</x:v>
      </x:c>
      <x:c r="M83" s="24" t="n">
        <x:v>1</x:v>
      </x:c>
      <x:c r="N83" s="24" t="n">
        <x:v>0</x:v>
      </x:c>
      <x:c r="O83" s="24" t="n">
        <x:v>2.3</x:v>
      </x:c>
      <x:c r="P83" s="24" t="n">
        <x:f>IFERROR(O83*J83*K83*L83*M83*(1+N83),0)</x:f>
        <x:v>0.3150684931506849</x:v>
      </x:c>
      <x:c r="Q83" s="18" t="str">
        <x:v>disabled</x:v>
      </x:c>
      <x:c r="R83" s="18" t="str">
        <x:v>SRC-CH-02</x:v>
      </x:c>
      <x:c r="S83" s="19" t="str">
        <x:v>原始业务ID=COST-PAIPU-R30-720-REQ; 来源定位=渠道成本!54</x:v>
      </x:c>
    </x:row>
    <x:row r="84">
      <x:c r="A84" s="20" t="str">
        <x:v>COST-V2/MAP-PAIPU-R31-480</x:v>
      </x:c>
      <x:c r="B84" s="18" t="str">
        <x:v>channel-paipu</x:v>
      </x:c>
      <x:c r="C84" s="18" t="str">
        <x:v>lec-seedance-videos-stable</x:v>
      </x:c>
      <x:c r="D84" s="18" t="str">
        <x:v>SKU-SD20-STD-480</x:v>
      </x:c>
      <x:c r="E84" s="18" t="str">
        <x:v>no_video</x:v>
      </x:c>
      <x:c r="F84" s="18" t="str">
        <x:v>per_duration</x:v>
      </x:c>
      <x:c r="G84" s="18" t="str">
        <x:v>480p</x:v>
      </x:c>
      <x:c r="H84" s="18" t="str">
        <x:v>ROUTE-MAP-PAIPU-R31-480</x:v>
      </x:c>
      <x:c r="I84" s="18" t="str">
        <x:v>CNY</x:v>
      </x:c>
      <x:c r="J84" s="24" t="n">
        <x:v>0.136986301369863</x:v>
      </x:c>
      <x:c r="K84" s="24" t="n">
        <x:v>1</x:v>
      </x:c>
      <x:c r="L84" s="24" t="n">
        <x:v>1</x:v>
      </x:c>
      <x:c r="M84" s="24" t="n">
        <x:v>1</x:v>
      </x:c>
      <x:c r="N84" s="24" t="n">
        <x:v>0</x:v>
      </x:c>
      <x:c r="O84" s="24" t="n">
        <x:v>0.27</x:v>
      </x:c>
      <x:c r="P84" s="24" t="n">
        <x:f>IFERROR(O84*J84*K84*L84*M84*(1+N84),0)</x:f>
        <x:v>0.036986301369863014</x:v>
      </x:c>
      <x:c r="Q84" s="18" t="str">
        <x:v>disabled</x:v>
      </x:c>
      <x:c r="R84" s="18" t="str">
        <x:v>SRC-CH-02</x:v>
      </x:c>
      <x:c r="S84" s="19" t="str">
        <x:v>原始业务ID=COST-PAIPU-R31-480-SEC; 来源定位=渠道成本!56</x:v>
      </x:c>
    </x:row>
    <x:row r="85">
      <x:c r="A85" s="20" t="str">
        <x:v>COST-V2/MAP-PAIPU-R32-720</x:v>
      </x:c>
      <x:c r="B85" s="18" t="str">
        <x:v>channel-paipu</x:v>
      </x:c>
      <x:c r="C85" s="18" t="str">
        <x:v>lec-seedance-videos-stable</x:v>
      </x:c>
      <x:c r="D85" s="18" t="str">
        <x:v>SKU-SD20-STD-720</x:v>
      </x:c>
      <x:c r="E85" s="18" t="str">
        <x:v>no_video</x:v>
      </x:c>
      <x:c r="F85" s="18" t="str">
        <x:v>per_duration</x:v>
      </x:c>
      <x:c r="G85" s="18" t="str">
        <x:v>720p</x:v>
      </x:c>
      <x:c r="H85" s="18" t="str">
        <x:v>ROUTE-MAP-PAIPU-R32-720</x:v>
      </x:c>
      <x:c r="I85" s="18" t="str">
        <x:v>CNY</x:v>
      </x:c>
      <x:c r="J85" s="24" t="n">
        <x:v>0.136986301369863</x:v>
      </x:c>
      <x:c r="K85" s="24" t="n">
        <x:v>1</x:v>
      </x:c>
      <x:c r="L85" s="24" t="n">
        <x:v>1</x:v>
      </x:c>
      <x:c r="M85" s="24" t="n">
        <x:v>1</x:v>
      </x:c>
      <x:c r="N85" s="24" t="n">
        <x:v>0</x:v>
      </x:c>
      <x:c r="O85" s="24" t="n">
        <x:v>0.37</x:v>
      </x:c>
      <x:c r="P85" s="24" t="n">
        <x:f>IFERROR(O85*J85*K85*L85*M85*(1+N85),0)</x:f>
        <x:v>0.050684931506849315</x:v>
      </x:c>
      <x:c r="Q85" s="18" t="str">
        <x:v>disabled</x:v>
      </x:c>
      <x:c r="R85" s="18" t="str">
        <x:v>SRC-CH-02</x:v>
      </x:c>
      <x:c r="S85" s="19" t="str">
        <x:v>原始业务ID=COST-PAIPU-R32-720-SEC; 来源定位=渠道成本!58</x:v>
      </x:c>
    </x:row>
    <x:row r="86">
      <x:c r="A86" s="20" t="str">
        <x:v>COST-V2/MAP-PAIPU-R33-480</x:v>
      </x:c>
      <x:c r="B86" s="18" t="str">
        <x:v>channel-paipu</x:v>
      </x:c>
      <x:c r="C86" s="18" t="str">
        <x:v>lec-seedance-videos-stable-fast</x:v>
      </x:c>
      <x:c r="D86" s="18" t="str">
        <x:v>SKU-SD20-FAST-480</x:v>
      </x:c>
      <x:c r="E86" s="18" t="str">
        <x:v>no_video</x:v>
      </x:c>
      <x:c r="F86" s="18" t="str">
        <x:v>per_duration</x:v>
      </x:c>
      <x:c r="G86" s="18" t="str">
        <x:v>480p</x:v>
      </x:c>
      <x:c r="H86" s="18" t="str">
        <x:v>ROUTE-MAP-PAIPU-R33-480</x:v>
      </x:c>
      <x:c r="I86" s="18" t="str">
        <x:v>CNY</x:v>
      </x:c>
      <x:c r="J86" s="24" t="n">
        <x:v>0.136986301369863</x:v>
      </x:c>
      <x:c r="K86" s="24" t="n">
        <x:v>1</x:v>
      </x:c>
      <x:c r="L86" s="24" t="n">
        <x:v>1</x:v>
      </x:c>
      <x:c r="M86" s="24" t="n">
        <x:v>1</x:v>
      </x:c>
      <x:c r="N86" s="24" t="n">
        <x:v>0</x:v>
      </x:c>
      <x:c r="O86" s="24" t="n">
        <x:v>0.17</x:v>
      </x:c>
      <x:c r="P86" s="24" t="n">
        <x:f>IFERROR(O86*J86*K86*L86*M86*(1+N86),0)</x:f>
        <x:v>0.023287671232876714</x:v>
      </x:c>
      <x:c r="Q86" s="18" t="str">
        <x:v>disabled</x:v>
      </x:c>
      <x:c r="R86" s="18" t="str">
        <x:v>SRC-CH-02</x:v>
      </x:c>
      <x:c r="S86" s="19" t="str">
        <x:v>原始业务ID=COST-PAIPU-R33-480-SEC; 来源定位=渠道成本!60</x:v>
      </x:c>
    </x:row>
    <x:row r="87">
      <x:c r="A87" s="20" t="str">
        <x:v>COST-V2/MAP-PAIPU-R34-720</x:v>
      </x:c>
      <x:c r="B87" s="18" t="str">
        <x:v>channel-paipu</x:v>
      </x:c>
      <x:c r="C87" s="18" t="str">
        <x:v>lec-seedance-videos-stable-fast</x:v>
      </x:c>
      <x:c r="D87" s="18" t="str">
        <x:v>SKU-SD20-FAST-720</x:v>
      </x:c>
      <x:c r="E87" s="18" t="str">
        <x:v>no_video</x:v>
      </x:c>
      <x:c r="F87" s="18" t="str">
        <x:v>per_duration</x:v>
      </x:c>
      <x:c r="G87" s="18" t="str">
        <x:v>720p</x:v>
      </x:c>
      <x:c r="H87" s="18" t="str">
        <x:v>ROUTE-MAP-PAIPU-R34-720</x:v>
      </x:c>
      <x:c r="I87" s="18" t="str">
        <x:v>CNY</x:v>
      </x:c>
      <x:c r="J87" s="24" t="n">
        <x:v>0.136986301369863</x:v>
      </x:c>
      <x:c r="K87" s="24" t="n">
        <x:v>1</x:v>
      </x:c>
      <x:c r="L87" s="24" t="n">
        <x:v>1</x:v>
      </x:c>
      <x:c r="M87" s="24" t="n">
        <x:v>1</x:v>
      </x:c>
      <x:c r="N87" s="24" t="n">
        <x:v>0</x:v>
      </x:c>
      <x:c r="O87" s="24" t="n">
        <x:v>0.27</x:v>
      </x:c>
      <x:c r="P87" s="24" t="n">
        <x:f>IFERROR(O87*J87*K87*L87*M87*(1+N87),0)</x:f>
        <x:v>0.036986301369863014</x:v>
      </x:c>
      <x:c r="Q87" s="18" t="str">
        <x:v>disabled</x:v>
      </x:c>
      <x:c r="R87" s="18" t="str">
        <x:v>SRC-CH-02</x:v>
      </x:c>
      <x:c r="S87" s="19" t="str">
        <x:v>原始业务ID=COST-PAIPU-R34-720-SEC; 来源定位=渠道成本!62</x:v>
      </x:c>
    </x:row>
    <x:row r="88">
      <x:c r="A88" s="20" t="str">
        <x:v>COST-V2/MAP-PAIPU-R35-480</x:v>
      </x:c>
      <x:c r="B88" s="18" t="str">
        <x:v>channel-paipu</x:v>
      </x:c>
      <x:c r="C88" s="18" t="str">
        <x:v>lec-seedance-videos-stable-mini</x:v>
      </x:c>
      <x:c r="D88" s="18" t="str">
        <x:v>SKU-SD20-MINI-480</x:v>
      </x:c>
      <x:c r="E88" s="18" t="str">
        <x:v>no_video</x:v>
      </x:c>
      <x:c r="F88" s="18" t="str">
        <x:v>per_duration</x:v>
      </x:c>
      <x:c r="G88" s="18" t="str">
        <x:v>480p</x:v>
      </x:c>
      <x:c r="H88" s="18" t="str">
        <x:v>ROUTE-MAP-PAIPU-R35-480</x:v>
      </x:c>
      <x:c r="I88" s="18" t="str">
        <x:v>CNY</x:v>
      </x:c>
      <x:c r="J88" s="24" t="n">
        <x:v>0.136986301369863</x:v>
      </x:c>
      <x:c r="K88" s="24" t="n">
        <x:v>1</x:v>
      </x:c>
      <x:c r="L88" s="24" t="n">
        <x:v>1</x:v>
      </x:c>
      <x:c r="M88" s="24" t="n">
        <x:v>1</x:v>
      </x:c>
      <x:c r="N88" s="24" t="n">
        <x:v>0</x:v>
      </x:c>
      <x:c r="O88" s="24" t="n">
        <x:v>0.14</x:v>
      </x:c>
      <x:c r="P88" s="24" t="n">
        <x:f>IFERROR(O88*J88*K88*L88*M88*(1+N88),0)</x:f>
        <x:v>0.019178082191780823</x:v>
      </x:c>
      <x:c r="Q88" s="18" t="str">
        <x:v>disabled</x:v>
      </x:c>
      <x:c r="R88" s="18" t="str">
        <x:v>SRC-CH-02</x:v>
      </x:c>
      <x:c r="S88" s="19" t="str">
        <x:v>原始业务ID=COST-PAIPU-R35-480-SEC; 来源定位=渠道成本!64</x:v>
      </x:c>
    </x:row>
    <x:row r="89">
      <x:c r="A89" s="20" t="str">
        <x:v>COST-V2/MAP-PAIPU-R36-720</x:v>
      </x:c>
      <x:c r="B89" s="18" t="str">
        <x:v>channel-paipu</x:v>
      </x:c>
      <x:c r="C89" s="18" t="str">
        <x:v>lec-seedance-videos-stable-mini</x:v>
      </x:c>
      <x:c r="D89" s="18" t="str">
        <x:v>SKU-SD20-MINI-720</x:v>
      </x:c>
      <x:c r="E89" s="18" t="str">
        <x:v>no_video</x:v>
      </x:c>
      <x:c r="F89" s="18" t="str">
        <x:v>per_duration</x:v>
      </x:c>
      <x:c r="G89" s="18" t="str">
        <x:v>720p</x:v>
      </x:c>
      <x:c r="H89" s="18" t="str">
        <x:v>ROUTE-MAP-PAIPU-R36-720</x:v>
      </x:c>
      <x:c r="I89" s="18" t="str">
        <x:v>CNY</x:v>
      </x:c>
      <x:c r="J89" s="24" t="n">
        <x:v>0.136986301369863</x:v>
      </x:c>
      <x:c r="K89" s="24" t="n">
        <x:v>1</x:v>
      </x:c>
      <x:c r="L89" s="24" t="n">
        <x:v>1</x:v>
      </x:c>
      <x:c r="M89" s="24" t="n">
        <x:v>1</x:v>
      </x:c>
      <x:c r="N89" s="24" t="n">
        <x:v>0</x:v>
      </x:c>
      <x:c r="O89" s="24" t="n">
        <x:v>0.2</x:v>
      </x:c>
      <x:c r="P89" s="24" t="n">
        <x:f>IFERROR(O89*J89*K89*L89*M89*(1+N89),0)</x:f>
        <x:v>0.0273972602739726</x:v>
      </x:c>
      <x:c r="Q89" s="18" t="str">
        <x:v>disabled</x:v>
      </x:c>
      <x:c r="R89" s="18" t="str">
        <x:v>SRC-CH-02</x:v>
      </x:c>
      <x:c r="S89" s="19" t="str">
        <x:v>原始业务ID=COST-PAIPU-R36-720-SEC; 来源定位=渠道成本!66</x:v>
      </x:c>
    </x:row>
    <x:row r="90">
      <x:c r="A90" s="20" t="str">
        <x:v>COST-V2/MAP-PAIPU-R37-720</x:v>
      </x:c>
      <x:c r="B90" s="18" t="str">
        <x:v>channel-paipu</x:v>
      </x:c>
      <x:c r="C90" s="18" t="str">
        <x:v>lec-seedance-videos-stable-720p</x:v>
      </x:c>
      <x:c r="D90" s="18" t="str">
        <x:v>SKU-SD20-STD-720</x:v>
      </x:c>
      <x:c r="E90" s="18" t="str">
        <x:v>no_video</x:v>
      </x:c>
      <x:c r="F90" s="18" t="str">
        <x:v>per_request</x:v>
      </x:c>
      <x:c r="G90" s="18" t="str">
        <x:v>720p</x:v>
      </x:c>
      <x:c r="H90" s="18" t="str">
        <x:v>ROUTE-MAP-PAIPU-R37-720</x:v>
      </x:c>
      <x:c r="I90" s="18" t="str">
        <x:v>CNY</x:v>
      </x:c>
      <x:c r="J90" s="24" t="n">
        <x:v>0.136986301369863</x:v>
      </x:c>
      <x:c r="K90" s="24" t="n">
        <x:v>1</x:v>
      </x:c>
      <x:c r="L90" s="24" t="n">
        <x:v>1</x:v>
      </x:c>
      <x:c r="M90" s="24" t="n">
        <x:v>1</x:v>
      </x:c>
      <x:c r="N90" s="24" t="n">
        <x:v>0</x:v>
      </x:c>
      <x:c r="O90" s="24" t="n">
        <x:v>5.5</x:v>
      </x:c>
      <x:c r="P90" s="24" t="n">
        <x:f>IFERROR(O90*J90*K90*L90*M90*(1+N90),0)</x:f>
        <x:v>0.7534246575342465</x:v>
      </x:c>
      <x:c r="Q90" s="18" t="str">
        <x:v>disabled</x:v>
      </x:c>
      <x:c r="R90" s="18" t="str">
        <x:v>SRC-CH-02</x:v>
      </x:c>
      <x:c r="S90" s="19" t="str">
        <x:v>原始业务ID=COST-PAIPU-R37-720-REQ; 来源定位=渠道成本!68</x:v>
      </x:c>
    </x:row>
    <x:row r="91">
      <x:c r="A91" s="20" t="str">
        <x:v>COST-V2/MAP-PAIPU-R38-720</x:v>
      </x:c>
      <x:c r="B91" s="18" t="str">
        <x:v>channel-paipu</x:v>
      </x:c>
      <x:c r="C91" s="18" t="str">
        <x:v>lec-seedance-videos-fast-720p</x:v>
      </x:c>
      <x:c r="D91" s="18" t="str">
        <x:v>SKU-SD20-FAST-720</x:v>
      </x:c>
      <x:c r="E91" s="18" t="str">
        <x:v>no_video</x:v>
      </x:c>
      <x:c r="F91" s="18" t="str">
        <x:v>per_request</x:v>
      </x:c>
      <x:c r="G91" s="18" t="str">
        <x:v>720p</x:v>
      </x:c>
      <x:c r="H91" s="18" t="str">
        <x:v>ROUTE-MAP-PAIPU-R38-720</x:v>
      </x:c>
      <x:c r="I91" s="18" t="str">
        <x:v>CNY</x:v>
      </x:c>
      <x:c r="J91" s="24" t="n">
        <x:v>0.136986301369863</x:v>
      </x:c>
      <x:c r="K91" s="24" t="n">
        <x:v>1</x:v>
      </x:c>
      <x:c r="L91" s="24" t="n">
        <x:v>1</x:v>
      </x:c>
      <x:c r="M91" s="24" t="n">
        <x:v>1</x:v>
      </x:c>
      <x:c r="N91" s="24" t="n">
        <x:v>0</x:v>
      </x:c>
      <x:c r="O91" s="24" t="n">
        <x:v>3.5</x:v>
      </x:c>
      <x:c r="P91" s="24" t="n">
        <x:f>IFERROR(O91*J91*K91*L91*M91*(1+N91),0)</x:f>
        <x:v>0.4794520547945205</x:v>
      </x:c>
      <x:c r="Q91" s="18" t="str">
        <x:v>disabled</x:v>
      </x:c>
      <x:c r="R91" s="18" t="str">
        <x:v>SRC-CH-02</x:v>
      </x:c>
      <x:c r="S91" s="19" t="str">
        <x:v>原始业务ID=COST-PAIPU-R38-720-REQ; 来源定位=渠道成本!70</x:v>
      </x:c>
    </x:row>
    <x:row r="92">
      <x:c r="A92" s="20" t="str">
        <x:v>COST-V2/MAP-PAIPU-R39-720</x:v>
      </x:c>
      <x:c r="B92" s="18" t="str">
        <x:v>channel-paipu</x:v>
      </x:c>
      <x:c r="C92" s="18" t="str">
        <x:v>lec-seedance-videos-mini-720p</x:v>
      </x:c>
      <x:c r="D92" s="18" t="str">
        <x:v>SKU-SD20-MINI-720</x:v>
      </x:c>
      <x:c r="E92" s="18" t="str">
        <x:v>no_video</x:v>
      </x:c>
      <x:c r="F92" s="18" t="str">
        <x:v>per_request</x:v>
      </x:c>
      <x:c r="G92" s="18" t="str">
        <x:v>720p</x:v>
      </x:c>
      <x:c r="H92" s="18" t="str">
        <x:v>ROUTE-MAP-PAIPU-R39-720</x:v>
      </x:c>
      <x:c r="I92" s="18" t="str">
        <x:v>CNY</x:v>
      </x:c>
      <x:c r="J92" s="24" t="n">
        <x:v>0.136986301369863</x:v>
      </x:c>
      <x:c r="K92" s="24" t="n">
        <x:v>1</x:v>
      </x:c>
      <x:c r="L92" s="24" t="n">
        <x:v>1</x:v>
      </x:c>
      <x:c r="M92" s="24" t="n">
        <x:v>1</x:v>
      </x:c>
      <x:c r="N92" s="24" t="n">
        <x:v>0</x:v>
      </x:c>
      <x:c r="O92" s="24" t="n">
        <x:v>2.8</x:v>
      </x:c>
      <x:c r="P92" s="24" t="n">
        <x:f>IFERROR(O92*J92*K92*L92*M92*(1+N92),0)</x:f>
        <x:v>0.3835616438356164</x:v>
      </x:c>
      <x:c r="Q92" s="18" t="str">
        <x:v>disabled</x:v>
      </x:c>
      <x:c r="R92" s="18" t="str">
        <x:v>SRC-CH-02</x:v>
      </x:c>
      <x:c r="S92" s="19" t="str">
        <x:v>原始业务ID=COST-PAIPU-R39-720-REQ; 来源定位=渠道成本!72</x:v>
      </x:c>
    </x:row>
    <x:row r="93">
      <x:c r="A93" s="20" t="str">
        <x:v>COST-V2/MAP-PAIPU-R40-480</x:v>
      </x:c>
      <x:c r="B93" s="18" t="str">
        <x:v>channel-paipu</x:v>
      </x:c>
      <x:c r="C93" s="18" t="str">
        <x:v>lec-seedance-videos-face-standard</x:v>
      </x:c>
      <x:c r="D93" s="18" t="str">
        <x:v>SKU-SD20-STD-480</x:v>
      </x:c>
      <x:c r="E93" s="18" t="str">
        <x:v>no_video</x:v>
      </x:c>
      <x:c r="F93" s="18" t="str">
        <x:v>per_request</x:v>
      </x:c>
      <x:c r="G93" s="18" t="str">
        <x:v>480p</x:v>
      </x:c>
      <x:c r="H93" s="18" t="str">
        <x:v>ROUTE-MAP-PAIPU-R40-480</x:v>
      </x:c>
      <x:c r="I93" s="18" t="str">
        <x:v>CNY</x:v>
      </x:c>
      <x:c r="J93" s="24" t="n">
        <x:v>0.136986301369863</x:v>
      </x:c>
      <x:c r="K93" s="24" t="n">
        <x:v>1</x:v>
      </x:c>
      <x:c r="L93" s="24" t="n">
        <x:v>1</x:v>
      </x:c>
      <x:c r="M93" s="24" t="n">
        <x:v>1</x:v>
      </x:c>
      <x:c r="N93" s="24" t="n">
        <x:v>0</x:v>
      </x:c>
      <x:c r="O93" s="24" t="n">
        <x:v>3.5</x:v>
      </x:c>
      <x:c r="P93" s="24" t="n">
        <x:f>IFERROR(O93*J93*K93*L93*M93*(1+N93),0)</x:f>
        <x:v>0.4794520547945205</x:v>
      </x:c>
      <x:c r="Q93" s="18" t="str">
        <x:v>disabled</x:v>
      </x:c>
      <x:c r="R93" s="18" t="str">
        <x:v>SRC-CH-02</x:v>
      </x:c>
      <x:c r="S93" s="19" t="str">
        <x:v>原始业务ID=COST-PAIPU-R40-480-REQ; 来源定位=渠道成本!74</x:v>
      </x:c>
    </x:row>
    <x:row r="94">
      <x:c r="A94" s="20" t="str">
        <x:v>COST-V2/MAP-PAIPU-R41-720</x:v>
      </x:c>
      <x:c r="B94" s="18" t="str">
        <x:v>channel-paipu</x:v>
      </x:c>
      <x:c r="C94" s="18" t="str">
        <x:v>lec-seedance-videos-face-standard</x:v>
      </x:c>
      <x:c r="D94" s="18" t="str">
        <x:v>SKU-SD20-STD-720</x:v>
      </x:c>
      <x:c r="E94" s="18" t="str">
        <x:v>no_video</x:v>
      </x:c>
      <x:c r="F94" s="18" t="str">
        <x:v>per_request</x:v>
      </x:c>
      <x:c r="G94" s="18" t="str">
        <x:v>720p</x:v>
      </x:c>
      <x:c r="H94" s="18" t="str">
        <x:v>ROUTE-MAP-PAIPU-R41-720</x:v>
      </x:c>
      <x:c r="I94" s="18" t="str">
        <x:v>CNY</x:v>
      </x:c>
      <x:c r="J94" s="24" t="n">
        <x:v>0.136986301369863</x:v>
      </x:c>
      <x:c r="K94" s="24" t="n">
        <x:v>1</x:v>
      </x:c>
      <x:c r="L94" s="24" t="n">
        <x:v>1</x:v>
      </x:c>
      <x:c r="M94" s="24" t="n">
        <x:v>1</x:v>
      </x:c>
      <x:c r="N94" s="24" t="n">
        <x:v>0</x:v>
      </x:c>
      <x:c r="O94" s="24" t="n">
        <x:v>4.5</x:v>
      </x:c>
      <x:c r="P94" s="24" t="n">
        <x:f>IFERROR(O94*J94*K94*L94*M94*(1+N94),0)</x:f>
        <x:v>0.6164383561643836</x:v>
      </x:c>
      <x:c r="Q94" s="18" t="str">
        <x:v>disabled</x:v>
      </x:c>
      <x:c r="R94" s="18" t="str">
        <x:v>SRC-CH-02</x:v>
      </x:c>
      <x:c r="S94" s="19" t="str">
        <x:v>原始业务ID=COST-PAIPU-R41-720-REQ; 来源定位=渠道成本!76</x:v>
      </x:c>
    </x:row>
    <x:row r="95">
      <x:c r="A95" s="20" t="str">
        <x:v>COST-V2/MAP-PAIPU-R42-1080</x:v>
      </x:c>
      <x:c r="B95" s="18" t="str">
        <x:v>channel-paipu</x:v>
      </x:c>
      <x:c r="C95" s="18" t="str">
        <x:v>lec-seedance-videos-face-standard</x:v>
      </x:c>
      <x:c r="D95" s="18" t="str">
        <x:v>SKU-SD20-STD-1080</x:v>
      </x:c>
      <x:c r="E95" s="18" t="str">
        <x:v>no_video</x:v>
      </x:c>
      <x:c r="F95" s="18" t="str">
        <x:v>per_duration</x:v>
      </x:c>
      <x:c r="G95" s="18" t="str">
        <x:v>1080p</x:v>
      </x:c>
      <x:c r="H95" s="18" t="str">
        <x:v>ROUTE-MAP-PAIPU-R42-1080</x:v>
      </x:c>
      <x:c r="I95" s="18" t="str">
        <x:v>CNY</x:v>
      </x:c>
      <x:c r="J95" s="24" t="n">
        <x:v>0.136986301369863</x:v>
      </x:c>
      <x:c r="K95" s="24" t="n">
        <x:v>1</x:v>
      </x:c>
      <x:c r="L95" s="24" t="n">
        <x:v>1</x:v>
      </x:c>
      <x:c r="M95" s="24" t="n">
        <x:v>1</x:v>
      </x:c>
      <x:c r="N95" s="24" t="n">
        <x:v>0</x:v>
      </x:c>
      <x:c r="O95" s="24" t="n">
        <x:v>0.52</x:v>
      </x:c>
      <x:c r="P95" s="24" t="n">
        <x:f>IFERROR(O95*J95*K95*L95*M95*(1+N95),0)</x:f>
        <x:v>0.07123287671232877</x:v>
      </x:c>
      <x:c r="Q95" s="18" t="str">
        <x:v>disabled</x:v>
      </x:c>
      <x:c r="R95" s="18" t="str">
        <x:v>SRC-CH-02</x:v>
      </x:c>
      <x:c r="S95" s="19" t="str">
        <x:v>原始业务ID=COST-PAIPU-R42-1080-SEC; 来源定位=渠道成本!78</x:v>
      </x:c>
    </x:row>
    <x:row r="96">
      <x:c r="A96" s="20" t="str">
        <x:v>COST-V2/MAP-PAIPU-R43-480</x:v>
      </x:c>
      <x:c r="B96" s="18" t="str">
        <x:v>channel-paipu</x:v>
      </x:c>
      <x:c r="C96" s="18" t="str">
        <x:v>lec-seedance-videos-face-fast</x:v>
      </x:c>
      <x:c r="D96" s="18" t="str">
        <x:v>SKU-SD20-FAST-480</x:v>
      </x:c>
      <x:c r="E96" s="18" t="str">
        <x:v>no_video</x:v>
      </x:c>
      <x:c r="F96" s="18" t="str">
        <x:v>per_request</x:v>
      </x:c>
      <x:c r="G96" s="18" t="str">
        <x:v>480p</x:v>
      </x:c>
      <x:c r="H96" s="18" t="str">
        <x:v>ROUTE-MAP-PAIPU-R43-480</x:v>
      </x:c>
      <x:c r="I96" s="18" t="str">
        <x:v>CNY</x:v>
      </x:c>
      <x:c r="J96" s="24" t="n">
        <x:v>0.136986301369863</x:v>
      </x:c>
      <x:c r="K96" s="24" t="n">
        <x:v>1</x:v>
      </x:c>
      <x:c r="L96" s="24" t="n">
        <x:v>1</x:v>
      </x:c>
      <x:c r="M96" s="24" t="n">
        <x:v>1</x:v>
      </x:c>
      <x:c r="N96" s="24" t="n">
        <x:v>0</x:v>
      </x:c>
      <x:c r="O96" s="24" t="n">
        <x:v>2.3</x:v>
      </x:c>
      <x:c r="P96" s="24" t="n">
        <x:f>IFERROR(O96*J96*K96*L96*M96*(1+N96),0)</x:f>
        <x:v>0.3150684931506849</x:v>
      </x:c>
      <x:c r="Q96" s="18" t="str">
        <x:v>disabled</x:v>
      </x:c>
      <x:c r="R96" s="18" t="str">
        <x:v>SRC-CH-02</x:v>
      </x:c>
      <x:c r="S96" s="19" t="str">
        <x:v>原始业务ID=COST-PAIPU-R43-480-REQ; 来源定位=渠道成本!80</x:v>
      </x:c>
    </x:row>
    <x:row r="97">
      <x:c r="A97" s="20" t="str">
        <x:v>COST-V2/MAP-PAIPU-R44-720</x:v>
      </x:c>
      <x:c r="B97" s="18" t="str">
        <x:v>channel-paipu</x:v>
      </x:c>
      <x:c r="C97" s="18" t="str">
        <x:v>lec-seedance-videos-face-fast</x:v>
      </x:c>
      <x:c r="D97" s="18" t="str">
        <x:v>SKU-SD20-FAST-720</x:v>
      </x:c>
      <x:c r="E97" s="18" t="str">
        <x:v>no_video</x:v>
      </x:c>
      <x:c r="F97" s="18" t="str">
        <x:v>per_request</x:v>
      </x:c>
      <x:c r="G97" s="18" t="str">
        <x:v>720p</x:v>
      </x:c>
      <x:c r="H97" s="18" t="str">
        <x:v>ROUTE-MAP-PAIPU-R44-720</x:v>
      </x:c>
      <x:c r="I97" s="18" t="str">
        <x:v>CNY</x:v>
      </x:c>
      <x:c r="J97" s="24" t="n">
        <x:v>0.136986301369863</x:v>
      </x:c>
      <x:c r="K97" s="24" t="n">
        <x:v>1</x:v>
      </x:c>
      <x:c r="L97" s="24" t="n">
        <x:v>1</x:v>
      </x:c>
      <x:c r="M97" s="24" t="n">
        <x:v>1</x:v>
      </x:c>
      <x:c r="N97" s="24" t="n">
        <x:v>0</x:v>
      </x:c>
      <x:c r="O97" s="24" t="n">
        <x:v>3.3</x:v>
      </x:c>
      <x:c r="P97" s="24" t="n">
        <x:f>IFERROR(O97*J97*K97*L97*M97*(1+N97),0)</x:f>
        <x:v>0.4520547945205479</x:v>
      </x:c>
      <x:c r="Q97" s="18" t="str">
        <x:v>disabled</x:v>
      </x:c>
      <x:c r="R97" s="18" t="str">
        <x:v>SRC-CH-02</x:v>
      </x:c>
      <x:c r="S97" s="19" t="str">
        <x:v>原始业务ID=COST-PAIPU-R44-720-REQ; 来源定位=渠道成本!82</x:v>
      </x:c>
    </x:row>
    <x:row r="98">
      <x:c r="A98" s="20" t="str">
        <x:v>COST-V2/MAP-PAIPU-R45-720</x:v>
      </x:c>
      <x:c r="B98" s="18" t="str">
        <x:v>channel-paipu</x:v>
      </x:c>
      <x:c r="C98" s="18" t="str">
        <x:v>lec-fd-seedance-2-0-933-720p</x:v>
      </x:c>
      <x:c r="D98" s="18" t="str">
        <x:v>SKU-SD20-STD-720</x:v>
      </x:c>
      <x:c r="E98" s="18" t="str">
        <x:v>no_video</x:v>
      </x:c>
      <x:c r="F98" s="18" t="str">
        <x:v>per_request</x:v>
      </x:c>
      <x:c r="G98" s="18" t="str">
        <x:v>720p</x:v>
      </x:c>
      <x:c r="H98" s="18" t="str">
        <x:v>ROUTE-MAP-PAIPU-R45-720</x:v>
      </x:c>
      <x:c r="I98" s="18" t="str">
        <x:v>CNY</x:v>
      </x:c>
      <x:c r="J98" s="24" t="n">
        <x:v>0.136986301369863</x:v>
      </x:c>
      <x:c r="K98" s="24" t="n">
        <x:v>1</x:v>
      </x:c>
      <x:c r="L98" s="24" t="n">
        <x:v>1</x:v>
      </x:c>
      <x:c r="M98" s="24" t="n">
        <x:v>1</x:v>
      </x:c>
      <x:c r="N98" s="24" t="n">
        <x:v>0</x:v>
      </x:c>
      <x:c r="O98" s="24" t="n">
        <x:v>4</x:v>
      </x:c>
      <x:c r="P98" s="24" t="n">
        <x:f>IFERROR(O98*J98*K98*L98*M98*(1+N98),0)</x:f>
        <x:v>0.547945205479452</x:v>
      </x:c>
      <x:c r="Q98" s="18" t="str">
        <x:v>disabled</x:v>
      </x:c>
      <x:c r="R98" s="18" t="str">
        <x:v>SRC-CH-02</x:v>
      </x:c>
      <x:c r="S98" s="19" t="str">
        <x:v>原始业务ID=COST-PAIPU-R45-720-REQ; 来源定位=渠道成本!84</x:v>
      </x:c>
    </x:row>
    <x:row r="99">
      <x:c r="A99" s="20" t="str">
        <x:v>COST-V2/MAP-SECURE-R66-720</x:v>
      </x:c>
      <x:c r="B99" s="18" t="str">
        <x:v>secure-enterprise</x:v>
      </x:c>
      <x:c r="C99" s="18" t="str">
        <x:v>video-2.0-pro</x:v>
      </x:c>
      <x:c r="D99" s="18" t="str">
        <x:v>SKU-SD20-STD-720</x:v>
      </x:c>
      <x:c r="E99" s="18" t="str">
        <x:v>no_video</x:v>
      </x:c>
      <x:c r="F99" s="18" t="str">
        <x:v>per_duration</x:v>
      </x:c>
      <x:c r="G99" s="18" t="str">
        <x:v>720p</x:v>
      </x:c>
      <x:c r="H99" s="18" t="str">
        <x:v>ROUTE-MAP-SECURE-R66-720</x:v>
      </x:c>
      <x:c r="I99" s="18" t="str">
        <x:v>CNY</x:v>
      </x:c>
      <x:c r="J99" s="24" t="n">
        <x:v>0.136986301369863</x:v>
      </x:c>
      <x:c r="K99" s="24" t="n">
        <x:v>1</x:v>
      </x:c>
      <x:c r="L99" s="24" t="n">
        <x:v>1</x:v>
      </x:c>
      <x:c r="M99" s="24" t="n">
        <x:v>1</x:v>
      </x:c>
      <x:c r="N99" s="24" t="n">
        <x:v>0.03</x:v>
      </x:c>
      <x:c r="O99" s="24" t="n">
        <x:v>0.65</x:v>
      </x:c>
      <x:c r="P99" s="24" t="n">
        <x:f>IFERROR(O99*J99*K99*L99*M99*(1+N99),0)</x:f>
        <x:v>0.09171232876712329</x:v>
      </x:c>
      <x:c r="Q99" s="18" t="str">
        <x:v>disabled</x:v>
      </x:c>
      <x:c r="R99" s="18" t="str">
        <x:v>SRC-CH-05</x:v>
      </x:c>
      <x:c r="S99" s="19" t="str">
        <x:v>原始业务ID=COST-SECURE-R66-720-SEC; 来源定位=渠道成本!122</x:v>
      </x:c>
    </x:row>
    <x:row r="100">
      <x:c r="A100" s="20" t="str">
        <x:v>COST-V2/MAP-SECURE-R67-720</x:v>
      </x:c>
      <x:c r="B100" s="18" t="str">
        <x:v>secure-discount</x:v>
      </x:c>
      <x:c r="C100" s="18" t="str">
        <x:v>video-2.0-pro</x:v>
      </x:c>
      <x:c r="D100" s="18" t="str">
        <x:v>SKU-SD20-STD-720</x:v>
      </x:c>
      <x:c r="E100" s="18" t="str">
        <x:v>no_video</x:v>
      </x:c>
      <x:c r="F100" s="18" t="str">
        <x:v>per_request</x:v>
      </x:c>
      <x:c r="G100" s="18" t="str">
        <x:v>720p</x:v>
      </x:c>
      <x:c r="H100" s="18" t="str">
        <x:v>ROUTE-MAP-SECURE-R67-720</x:v>
      </x:c>
      <x:c r="I100" s="18" t="str">
        <x:v>CNY</x:v>
      </x:c>
      <x:c r="J100" s="24" t="n">
        <x:v>0.136986301369863</x:v>
      </x:c>
      <x:c r="K100" s="24" t="n">
        <x:v>1</x:v>
      </x:c>
      <x:c r="L100" s="24" t="n">
        <x:v>1</x:v>
      </x:c>
      <x:c r="M100" s="24" t="n">
        <x:v>1</x:v>
      </x:c>
      <x:c r="N100" s="24" t="n">
        <x:v>0.03</x:v>
      </x:c>
      <x:c r="O100" s="24" t="n">
        <x:v>6.8</x:v>
      </x:c>
      <x:c r="P100" s="24" t="n">
        <x:f>IFERROR(O100*J100*K100*L100*M100*(1+N100),0)</x:f>
        <x:v>0.9594520547945206</x:v>
      </x:c>
      <x:c r="Q100" s="18" t="str">
        <x:v>disabled</x:v>
      </x:c>
      <x:c r="R100" s="18" t="str">
        <x:v>SRC-CH-05</x:v>
      </x:c>
      <x:c r="S100" s="19" t="str">
        <x:v>原始业务ID=COST-SECURE-R67-720-REQ; 来源定位=渠道成本!123</x:v>
      </x:c>
    </x:row>
    <x:row r="101">
      <x:c r="A101" s="20" t="str">
        <x:v>COST-V2/MAP-SECURE-R68-1080</x:v>
      </x:c>
      <x:c r="B101" s="18" t="str">
        <x:v>secure-discount</x:v>
      </x:c>
      <x:c r="C101" s="18" t="str">
        <x:v>video-2.0-pro</x:v>
      </x:c>
      <x:c r="D101" s="18" t="str">
        <x:v>SKU-SD20-STD-1080</x:v>
      </x:c>
      <x:c r="E101" s="18" t="str">
        <x:v>no_video</x:v>
      </x:c>
      <x:c r="F101" s="18" t="str">
        <x:v>per_request</x:v>
      </x:c>
      <x:c r="G101" s="18" t="str">
        <x:v>1080p</x:v>
      </x:c>
      <x:c r="H101" s="18" t="str">
        <x:v>ROUTE-MAP-SECURE-R68-1080</x:v>
      </x:c>
      <x:c r="I101" s="18" t="str">
        <x:v>CNY</x:v>
      </x:c>
      <x:c r="J101" s="24" t="n">
        <x:v>0.136986301369863</x:v>
      </x:c>
      <x:c r="K101" s="24" t="n">
        <x:v>1</x:v>
      </x:c>
      <x:c r="L101" s="24" t="n">
        <x:v>1</x:v>
      </x:c>
      <x:c r="M101" s="24" t="n">
        <x:v>1</x:v>
      </x:c>
      <x:c r="N101" s="24" t="n">
        <x:v>0.03</x:v>
      </x:c>
      <x:c r="O101" s="24" t="n">
        <x:v>13.6</x:v>
      </x:c>
      <x:c r="P101" s="24" t="n">
        <x:f>IFERROR(O101*J101*K101*L101*M101*(1+N101),0)</x:f>
        <x:v>1.9189041095890411</x:v>
      </x:c>
      <x:c r="Q101" s="18" t="str">
        <x:v>disabled</x:v>
      </x:c>
      <x:c r="R101" s="18" t="str">
        <x:v>SRC-CH-05</x:v>
      </x:c>
      <x:c r="S101" s="19" t="str">
        <x:v>原始业务ID=COST-SECURE-R68-1080-REQ; 来源定位=渠道成本!124</x:v>
      </x:c>
    </x:row>
    <x:row r="102">
      <x:c r="A102" s="20" t="str">
        <x:v>COST-V2/MAP-SECURE-R69-4K</x:v>
      </x:c>
      <x:c r="B102" s="18" t="str">
        <x:v>secure-discount</x:v>
      </x:c>
      <x:c r="C102" s="18" t="str">
        <x:v>video-2.0-pro</x:v>
      </x:c>
      <x:c r="D102" s="18" t="str">
        <x:v>SKU-SD20-STD-4K</x:v>
      </x:c>
      <x:c r="E102" s="18" t="str">
        <x:v>no_video</x:v>
      </x:c>
      <x:c r="F102" s="18" t="str">
        <x:v>per_request</x:v>
      </x:c>
      <x:c r="G102" s="18" t="str">
        <x:v>4k</x:v>
      </x:c>
      <x:c r="H102" s="18" t="str">
        <x:v>ROUTE-MAP-SECURE-R69-4K</x:v>
      </x:c>
      <x:c r="I102" s="18" t="str">
        <x:v>CNY</x:v>
      </x:c>
      <x:c r="J102" s="24" t="n">
        <x:v>0.136986301369863</x:v>
      </x:c>
      <x:c r="K102" s="24" t="n">
        <x:v>1</x:v>
      </x:c>
      <x:c r="L102" s="24" t="n">
        <x:v>1</x:v>
      </x:c>
      <x:c r="M102" s="24" t="n">
        <x:v>1</x:v>
      </x:c>
      <x:c r="N102" s="24" t="n">
        <x:v>0.03</x:v>
      </x:c>
      <x:c r="O102" s="24" t="n">
        <x:v>27.2</x:v>
      </x:c>
      <x:c r="P102" s="24" t="n">
        <x:f>IFERROR(O102*J102*K102*L102*M102*(1+N102),0)</x:f>
        <x:v>3.8378082191780822</x:v>
      </x:c>
      <x:c r="Q102" s="18" t="str">
        <x:v>disabled</x:v>
      </x:c>
      <x:c r="R102" s="18" t="str">
        <x:v>SRC-CH-05</x:v>
      </x:c>
      <x:c r="S102" s="19" t="str">
        <x:v>原始业务ID=COST-SECURE-R69-4K-REQ; 来源定位=渠道成本!125</x:v>
      </x:c>
    </x:row>
    <x:row r="103">
      <x:c r="A103" s="20" t="str">
        <x:v>COST-V2/MAP-SECURE-R70-720</x:v>
      </x:c>
      <x:c r="B103" s="18" t="str">
        <x:v>secure-discount</x:v>
      </x:c>
      <x:c r="C103" s="18" t="str">
        <x:v>video-2.0-fast</x:v>
      </x:c>
      <x:c r="D103" s="18" t="str">
        <x:v>SKU-SD20-FAST-720</x:v>
      </x:c>
      <x:c r="E103" s="18" t="str">
        <x:v>no_video</x:v>
      </x:c>
      <x:c r="F103" s="18" t="str">
        <x:v>per_request</x:v>
      </x:c>
      <x:c r="G103" s="18" t="str">
        <x:v>720p</x:v>
      </x:c>
      <x:c r="H103" s="18" t="str">
        <x:v>ROUTE-MAP-SECURE-R70-720</x:v>
      </x:c>
      <x:c r="I103" s="18" t="str">
        <x:v>CNY</x:v>
      </x:c>
      <x:c r="J103" s="24" t="n">
        <x:v>0.136986301369863</x:v>
      </x:c>
      <x:c r="K103" s="24" t="n">
        <x:v>1</x:v>
      </x:c>
      <x:c r="L103" s="24" t="n">
        <x:v>1</x:v>
      </x:c>
      <x:c r="M103" s="24" t="n">
        <x:v>1</x:v>
      </x:c>
      <x:c r="N103" s="24" t="n">
        <x:v>0.03</x:v>
      </x:c>
      <x:c r="O103" s="24" t="n">
        <x:v>5.8</x:v>
      </x:c>
      <x:c r="P103" s="24" t="n">
        <x:f>IFERROR(O103*J103*K103*L103*M103*(1+N103),0)</x:f>
        <x:v>0.8183561643835616</x:v>
      </x:c>
      <x:c r="Q103" s="18" t="str">
        <x:v>disabled</x:v>
      </x:c>
      <x:c r="R103" s="18" t="str">
        <x:v>SRC-CH-05</x:v>
      </x:c>
      <x:c r="S103" s="19" t="str">
        <x:v>原始业务ID=COST-SECURE-R70-720-REQ; 来源定位=渠道成本!126</x:v>
      </x:c>
    </x:row>
    <x:row r="104">
      <x:c r="A104" s="20" t="str">
        <x:v>COST-V2/MAP-SECURE-R71-720</x:v>
      </x:c>
      <x:c r="B104" s="18" t="str">
        <x:v>secure-discount</x:v>
      </x:c>
      <x:c r="C104" s="18" t="str">
        <x:v>video-2.0-mini</x:v>
      </x:c>
      <x:c r="D104" s="18" t="str">
        <x:v>SKU-SD20-MINI-720</x:v>
      </x:c>
      <x:c r="E104" s="18" t="str">
        <x:v>no_video</x:v>
      </x:c>
      <x:c r="F104" s="18" t="str">
        <x:v>per_request</x:v>
      </x:c>
      <x:c r="G104" s="18" t="str">
        <x:v>720p</x:v>
      </x:c>
      <x:c r="H104" s="18" t="str">
        <x:v>ROUTE-MAP-SECURE-R71-720</x:v>
      </x:c>
      <x:c r="I104" s="18" t="str">
        <x:v>CNY</x:v>
      </x:c>
      <x:c r="J104" s="24" t="n">
        <x:v>0.136986301369863</x:v>
      </x:c>
      <x:c r="K104" s="24" t="n">
        <x:v>1</x:v>
      </x:c>
      <x:c r="L104" s="24" t="n">
        <x:v>1</x:v>
      </x:c>
      <x:c r="M104" s="24" t="n">
        <x:v>1</x:v>
      </x:c>
      <x:c r="N104" s="24" t="n">
        <x:v>0.03</x:v>
      </x:c>
      <x:c r="O104" s="24" t="n">
        <x:v>4.9</x:v>
      </x:c>
      <x:c r="P104" s="24" t="n">
        <x:f>IFERROR(O104*J104*K104*L104*M104*(1+N104),0)</x:f>
        <x:v>0.6913698630136986</x:v>
      </x:c>
      <x:c r="Q104" s="18" t="str">
        <x:v>disabled</x:v>
      </x:c>
      <x:c r="R104" s="18" t="str">
        <x:v>SRC-CH-05</x:v>
      </x:c>
      <x:c r="S104" s="19" t="str">
        <x:v>原始业务ID=COST-SECURE-R71-720-REQ; 来源定位=渠道成本!128</x:v>
      </x:c>
    </x:row>
    <x:row r="105">
      <x:c r="A105" s="20" t="str">
        <x:v>COST-V2/MAP-SECURE-R72-720</x:v>
      </x:c>
      <x:c r="B105" s="18" t="str">
        <x:v>secure-overseas</x:v>
      </x:c>
      <x:c r="C105" s="18" t="str">
        <x:v>video-2.0-pro</x:v>
      </x:c>
      <x:c r="D105" s="18" t="str">
        <x:v>SKU-SD20-STD-720</x:v>
      </x:c>
      <x:c r="E105" s="18" t="str">
        <x:v>no_video</x:v>
      </x:c>
      <x:c r="F105" s="18" t="str">
        <x:v>per_duration</x:v>
      </x:c>
      <x:c r="G105" s="18" t="str">
        <x:v>720p</x:v>
      </x:c>
      <x:c r="H105" s="18" t="str">
        <x:v>ROUTE-MAP-SECURE-R72-720</x:v>
      </x:c>
      <x:c r="I105" s="18" t="str">
        <x:v>CNY</x:v>
      </x:c>
      <x:c r="J105" s="24" t="n">
        <x:v>0.136986301369863</x:v>
      </x:c>
      <x:c r="K105" s="24" t="n">
        <x:v>1</x:v>
      </x:c>
      <x:c r="L105" s="24" t="n">
        <x:v>1</x:v>
      </x:c>
      <x:c r="M105" s="24" t="n">
        <x:v>1</x:v>
      </x:c>
      <x:c r="N105" s="24" t="n">
        <x:v>0.03</x:v>
      </x:c>
      <x:c r="O105" s="24" t="n">
        <x:v>0.7</x:v>
      </x:c>
      <x:c r="P105" s="24" t="n">
        <x:f>IFERROR(O105*J105*K105*L105*M105*(1+N105),0)</x:f>
        <x:v>0.09876712328767123</x:v>
      </x:c>
      <x:c r="Q105" s="18" t="str">
        <x:v>disabled</x:v>
      </x:c>
      <x:c r="R105" s="18" t="str">
        <x:v>SRC-CH-05</x:v>
      </x:c>
      <x:c r="S105" s="19" t="str">
        <x:v>原始业务ID=COST-SECURE-R72-720-SEC; 来源定位=渠道成本!130</x:v>
      </x:c>
    </x:row>
    <x:row r="106">
      <x:c r="A106" s="20" t="str">
        <x:v>COST-V2/MAP-SECURE-R73-1080</x:v>
      </x:c>
      <x:c r="B106" s="18" t="str">
        <x:v>secure-overseas</x:v>
      </x:c>
      <x:c r="C106" s="18" t="str">
        <x:v>video-2.0-pro</x:v>
      </x:c>
      <x:c r="D106" s="18" t="str">
        <x:v>SKU-SD20-STD-1080</x:v>
      </x:c>
      <x:c r="E106" s="18" t="str">
        <x:v>no_video</x:v>
      </x:c>
      <x:c r="F106" s="18" t="str">
        <x:v>per_duration</x:v>
      </x:c>
      <x:c r="G106" s="18" t="str">
        <x:v>1080p</x:v>
      </x:c>
      <x:c r="H106" s="18" t="str">
        <x:v>ROUTE-MAP-SECURE-R73-1080</x:v>
      </x:c>
      <x:c r="I106" s="18" t="str">
        <x:v>CNY</x:v>
      </x:c>
      <x:c r="J106" s="24" t="n">
        <x:v>0.136986301369863</x:v>
      </x:c>
      <x:c r="K106" s="24" t="n">
        <x:v>1</x:v>
      </x:c>
      <x:c r="L106" s="24" t="n">
        <x:v>1</x:v>
      </x:c>
      <x:c r="M106" s="24" t="n">
        <x:v>1</x:v>
      </x:c>
      <x:c r="N106" s="24" t="n">
        <x:v>0.03</x:v>
      </x:c>
      <x:c r="O106" s="24" t="n">
        <x:v>1.75</x:v>
      </x:c>
      <x:c r="P106" s="24" t="n">
        <x:f>IFERROR(O106*J106*K106*L106*M106*(1+N106),0)</x:f>
        <x:v>0.24691780821917808</x:v>
      </x:c>
      <x:c r="Q106" s="18" t="str">
        <x:v>disabled</x:v>
      </x:c>
      <x:c r="R106" s="18" t="str">
        <x:v>SRC-CH-05</x:v>
      </x:c>
      <x:c r="S106" s="19" t="str">
        <x:v>原始业务ID=COST-SECURE-R73-1080-SEC; 来源定位=渠道成本!131</x:v>
      </x:c>
    </x:row>
    <x:row r="107">
      <x:c r="A107" s="20" t="str">
        <x:v>COST-V2/MAP-SECURE-R74-720</x:v>
      </x:c>
      <x:c r="B107" s="18" t="str">
        <x:v>secure-overseas</x:v>
      </x:c>
      <x:c r="C107" s="18" t="str">
        <x:v>video-2.0-fast</x:v>
      </x:c>
      <x:c r="D107" s="18" t="str">
        <x:v>SKU-SD20-FAST-720</x:v>
      </x:c>
      <x:c r="E107" s="18" t="str">
        <x:v>no_video</x:v>
      </x:c>
      <x:c r="F107" s="18" t="str">
        <x:v>per_duration</x:v>
      </x:c>
      <x:c r="G107" s="18" t="str">
        <x:v>720p</x:v>
      </x:c>
      <x:c r="H107" s="18" t="str">
        <x:v>ROUTE-MAP-SECURE-R74-720</x:v>
      </x:c>
      <x:c r="I107" s="18" t="str">
        <x:v>CNY</x:v>
      </x:c>
      <x:c r="J107" s="24" t="n">
        <x:v>0.136986301369863</x:v>
      </x:c>
      <x:c r="K107" s="24" t="n">
        <x:v>1</x:v>
      </x:c>
      <x:c r="L107" s="24" t="n">
        <x:v>1</x:v>
      </x:c>
      <x:c r="M107" s="24" t="n">
        <x:v>1</x:v>
      </x:c>
      <x:c r="N107" s="24" t="n">
        <x:v>0.03</x:v>
      </x:c>
      <x:c r="O107" s="24" t="n">
        <x:v>0.56</x:v>
      </x:c>
      <x:c r="P107" s="24" t="n">
        <x:f>IFERROR(O107*J107*K107*L107*M107*(1+N107),0)</x:f>
        <x:v>0.07901369863013699</x:v>
      </x:c>
      <x:c r="Q107" s="18" t="str">
        <x:v>disabled</x:v>
      </x:c>
      <x:c r="R107" s="18" t="str">
        <x:v>SRC-CH-05</x:v>
      </x:c>
      <x:c r="S107" s="19" t="str">
        <x:v>原始业务ID=COST-SECURE-R74-720-SEC; 来源定位=渠道成本!132</x:v>
      </x:c>
    </x:row>
    <x:row r="108">
      <x:c r="A108" s="20" t="str">
        <x:v>COST-V2/MAP-SECURE-R75-720</x:v>
      </x:c>
      <x:c r="B108" s="18" t="str">
        <x:v>secure-overseas</x:v>
      </x:c>
      <x:c r="C108" s="18" t="str">
        <x:v>video-2.0-mini</x:v>
      </x:c>
      <x:c r="D108" s="18" t="str">
        <x:v>SKU-SD20-MINI-720</x:v>
      </x:c>
      <x:c r="E108" s="18" t="str">
        <x:v>no_video</x:v>
      </x:c>
      <x:c r="F108" s="18" t="str">
        <x:v>per_duration</x:v>
      </x:c>
      <x:c r="G108" s="18" t="str">
        <x:v>720p</x:v>
      </x:c>
      <x:c r="H108" s="18" t="str">
        <x:v>ROUTE-MAP-SECURE-R75-720</x:v>
      </x:c>
      <x:c r="I108" s="18" t="str">
        <x:v>CNY</x:v>
      </x:c>
      <x:c r="J108" s="24" t="n">
        <x:v>0.136986301369863</x:v>
      </x:c>
      <x:c r="K108" s="24" t="n">
        <x:v>1</x:v>
      </x:c>
      <x:c r="L108" s="24" t="n">
        <x:v>1</x:v>
      </x:c>
      <x:c r="M108" s="24" t="n">
        <x:v>1</x:v>
      </x:c>
      <x:c r="N108" s="24" t="n">
        <x:v>0.03</x:v>
      </x:c>
      <x:c r="O108" s="24" t="n">
        <x:v>0.48</x:v>
      </x:c>
      <x:c r="P108" s="24" t="n">
        <x:f>IFERROR(O108*J108*K108*L108*M108*(1+N108),0)</x:f>
        <x:v>0.06772602739726027</x:v>
      </x:c>
      <x:c r="Q108" s="18" t="str">
        <x:v>disabled</x:v>
      </x:c>
      <x:c r="R108" s="18" t="str">
        <x:v>SRC-CH-05</x:v>
      </x:c>
      <x:c r="S108" s="19" t="str">
        <x:v>原始业务ID=COST-SECURE-R75-720-SEC; 来源定位=渠道成本!134</x:v>
      </x:c>
    </x:row>
  </x:sheetData>
  <x:mergeCells>
    <x:mergeCell ref="A1:S1"/>
  </x:mergeCells>
  <x:dataValidations count="2">
    <x:dataValidation type="list" sqref="F5:F108">
      <x:formula1>"free,per_request,per_duration,per_token"</x:formula1>
    </x:dataValidation>
    <x:dataValidation type="list" sqref="Q5:Q108">
      <x:formula1>"disabled"</x:formula1>
    </x:dataValidation>
  </x:dataValidations>
  <x:pageMargins left="0.7" right="0.7" top="0.75" bottom="0.75" header="0.3" footer="0.3"/>
  <x:legacyDrawing xmlns:r="http://schemas.openxmlformats.org/officeDocument/2006/relationships" r:id="R0000000000000026"/>
  <x:tableParts count="1">
    <x:tablePart xmlns:r="http://schemas.openxmlformats.org/officeDocument/2006/relationships" r:id="R00000000000000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6" hidden="0" customWidth="1"/>
    <x:col min="5" max="5" width="26" hidden="0" customWidth="1"/>
    <x:col min="6" max="6" width="26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5" customHeight="1">
      <x:c r="A1" s="3" t="str">
        <x:v>渠道模型成本与利润配置模板 v2 - 路由目标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36" customHeight="1">
      <x:c r="A4" s="14" t="str">
        <x:v>route_target_ref</x:v>
      </x:c>
      <x:c r="B4" s="15" t="str">
        <x:v>canonical_model</x:v>
      </x:c>
      <x:c r="C4" s="15" t="str">
        <x:v>client_model</x:v>
      </x:c>
      <x:c r="D4" s="15" t="str">
        <x:v>merge_mode</x:v>
      </x:c>
      <x:c r="E4" s="15" t="str">
        <x:v>line_ref</x:v>
      </x:c>
      <x:c r="F4" s="15" t="str">
        <x:v>upstream_model</x:v>
      </x:c>
      <x:c r="G4" s="15" t="str">
        <x:v>sku_ref</x:v>
      </x:c>
      <x:c r="H4" s="15" t="str">
        <x:v>cost_variant_key</x:v>
      </x:c>
      <x:c r="I4" s="15" t="str">
        <x:v>output_resolutions</x:v>
      </x:c>
      <x:c r="J4" s="15" t="str">
        <x:v>duration_min</x:v>
      </x:c>
      <x:c r="K4" s="15" t="str">
        <x:v>duration_max</x:v>
      </x:c>
      <x:c r="L4" s="15" t="str">
        <x:v>supports_real_person</x:v>
      </x:c>
      <x:c r="M4" s="15" t="str">
        <x:v>priority</x:v>
      </x:c>
      <x:c r="N4" s="16" t="str">
        <x:v>enabled</x:v>
      </x:c>
    </x:row>
    <x:row r="5">
      <x:c r="A5" s="20" t="str">
        <x:v>ROUTE-MAP-4STOKEN-R116-480</x:v>
      </x:c>
      <x:c r="B5" s="18" t="str">
        <x:v>seedance-2.0-fast</x:v>
      </x:c>
      <x:c r="C5" s="18" t="str">
        <x:v>4sdance_fast431</x:v>
      </x:c>
      <x:c r="D5" s="18" t="str">
        <x:v>merge</x:v>
      </x:c>
      <x:c r="E5" s="18" t="str">
        <x:v>channel-4stoken</x:v>
      </x:c>
      <x:c r="F5" s="18" t="str">
        <x:v>4sdance_fast431</x:v>
      </x:c>
      <x:c r="G5" s="18" t="str">
        <x:v>SKU-SD20-FAST-480</x:v>
      </x:c>
      <x:c r="H5" s="18" t="str">
        <x:v>480p</x:v>
      </x:c>
      <x:c r="I5" s="18" t="str">
        <x:v>480p</x:v>
      </x:c>
      <x:c r="J5" s="18" t="n">
        <x:v>4</x:v>
      </x:c>
      <x:c r="K5" s="18" t="n">
        <x:v>15</x:v>
      </x:c>
      <x:c r="L5" s="18"/>
      <x:c r="M5" s="18" t="n">
        <x:v>100</x:v>
      </x:c>
      <x:c r="N5" s="23" t="b">
        <x:v>0</x:v>
      </x:c>
    </x:row>
    <x:row r="6">
      <x:c r="A6" s="20" t="str">
        <x:v>ROUTE-MAP-4STOKEN-R117-720</x:v>
      </x:c>
      <x:c r="B6" s="18" t="str">
        <x:v>seedance-2.0-fast</x:v>
      </x:c>
      <x:c r="C6" s="18" t="str">
        <x:v>4sdance_fast431</x:v>
      </x:c>
      <x:c r="D6" s="18" t="str">
        <x:v>merge</x:v>
      </x:c>
      <x:c r="E6" s="18" t="str">
        <x:v>channel-4stoken</x:v>
      </x:c>
      <x:c r="F6" s="18" t="str">
        <x:v>4sdance_fast431</x:v>
      </x:c>
      <x:c r="G6" s="18" t="str">
        <x:v>SKU-SD20-FAST-720</x:v>
      </x:c>
      <x:c r="H6" s="18" t="str">
        <x:v>720p</x:v>
      </x:c>
      <x:c r="I6" s="18" t="str">
        <x:v>720p</x:v>
      </x:c>
      <x:c r="J6" s="18" t="n">
        <x:v>4</x:v>
      </x:c>
      <x:c r="K6" s="18" t="n">
        <x:v>15</x:v>
      </x:c>
      <x:c r="L6" s="18"/>
      <x:c r="M6" s="18" t="n">
        <x:v>100</x:v>
      </x:c>
      <x:c r="N6" s="23" t="b">
        <x:v>0</x:v>
      </x:c>
    </x:row>
    <x:row r="7">
      <x:c r="A7" s="20" t="str">
        <x:v>ROUTE-MAP-4STOKEN-R118-1080</x:v>
      </x:c>
      <x:c r="B7" s="18" t="str">
        <x:v>seedance-2.0-fast</x:v>
      </x:c>
      <x:c r="C7" s="18" t="str">
        <x:v>4sdance_fast431</x:v>
      </x:c>
      <x:c r="D7" s="18" t="str">
        <x:v>merge</x:v>
      </x:c>
      <x:c r="E7" s="18" t="str">
        <x:v>channel-4stoken</x:v>
      </x:c>
      <x:c r="F7" s="18" t="str">
        <x:v>4sdance_fast431</x:v>
      </x:c>
      <x:c r="G7" s="18" t="str">
        <x:v>SKU-SD20-FAST-1080</x:v>
      </x:c>
      <x:c r="H7" s="18" t="str">
        <x:v>1080p</x:v>
      </x:c>
      <x:c r="I7" s="18" t="str">
        <x:v>1080p</x:v>
      </x:c>
      <x:c r="J7" s="18" t="n">
        <x:v>4</x:v>
      </x:c>
      <x:c r="K7" s="18" t="n">
        <x:v>15</x:v>
      </x:c>
      <x:c r="L7" s="18"/>
      <x:c r="M7" s="18" t="n">
        <x:v>100</x:v>
      </x:c>
      <x:c r="N7" s="23" t="b">
        <x:v>0</x:v>
      </x:c>
    </x:row>
    <x:row r="8">
      <x:c r="A8" s="20" t="str">
        <x:v>ROUTE-MAP-4STOKEN-R119-480</x:v>
      </x:c>
      <x:c r="B8" s="18" t="str">
        <x:v>seedance-2.0</x:v>
      </x:c>
      <x:c r="C8" s="18" t="str">
        <x:v>4sdance431</x:v>
      </x:c>
      <x:c r="D8" s="18" t="str">
        <x:v>merge</x:v>
      </x:c>
      <x:c r="E8" s="18" t="str">
        <x:v>channel-4stoken</x:v>
      </x:c>
      <x:c r="F8" s="18" t="str">
        <x:v>4sdance431</x:v>
      </x:c>
      <x:c r="G8" s="18" t="str">
        <x:v>SKU-SD20-STD-480</x:v>
      </x:c>
      <x:c r="H8" s="18" t="str">
        <x:v>480p</x:v>
      </x:c>
      <x:c r="I8" s="18" t="str">
        <x:v>480p</x:v>
      </x:c>
      <x:c r="J8" s="18" t="n">
        <x:v>4</x:v>
      </x:c>
      <x:c r="K8" s="18" t="n">
        <x:v>15</x:v>
      </x:c>
      <x:c r="L8" s="18"/>
      <x:c r="M8" s="18" t="n">
        <x:v>100</x:v>
      </x:c>
      <x:c r="N8" s="23" t="b">
        <x:v>0</x:v>
      </x:c>
    </x:row>
    <x:row r="9">
      <x:c r="A9" s="20" t="str">
        <x:v>ROUTE-MAP-4STOKEN-R120-720</x:v>
      </x:c>
      <x:c r="B9" s="18" t="str">
        <x:v>seedance-2.0</x:v>
      </x:c>
      <x:c r="C9" s="18" t="str">
        <x:v>4sdance431</x:v>
      </x:c>
      <x:c r="D9" s="18" t="str">
        <x:v>merge</x:v>
      </x:c>
      <x:c r="E9" s="18" t="str">
        <x:v>channel-4stoken</x:v>
      </x:c>
      <x:c r="F9" s="18" t="str">
        <x:v>4sdance431</x:v>
      </x:c>
      <x:c r="G9" s="18" t="str">
        <x:v>SKU-SD20-STD-720</x:v>
      </x:c>
      <x:c r="H9" s="18" t="str">
        <x:v>720p</x:v>
      </x:c>
      <x:c r="I9" s="18" t="str">
        <x:v>720p</x:v>
      </x:c>
      <x:c r="J9" s="18" t="n">
        <x:v>4</x:v>
      </x:c>
      <x:c r="K9" s="18" t="n">
        <x:v>15</x:v>
      </x:c>
      <x:c r="L9" s="18"/>
      <x:c r="M9" s="18" t="n">
        <x:v>100</x:v>
      </x:c>
      <x:c r="N9" s="23" t="b">
        <x:v>0</x:v>
      </x:c>
    </x:row>
    <x:row r="10">
      <x:c r="A10" s="20" t="str">
        <x:v>ROUTE-MAP-4STOKEN-R121-720</x:v>
      </x:c>
      <x:c r="B10" s="18" t="str">
        <x:v>seedance-2.0</x:v>
      </x:c>
      <x:c r="C10" s="18" t="str">
        <x:v>4sdance_v2.0_900</x:v>
      </x:c>
      <x:c r="D10" s="18" t="str">
        <x:v>merge</x:v>
      </x:c>
      <x:c r="E10" s="18" t="str">
        <x:v>channel-4stoken</x:v>
      </x:c>
      <x:c r="F10" s="18" t="str">
        <x:v>4sdance_v2.0_900</x:v>
      </x:c>
      <x:c r="G10" s="18" t="str">
        <x:v>SKU-SD20-STD-720</x:v>
      </x:c>
      <x:c r="H10" s="18" t="str">
        <x:v>720p</x:v>
      </x:c>
      <x:c r="I10" s="18" t="str">
        <x:v>720p</x:v>
      </x:c>
      <x:c r="J10" s="18" t="n">
        <x:v>4</x:v>
      </x:c>
      <x:c r="K10" s="18" t="n">
        <x:v>15</x:v>
      </x:c>
      <x:c r="L10" s="18"/>
      <x:c r="M10" s="18" t="n">
        <x:v>100</x:v>
      </x:c>
      <x:c r="N10" s="23" t="b">
        <x:v>0</x:v>
      </x:c>
    </x:row>
    <x:row r="11">
      <x:c r="A11" s="20" t="str">
        <x:v>ROUTE-MAP-4STOKEN-R122-720</x:v>
      </x:c>
      <x:c r="B11" s="18" t="str">
        <x:v>seedance-2.0-fast</x:v>
      </x:c>
      <x:c r="C11" s="18" t="str">
        <x:v>4sdance933_fast</x:v>
      </x:c>
      <x:c r="D11" s="18" t="str">
        <x:v>merge</x:v>
      </x:c>
      <x:c r="E11" s="18" t="str">
        <x:v>channel-4stoken</x:v>
      </x:c>
      <x:c r="F11" s="18" t="str">
        <x:v>4sdance933_fast</x:v>
      </x:c>
      <x:c r="G11" s="18" t="str">
        <x:v>SKU-SD20-FAST-720</x:v>
      </x:c>
      <x:c r="H11" s="18" t="str">
        <x:v>720p</x:v>
      </x:c>
      <x:c r="I11" s="18" t="str">
        <x:v>720p</x:v>
      </x:c>
      <x:c r="J11" s="18" t="n">
        <x:v>4</x:v>
      </x:c>
      <x:c r="K11" s="18" t="n">
        <x:v>15</x:v>
      </x:c>
      <x:c r="L11" s="18"/>
      <x:c r="M11" s="18" t="n">
        <x:v>100</x:v>
      </x:c>
      <x:c r="N11" s="23" t="b">
        <x:v>0</x:v>
      </x:c>
    </x:row>
    <x:row r="12">
      <x:c r="A12" s="20" t="str">
        <x:v>ROUTE-MAP-4STOKEN-R123-720</x:v>
      </x:c>
      <x:c r="B12" s="18" t="str">
        <x:v>seedance-2.0-fast</x:v>
      </x:c>
      <x:c r="C12" s="18" t="str">
        <x:v>4sdance_fast_933face</x:v>
      </x:c>
      <x:c r="D12" s="18" t="str">
        <x:v>merge</x:v>
      </x:c>
      <x:c r="E12" s="18" t="str">
        <x:v>channel-4stoken</x:v>
      </x:c>
      <x:c r="F12" s="18" t="str">
        <x:v>4sdance_fast_933face</x:v>
      </x:c>
      <x:c r="G12" s="18" t="str">
        <x:v>SKU-SD20-FAST-720</x:v>
      </x:c>
      <x:c r="H12" s="18" t="str">
        <x:v>720p</x:v>
      </x:c>
      <x:c r="I12" s="18" t="str">
        <x:v>720p</x:v>
      </x:c>
      <x:c r="J12" s="18" t="n">
        <x:v>4</x:v>
      </x:c>
      <x:c r="K12" s="18" t="n">
        <x:v>15</x:v>
      </x:c>
      <x:c r="L12" s="18"/>
      <x:c r="M12" s="18" t="n">
        <x:v>100</x:v>
      </x:c>
      <x:c r="N12" s="23" t="b">
        <x:v>0</x:v>
      </x:c>
    </x:row>
    <x:row r="13">
      <x:c r="A13" s="20" t="str">
        <x:v>ROUTE-MAP-4STOKEN-R124-720</x:v>
      </x:c>
      <x:c r="B13" s="18" t="str">
        <x:v>seedance-2.0</x:v>
      </x:c>
      <x:c r="C13" s="18" t="str">
        <x:v>4sdance933</x:v>
      </x:c>
      <x:c r="D13" s="18" t="str">
        <x:v>merge</x:v>
      </x:c>
      <x:c r="E13" s="18" t="str">
        <x:v>channel-4stoken</x:v>
      </x:c>
      <x:c r="F13" s="18" t="str">
        <x:v>4sdance933</x:v>
      </x:c>
      <x:c r="G13" s="18" t="str">
        <x:v>SKU-SD20-STD-720</x:v>
      </x:c>
      <x:c r="H13" s="18" t="str">
        <x:v>720p</x:v>
      </x:c>
      <x:c r="I13" s="18" t="str">
        <x:v>720p</x:v>
      </x:c>
      <x:c r="J13" s="18" t="n">
        <x:v>4</x:v>
      </x:c>
      <x:c r="K13" s="18" t="n">
        <x:v>15</x:v>
      </x:c>
      <x:c r="L13" s="18"/>
      <x:c r="M13" s="18" t="n">
        <x:v>100</x:v>
      </x:c>
      <x:c r="N13" s="23" t="b">
        <x:v>0</x:v>
      </x:c>
    </x:row>
    <x:row r="14">
      <x:c r="A14" s="20" t="str">
        <x:v>ROUTE-MAP-4STOKEN-R125-480</x:v>
      </x:c>
      <x:c r="B14" s="18" t="str">
        <x:v>seedance-2.0</x:v>
      </x:c>
      <x:c r="C14" s="18" t="str">
        <x:v>4sdance_431_480p</x:v>
      </x:c>
      <x:c r="D14" s="18" t="str">
        <x:v>merge</x:v>
      </x:c>
      <x:c r="E14" s="18" t="str">
        <x:v>channel-4stoken</x:v>
      </x:c>
      <x:c r="F14" s="18" t="str">
        <x:v>4sdance_431_480p</x:v>
      </x:c>
      <x:c r="G14" s="18" t="str">
        <x:v>SKU-SD20-STD-480</x:v>
      </x:c>
      <x:c r="H14" s="18" t="str">
        <x:v>480p</x:v>
      </x:c>
      <x:c r="I14" s="18" t="str">
        <x:v>480p</x:v>
      </x:c>
      <x:c r="J14" s="18" t="n">
        <x:v>4</x:v>
      </x:c>
      <x:c r="K14" s="18" t="n">
        <x:v>15</x:v>
      </x:c>
      <x:c r="L14" s="18"/>
      <x:c r="M14" s="18" t="n">
        <x:v>100</x:v>
      </x:c>
      <x:c r="N14" s="23" t="b">
        <x:v>0</x:v>
      </x:c>
    </x:row>
    <x:row r="15">
      <x:c r="A15" s="20" t="str">
        <x:v>ROUTE-MAP-8YES-R60-480</x:v>
      </x:c>
      <x:c r="B15" s="18" t="str">
        <x:v>seedance-2.0</x:v>
      </x:c>
      <x:c r="C15" s="18" t="str">
        <x:v>seedance-2.0</x:v>
      </x:c>
      <x:c r="D15" s="18" t="str">
        <x:v>merge</x:v>
      </x:c>
      <x:c r="E15" s="18" t="str">
        <x:v>channel-8yes</x:v>
      </x:c>
      <x:c r="F15" s="18" t="str">
        <x:v>seedance-2.0</x:v>
      </x:c>
      <x:c r="G15" s="18" t="str">
        <x:v>SKU-SD20-STD-480</x:v>
      </x:c>
      <x:c r="H15" s="18" t="str">
        <x:v>480p</x:v>
      </x:c>
      <x:c r="I15" s="18" t="str">
        <x:v>480p</x:v>
      </x:c>
      <x:c r="J15" s="18" t="n">
        <x:v>4</x:v>
      </x:c>
      <x:c r="K15" s="18" t="n">
        <x:v>15</x:v>
      </x:c>
      <x:c r="L15" s="18"/>
      <x:c r="M15" s="18" t="n">
        <x:v>100</x:v>
      </x:c>
      <x:c r="N15" s="23" t="b">
        <x:v>0</x:v>
      </x:c>
    </x:row>
    <x:row r="16">
      <x:c r="A16" s="20" t="str">
        <x:v>ROUTE-MAP-8YES-R60-720</x:v>
      </x:c>
      <x:c r="B16" s="18" t="str">
        <x:v>seedance-2.0</x:v>
      </x:c>
      <x:c r="C16" s="18" t="str">
        <x:v>seedance-2.0</x:v>
      </x:c>
      <x:c r="D16" s="18" t="str">
        <x:v>merge</x:v>
      </x:c>
      <x:c r="E16" s="18" t="str">
        <x:v>channel-8yes</x:v>
      </x:c>
      <x:c r="F16" s="18" t="str">
        <x:v>seedance-2.0</x:v>
      </x:c>
      <x:c r="G16" s="18" t="str">
        <x:v>SKU-SD20-STD-720</x:v>
      </x:c>
      <x:c r="H16" s="18" t="str">
        <x:v>720p</x:v>
      </x:c>
      <x:c r="I16" s="18" t="str">
        <x:v>720p</x:v>
      </x:c>
      <x:c r="J16" s="18" t="n">
        <x:v>4</x:v>
      </x:c>
      <x:c r="K16" s="18" t="n">
        <x:v>15</x:v>
      </x:c>
      <x:c r="L16" s="18"/>
      <x:c r="M16" s="18" t="n">
        <x:v>100</x:v>
      </x:c>
      <x:c r="N16" s="23" t="b">
        <x:v>0</x:v>
      </x:c>
    </x:row>
    <x:row r="17">
      <x:c r="A17" s="20" t="str">
        <x:v>ROUTE-MAP-8YES-R61-1080</x:v>
      </x:c>
      <x:c r="B17" s="18" t="str">
        <x:v>seedance-2.0</x:v>
      </x:c>
      <x:c r="C17" s="18" t="str">
        <x:v>seedance-2.0-1080p</x:v>
      </x:c>
      <x:c r="D17" s="18" t="str">
        <x:v>merge</x:v>
      </x:c>
      <x:c r="E17" s="18" t="str">
        <x:v>channel-8yes</x:v>
      </x:c>
      <x:c r="F17" s="18" t="str">
        <x:v>seedance-2.0-1080p</x:v>
      </x:c>
      <x:c r="G17" s="18" t="str">
        <x:v>SKU-SD20-STD-1080</x:v>
      </x:c>
      <x:c r="H17" s="18" t="str">
        <x:v>1080p</x:v>
      </x:c>
      <x:c r="I17" s="18" t="str">
        <x:v>1080p</x:v>
      </x:c>
      <x:c r="J17" s="18" t="n">
        <x:v>4</x:v>
      </x:c>
      <x:c r="K17" s="18" t="n">
        <x:v>15</x:v>
      </x:c>
      <x:c r="L17" s="18"/>
      <x:c r="M17" s="18" t="n">
        <x:v>100</x:v>
      </x:c>
      <x:c r="N17" s="23" t="b">
        <x:v>0</x:v>
      </x:c>
    </x:row>
    <x:row r="18">
      <x:c r="A18" s="20" t="str">
        <x:v>ROUTE-MAP-8YES-R62-480</x:v>
      </x:c>
      <x:c r="B18" s="18" t="str">
        <x:v>seedance-2.0</x:v>
      </x:c>
      <x:c r="C18" s="18" t="str">
        <x:v>seedance-2.0-480p</x:v>
      </x:c>
      <x:c r="D18" s="18" t="str">
        <x:v>merge</x:v>
      </x:c>
      <x:c r="E18" s="18" t="str">
        <x:v>channel-8yes</x:v>
      </x:c>
      <x:c r="F18" s="18" t="str">
        <x:v>seedance-2.0-480p</x:v>
      </x:c>
      <x:c r="G18" s="18" t="str">
        <x:v>SKU-SD20-STD-480</x:v>
      </x:c>
      <x:c r="H18" s="18" t="str">
        <x:v>480p</x:v>
      </x:c>
      <x:c r="I18" s="18" t="str">
        <x:v>480p</x:v>
      </x:c>
      <x:c r="J18" s="18" t="n">
        <x:v>4</x:v>
      </x:c>
      <x:c r="K18" s="18" t="n">
        <x:v>15</x:v>
      </x:c>
      <x:c r="L18" s="18"/>
      <x:c r="M18" s="18" t="n">
        <x:v>100</x:v>
      </x:c>
      <x:c r="N18" s="23" t="b">
        <x:v>0</x:v>
      </x:c>
    </x:row>
    <x:row r="19">
      <x:c r="A19" s="20" t="str">
        <x:v>ROUTE-MAP-8YES-R63-4K</x:v>
      </x:c>
      <x:c r="B19" s="18" t="str">
        <x:v>seedance-2.0</x:v>
      </x:c>
      <x:c r="C19" s="18" t="str">
        <x:v>seedance-2.0-4k</x:v>
      </x:c>
      <x:c r="D19" s="18" t="str">
        <x:v>merge</x:v>
      </x:c>
      <x:c r="E19" s="18" t="str">
        <x:v>channel-8yes</x:v>
      </x:c>
      <x:c r="F19" s="18" t="str">
        <x:v>seedance-2.0-4k</x:v>
      </x:c>
      <x:c r="G19" s="18" t="str">
        <x:v>SKU-SD20-STD-4K</x:v>
      </x:c>
      <x:c r="H19" s="18" t="str">
        <x:v>4k</x:v>
      </x:c>
      <x:c r="I19" s="18" t="str">
        <x:v>4k</x:v>
      </x:c>
      <x:c r="J19" s="18" t="n">
        <x:v>4</x:v>
      </x:c>
      <x:c r="K19" s="18" t="n">
        <x:v>15</x:v>
      </x:c>
      <x:c r="L19" s="18"/>
      <x:c r="M19" s="18" t="n">
        <x:v>100</x:v>
      </x:c>
      <x:c r="N19" s="23" t="b">
        <x:v>0</x:v>
      </x:c>
    </x:row>
    <x:row r="20">
      <x:c r="A20" s="20" t="str">
        <x:v>ROUTE-MAP-8YES-R64-720</x:v>
      </x:c>
      <x:c r="B20" s="18" t="str">
        <x:v>seedance-2.0</x:v>
      </x:c>
      <x:c r="C20" s="18" t="str">
        <x:v>seedance-2.0-720p</x:v>
      </x:c>
      <x:c r="D20" s="18" t="str">
        <x:v>merge</x:v>
      </x:c>
      <x:c r="E20" s="18" t="str">
        <x:v>channel-8yes</x:v>
      </x:c>
      <x:c r="F20" s="18" t="str">
        <x:v>seedance-2.0-720p</x:v>
      </x:c>
      <x:c r="G20" s="18" t="str">
        <x:v>SKU-SD20-STD-720</x:v>
      </x:c>
      <x:c r="H20" s="18" t="str">
        <x:v>720p</x:v>
      </x:c>
      <x:c r="I20" s="18" t="str">
        <x:v>720p</x:v>
      </x:c>
      <x:c r="J20" s="18" t="n">
        <x:v>4</x:v>
      </x:c>
      <x:c r="K20" s="18" t="n">
        <x:v>15</x:v>
      </x:c>
      <x:c r="L20" s="18"/>
      <x:c r="M20" s="18" t="n">
        <x:v>100</x:v>
      </x:c>
      <x:c r="N20" s="23" t="b">
        <x:v>0</x:v>
      </x:c>
    </x:row>
    <x:row r="21">
      <x:c r="A21" s="20" t="str">
        <x:v>ROUTE-MAP-CANGYUANSUANLI-R77-480</x:v>
      </x:c>
      <x:c r="B21" s="18" t="str">
        <x:v>seedance-2.0</x:v>
      </x:c>
      <x:c r="C21" s="18" t="str">
        <x:v>sd5-seedance-2.0</x:v>
      </x:c>
      <x:c r="D21" s="18" t="str">
        <x:v>merge</x:v>
      </x:c>
      <x:c r="E21" s="18" t="str">
        <x:v>channel-cangyuansuanli</x:v>
      </x:c>
      <x:c r="F21" s="18" t="str">
        <x:v>sd5-seedance-2.0</x:v>
      </x:c>
      <x:c r="G21" s="18" t="str">
        <x:v>SKU-SD20-STD-480</x:v>
      </x:c>
      <x:c r="H21" s="18" t="str">
        <x:v>480p</x:v>
      </x:c>
      <x:c r="I21" s="18" t="str">
        <x:v>480p</x:v>
      </x:c>
      <x:c r="J21" s="18" t="n">
        <x:v>4</x:v>
      </x:c>
      <x:c r="K21" s="18" t="n">
        <x:v>15</x:v>
      </x:c>
      <x:c r="L21" s="18"/>
      <x:c r="M21" s="18" t="n">
        <x:v>100</x:v>
      </x:c>
      <x:c r="N21" s="23" t="b">
        <x:v>0</x:v>
      </x:c>
    </x:row>
    <x:row r="22">
      <x:c r="A22" s="20" t="str">
        <x:v>ROUTE-MAP-CANGYUANSUANLI-R77-720</x:v>
      </x:c>
      <x:c r="B22" s="18" t="str">
        <x:v>seedance-2.0</x:v>
      </x:c>
      <x:c r="C22" s="18" t="str">
        <x:v>sd5-seedance-2.0</x:v>
      </x:c>
      <x:c r="D22" s="18" t="str">
        <x:v>merge</x:v>
      </x:c>
      <x:c r="E22" s="18" t="str">
        <x:v>channel-cangyuansuanli</x:v>
      </x:c>
      <x:c r="F22" s="18" t="str">
        <x:v>sd5-seedance-2.0</x:v>
      </x:c>
      <x:c r="G22" s="18" t="str">
        <x:v>SKU-SD20-STD-720</x:v>
      </x:c>
      <x:c r="H22" s="18" t="str">
        <x:v>720p</x:v>
      </x:c>
      <x:c r="I22" s="18" t="str">
        <x:v>720p</x:v>
      </x:c>
      <x:c r="J22" s="18" t="n">
        <x:v>4</x:v>
      </x:c>
      <x:c r="K22" s="18" t="n">
        <x:v>15</x:v>
      </x:c>
      <x:c r="L22" s="18"/>
      <x:c r="M22" s="18" t="n">
        <x:v>100</x:v>
      </x:c>
      <x:c r="N22" s="23" t="b">
        <x:v>0</x:v>
      </x:c>
    </x:row>
    <x:row r="23">
      <x:c r="A23" s="20" t="str">
        <x:v>ROUTE-MAP-CANGYUANSUANLI-R78-480</x:v>
      </x:c>
      <x:c r="B23" s="18" t="str">
        <x:v>seedance-2.0-fast</x:v>
      </x:c>
      <x:c r="C23" s="18" t="str">
        <x:v>sd5-seedance-2.0-fast</x:v>
      </x:c>
      <x:c r="D23" s="18" t="str">
        <x:v>merge</x:v>
      </x:c>
      <x:c r="E23" s="18" t="str">
        <x:v>channel-cangyuansuanli</x:v>
      </x:c>
      <x:c r="F23" s="18" t="str">
        <x:v>sd5-seedance-2.0-fast</x:v>
      </x:c>
      <x:c r="G23" s="18" t="str">
        <x:v>SKU-SD20-FAST-480</x:v>
      </x:c>
      <x:c r="H23" s="18" t="str">
        <x:v>480p</x:v>
      </x:c>
      <x:c r="I23" s="18" t="str">
        <x:v>480p</x:v>
      </x:c>
      <x:c r="J23" s="18" t="n">
        <x:v>4</x:v>
      </x:c>
      <x:c r="K23" s="18" t="n">
        <x:v>15</x:v>
      </x:c>
      <x:c r="L23" s="18"/>
      <x:c r="M23" s="18" t="n">
        <x:v>100</x:v>
      </x:c>
      <x:c r="N23" s="23" t="b">
        <x:v>0</x:v>
      </x:c>
    </x:row>
    <x:row r="24">
      <x:c r="A24" s="20" t="str">
        <x:v>ROUTE-MAP-CANGYUANSUANLI-R78-720</x:v>
      </x:c>
      <x:c r="B24" s="18" t="str">
        <x:v>seedance-2.0-fast</x:v>
      </x:c>
      <x:c r="C24" s="18" t="str">
        <x:v>sd5-seedance-2.0-fast</x:v>
      </x:c>
      <x:c r="D24" s="18" t="str">
        <x:v>merge</x:v>
      </x:c>
      <x:c r="E24" s="18" t="str">
        <x:v>channel-cangyuansuanli</x:v>
      </x:c>
      <x:c r="F24" s="18" t="str">
        <x:v>sd5-seedance-2.0-fast</x:v>
      </x:c>
      <x:c r="G24" s="18" t="str">
        <x:v>SKU-SD20-FAST-720</x:v>
      </x:c>
      <x:c r="H24" s="18" t="str">
        <x:v>720p</x:v>
      </x:c>
      <x:c r="I24" s="18" t="str">
        <x:v>720p</x:v>
      </x:c>
      <x:c r="J24" s="18" t="n">
        <x:v>4</x:v>
      </x:c>
      <x:c r="K24" s="18" t="n">
        <x:v>15</x:v>
      </x:c>
      <x:c r="L24" s="18"/>
      <x:c r="M24" s="18" t="n">
        <x:v>100</x:v>
      </x:c>
      <x:c r="N24" s="23" t="b">
        <x:v>0</x:v>
      </x:c>
    </x:row>
    <x:row r="25">
      <x:c r="A25" s="20" t="str">
        <x:v>ROUTE-MAP-CANGYUANSUANLI-R79-480</x:v>
      </x:c>
      <x:c r="B25" s="18" t="str">
        <x:v>seedance-2.0</x:v>
      </x:c>
      <x:c r="C25" s="18" t="str">
        <x:v>seedance-2.0</x:v>
      </x:c>
      <x:c r="D25" s="18" t="str">
        <x:v>merge</x:v>
      </x:c>
      <x:c r="E25" s="18" t="str">
        <x:v>channel-cangyuansuanli</x:v>
      </x:c>
      <x:c r="F25" s="18" t="str">
        <x:v>seedance-2.0</x:v>
      </x:c>
      <x:c r="G25" s="18" t="str">
        <x:v>SKU-SD20-STD-480</x:v>
      </x:c>
      <x:c r="H25" s="18" t="str">
        <x:v>480p</x:v>
      </x:c>
      <x:c r="I25" s="18" t="str">
        <x:v>480p</x:v>
      </x:c>
      <x:c r="J25" s="18" t="n">
        <x:v>4</x:v>
      </x:c>
      <x:c r="K25" s="18" t="n">
        <x:v>15</x:v>
      </x:c>
      <x:c r="L25" s="18"/>
      <x:c r="M25" s="18" t="n">
        <x:v>100</x:v>
      </x:c>
      <x:c r="N25" s="23" t="b">
        <x:v>0</x:v>
      </x:c>
    </x:row>
    <x:row r="26">
      <x:c r="A26" s="20" t="str">
        <x:v>ROUTE-MAP-CANGYUANSUANLI-R79-720</x:v>
      </x:c>
      <x:c r="B26" s="18" t="str">
        <x:v>seedance-2.0</x:v>
      </x:c>
      <x:c r="C26" s="18" t="str">
        <x:v>seedance-2.0</x:v>
      </x:c>
      <x:c r="D26" s="18" t="str">
        <x:v>merge</x:v>
      </x:c>
      <x:c r="E26" s="18" t="str">
        <x:v>channel-cangyuansuanli</x:v>
      </x:c>
      <x:c r="F26" s="18" t="str">
        <x:v>seedance-2.0</x:v>
      </x:c>
      <x:c r="G26" s="18" t="str">
        <x:v>SKU-SD20-STD-720</x:v>
      </x:c>
      <x:c r="H26" s="18" t="str">
        <x:v>720p</x:v>
      </x:c>
      <x:c r="I26" s="18" t="str">
        <x:v>720p</x:v>
      </x:c>
      <x:c r="J26" s="18" t="n">
        <x:v>4</x:v>
      </x:c>
      <x:c r="K26" s="18" t="n">
        <x:v>15</x:v>
      </x:c>
      <x:c r="L26" s="18"/>
      <x:c r="M26" s="18" t="n">
        <x:v>100</x:v>
      </x:c>
      <x:c r="N26" s="23" t="b">
        <x:v>0</x:v>
      </x:c>
    </x:row>
    <x:row r="27">
      <x:c r="A27" s="20" t="str">
        <x:v>ROUTE-MAP-CANGYUANSUANLI-R80-480</x:v>
      </x:c>
      <x:c r="B27" s="18" t="str">
        <x:v>seedance-2.0-fast</x:v>
      </x:c>
      <x:c r="C27" s="18" t="str">
        <x:v>seedance-2.0-fast</x:v>
      </x:c>
      <x:c r="D27" s="18" t="str">
        <x:v>merge</x:v>
      </x:c>
      <x:c r="E27" s="18" t="str">
        <x:v>channel-cangyuansuanli</x:v>
      </x:c>
      <x:c r="F27" s="18" t="str">
        <x:v>seedance-2.0-fast</x:v>
      </x:c>
      <x:c r="G27" s="18" t="str">
        <x:v>SKU-SD20-FAST-480</x:v>
      </x:c>
      <x:c r="H27" s="18" t="str">
        <x:v>480p</x:v>
      </x:c>
      <x:c r="I27" s="18" t="str">
        <x:v>480p</x:v>
      </x:c>
      <x:c r="J27" s="18" t="n">
        <x:v>4</x:v>
      </x:c>
      <x:c r="K27" s="18" t="n">
        <x:v>15</x:v>
      </x:c>
      <x:c r="L27" s="18"/>
      <x:c r="M27" s="18" t="n">
        <x:v>100</x:v>
      </x:c>
      <x:c r="N27" s="23" t="b">
        <x:v>0</x:v>
      </x:c>
    </x:row>
    <x:row r="28">
      <x:c r="A28" s="20" t="str">
        <x:v>ROUTE-MAP-CANGYUANSUANLI-R80-720</x:v>
      </x:c>
      <x:c r="B28" s="18" t="str">
        <x:v>seedance-2.0-fast</x:v>
      </x:c>
      <x:c r="C28" s="18" t="str">
        <x:v>seedance-2.0-fast</x:v>
      </x:c>
      <x:c r="D28" s="18" t="str">
        <x:v>merge</x:v>
      </x:c>
      <x:c r="E28" s="18" t="str">
        <x:v>channel-cangyuansuanli</x:v>
      </x:c>
      <x:c r="F28" s="18" t="str">
        <x:v>seedance-2.0-fast</x:v>
      </x:c>
      <x:c r="G28" s="18" t="str">
        <x:v>SKU-SD20-FAST-720</x:v>
      </x:c>
      <x:c r="H28" s="18" t="str">
        <x:v>720p</x:v>
      </x:c>
      <x:c r="I28" s="18" t="str">
        <x:v>720p</x:v>
      </x:c>
      <x:c r="J28" s="18" t="n">
        <x:v>4</x:v>
      </x:c>
      <x:c r="K28" s="18" t="n">
        <x:v>15</x:v>
      </x:c>
      <x:c r="L28" s="18"/>
      <x:c r="M28" s="18" t="n">
        <x:v>100</x:v>
      </x:c>
      <x:c r="N28" s="23" t="b">
        <x:v>0</x:v>
      </x:c>
    </x:row>
    <x:row r="29">
      <x:c r="A29" s="20" t="str">
        <x:v>ROUTE-MAP-CANGYUANSUANLI-R81-480</x:v>
      </x:c>
      <x:c r="B29" s="18" t="str">
        <x:v>seedance-2.0-mini</x:v>
      </x:c>
      <x:c r="C29" s="18" t="str">
        <x:v>seedance-2.0-mini</x:v>
      </x:c>
      <x:c r="D29" s="18" t="str">
        <x:v>merge</x:v>
      </x:c>
      <x:c r="E29" s="18" t="str">
        <x:v>channel-cangyuansuanli</x:v>
      </x:c>
      <x:c r="F29" s="18" t="str">
        <x:v>seedance-2.0-mini</x:v>
      </x:c>
      <x:c r="G29" s="18" t="str">
        <x:v>SKU-SD20-MINI-480</x:v>
      </x:c>
      <x:c r="H29" s="18" t="str">
        <x:v>480p</x:v>
      </x:c>
      <x:c r="I29" s="18" t="str">
        <x:v>480p</x:v>
      </x:c>
      <x:c r="J29" s="18" t="n">
        <x:v>4</x:v>
      </x:c>
      <x:c r="K29" s="18" t="n">
        <x:v>15</x:v>
      </x:c>
      <x:c r="L29" s="18"/>
      <x:c r="M29" s="18" t="n">
        <x:v>100</x:v>
      </x:c>
      <x:c r="N29" s="23" t="b">
        <x:v>0</x:v>
      </x:c>
    </x:row>
    <x:row r="30">
      <x:c r="A30" s="20" t="str">
        <x:v>ROUTE-MAP-CANGYUANSUANLI-R81-720</x:v>
      </x:c>
      <x:c r="B30" s="18" t="str">
        <x:v>seedance-2.0-mini</x:v>
      </x:c>
      <x:c r="C30" s="18" t="str">
        <x:v>seedance-2.0-mini</x:v>
      </x:c>
      <x:c r="D30" s="18" t="str">
        <x:v>merge</x:v>
      </x:c>
      <x:c r="E30" s="18" t="str">
        <x:v>channel-cangyuansuanli</x:v>
      </x:c>
      <x:c r="F30" s="18" t="str">
        <x:v>seedance-2.0-mini</x:v>
      </x:c>
      <x:c r="G30" s="18" t="str">
        <x:v>SKU-SD20-MINI-720</x:v>
      </x:c>
      <x:c r="H30" s="18" t="str">
        <x:v>720p</x:v>
      </x:c>
      <x:c r="I30" s="18" t="str">
        <x:v>720p</x:v>
      </x:c>
      <x:c r="J30" s="18" t="n">
        <x:v>4</x:v>
      </x:c>
      <x:c r="K30" s="18" t="n">
        <x:v>15</x:v>
      </x:c>
      <x:c r="L30" s="18"/>
      <x:c r="M30" s="18" t="n">
        <x:v>100</x:v>
      </x:c>
      <x:c r="N30" s="23" t="b">
        <x:v>0</x:v>
      </x:c>
    </x:row>
    <x:row r="31">
      <x:c r="A31" s="20" t="str">
        <x:v>ROUTE-MAP-CLMM-R10-720</x:v>
      </x:c>
      <x:c r="B31" s="18" t="str">
        <x:v>seedance-2.0-fast</x:v>
      </x:c>
      <x:c r="C31" s="18" t="str">
        <x:v>mg-seedance2.0 -720p fast</x:v>
      </x:c>
      <x:c r="D31" s="18" t="str">
        <x:v>merge</x:v>
      </x:c>
      <x:c r="E31" s="18" t="str">
        <x:v>channel-clmm</x:v>
      </x:c>
      <x:c r="F31" s="18" t="str">
        <x:v>mg-seedance2.0 -720p fast</x:v>
      </x:c>
      <x:c r="G31" s="18" t="str">
        <x:v>SKU-SD20-FAST-720</x:v>
      </x:c>
      <x:c r="H31" s="18" t="str">
        <x:v>720p</x:v>
      </x:c>
      <x:c r="I31" s="18" t="str">
        <x:v>720p</x:v>
      </x:c>
      <x:c r="J31" s="18" t="n">
        <x:v>4</x:v>
      </x:c>
      <x:c r="K31" s="18" t="n">
        <x:v>15</x:v>
      </x:c>
      <x:c r="L31" s="18"/>
      <x:c r="M31" s="18" t="n">
        <x:v>100</x:v>
      </x:c>
      <x:c r="N31" s="23" t="b">
        <x:v>0</x:v>
      </x:c>
    </x:row>
    <x:row r="32">
      <x:c r="A32" s="20" t="str">
        <x:v>ROUTE-MAP-CLMM-R11-720</x:v>
      </x:c>
      <x:c r="B32" s="18" t="str">
        <x:v>seedance-2.0-mini</x:v>
      </x:c>
      <x:c r="C32" s="18" t="str">
        <x:v>mg-seedance2.0 -720p mini</x:v>
      </x:c>
      <x:c r="D32" s="18" t="str">
        <x:v>merge</x:v>
      </x:c>
      <x:c r="E32" s="18" t="str">
        <x:v>channel-clmm</x:v>
      </x:c>
      <x:c r="F32" s="18" t="str">
        <x:v>mg-seedance2.0 -720p mini</x:v>
      </x:c>
      <x:c r="G32" s="18" t="str">
        <x:v>SKU-SD20-MINI-720</x:v>
      </x:c>
      <x:c r="H32" s="18" t="str">
        <x:v>720p</x:v>
      </x:c>
      <x:c r="I32" s="18" t="str">
        <x:v>720p</x:v>
      </x:c>
      <x:c r="J32" s="18" t="n">
        <x:v>4</x:v>
      </x:c>
      <x:c r="K32" s="18" t="n">
        <x:v>15</x:v>
      </x:c>
      <x:c r="L32" s="18"/>
      <x:c r="M32" s="18" t="n">
        <x:v>100</x:v>
      </x:c>
      <x:c r="N32" s="23" t="b">
        <x:v>0</x:v>
      </x:c>
    </x:row>
    <x:row r="33">
      <x:c r="A33" s="20" t="str">
        <x:v>ROUTE-MAP-CLMM-R12-720</x:v>
      </x:c>
      <x:c r="B33" s="18" t="str">
        <x:v>seedance-2.0</x:v>
      </x:c>
      <x:c r="C33" s="18" t="str">
        <x:v>mg-seedance2.0 -720p pro</x:v>
      </x:c>
      <x:c r="D33" s="18" t="str">
        <x:v>merge</x:v>
      </x:c>
      <x:c r="E33" s="18" t="str">
        <x:v>channel-clmm</x:v>
      </x:c>
      <x:c r="F33" s="18" t="str">
        <x:v>mg-seedance2.0 -720p pro</x:v>
      </x:c>
      <x:c r="G33" s="18" t="str">
        <x:v>SKU-SD20-STD-720</x:v>
      </x:c>
      <x:c r="H33" s="18" t="str">
        <x:v>720p</x:v>
      </x:c>
      <x:c r="I33" s="18" t="str">
        <x:v>720p</x:v>
      </x:c>
      <x:c r="J33" s="18" t="n">
        <x:v>4</x:v>
      </x:c>
      <x:c r="K33" s="18" t="n">
        <x:v>15</x:v>
      </x:c>
      <x:c r="L33" s="18"/>
      <x:c r="M33" s="18" t="n">
        <x:v>100</x:v>
      </x:c>
      <x:c r="N33" s="23" t="b">
        <x:v>0</x:v>
      </x:c>
    </x:row>
    <x:row r="34">
      <x:c r="A34" s="20" t="str">
        <x:v>ROUTE-MAP-CLMM-R3-720</x:v>
      </x:c>
      <x:c r="B34" s="18" t="str">
        <x:v>seedance-2.0-fast</x:v>
      </x:c>
      <x:c r="C34" s="18" t="str">
        <x:v>seedance 720p-fast</x:v>
      </x:c>
      <x:c r="D34" s="18" t="str">
        <x:v>merge</x:v>
      </x:c>
      <x:c r="E34" s="18" t="str">
        <x:v>channel-clmm</x:v>
      </x:c>
      <x:c r="F34" s="18" t="str">
        <x:v>seedance 720p-fast</x:v>
      </x:c>
      <x:c r="G34" s="18" t="str">
        <x:v>SKU-SD20-FAST-720</x:v>
      </x:c>
      <x:c r="H34" s="18" t="str">
        <x:v>720p</x:v>
      </x:c>
      <x:c r="I34" s="18" t="str">
        <x:v>720p</x:v>
      </x:c>
      <x:c r="J34" s="18" t="n">
        <x:v>4</x:v>
      </x:c>
      <x:c r="K34" s="18" t="n">
        <x:v>15</x:v>
      </x:c>
      <x:c r="L34" s="18"/>
      <x:c r="M34" s="18" t="n">
        <x:v>100</x:v>
      </x:c>
      <x:c r="N34" s="23" t="b">
        <x:v>0</x:v>
      </x:c>
    </x:row>
    <x:row r="35">
      <x:c r="A35" s="20" t="str">
        <x:v>ROUTE-MAP-CLMM-R4-1080</x:v>
      </x:c>
      <x:c r="B35" s="18" t="str">
        <x:v>seedance-2.0</x:v>
      </x:c>
      <x:c r="C35" s="18" t="str">
        <x:v>bb-seedance2.0 1080p-pro-gz-15s</x:v>
      </x:c>
      <x:c r="D35" s="18" t="str">
        <x:v>merge</x:v>
      </x:c>
      <x:c r="E35" s="18" t="str">
        <x:v>channel-clmm</x:v>
      </x:c>
      <x:c r="F35" s="18" t="str">
        <x:v>bb-seedance2.0 1080p-pro-gz-15s</x:v>
      </x:c>
      <x:c r="G35" s="18" t="str">
        <x:v>SKU-SD20-STD-1080</x:v>
      </x:c>
      <x:c r="H35" s="18" t="str">
        <x:v>1080p</x:v>
      </x:c>
      <x:c r="I35" s="18" t="str">
        <x:v>1080p</x:v>
      </x:c>
      <x:c r="J35" s="18" t="n">
        <x:v>4</x:v>
      </x:c>
      <x:c r="K35" s="18" t="n">
        <x:v>15</x:v>
      </x:c>
      <x:c r="L35" s="18"/>
      <x:c r="M35" s="18" t="n">
        <x:v>100</x:v>
      </x:c>
      <x:c r="N35" s="23" t="b">
        <x:v>0</x:v>
      </x:c>
    </x:row>
    <x:row r="36">
      <x:c r="A36" s="20" t="str">
        <x:v>ROUTE-MAP-CLMM-R5-720</x:v>
      </x:c>
      <x:c r="B36" s="18" t="str">
        <x:v>seedance-2.0-fast</x:v>
      </x:c>
      <x:c r="C36" s="18" t="str">
        <x:v>bb-seedance2.0 720p-fast-gz-15s</x:v>
      </x:c>
      <x:c r="D36" s="18" t="str">
        <x:v>merge</x:v>
      </x:c>
      <x:c r="E36" s="18" t="str">
        <x:v>channel-clmm</x:v>
      </x:c>
      <x:c r="F36" s="18" t="str">
        <x:v>bb-seedance2.0 720p-fast-gz-15s</x:v>
      </x:c>
      <x:c r="G36" s="18" t="str">
        <x:v>SKU-SD20-FAST-720</x:v>
      </x:c>
      <x:c r="H36" s="18" t="str">
        <x:v>720p</x:v>
      </x:c>
      <x:c r="I36" s="18" t="str">
        <x:v>720p</x:v>
      </x:c>
      <x:c r="J36" s="18" t="n">
        <x:v>4</x:v>
      </x:c>
      <x:c r="K36" s="18" t="n">
        <x:v>15</x:v>
      </x:c>
      <x:c r="L36" s="18"/>
      <x:c r="M36" s="18" t="n">
        <x:v>100</x:v>
      </x:c>
      <x:c r="N36" s="23" t="b">
        <x:v>0</x:v>
      </x:c>
    </x:row>
    <x:row r="37">
      <x:c r="A37" s="20" t="str">
        <x:v>ROUTE-MAP-CLMM-R6-720</x:v>
      </x:c>
      <x:c r="B37" s="18" t="str">
        <x:v>seedance-2.0</x:v>
      </x:c>
      <x:c r="C37" s="18" t="str">
        <x:v>bb-seedance2.0 720p-pro-gz-15s</x:v>
      </x:c>
      <x:c r="D37" s="18" t="str">
        <x:v>merge</x:v>
      </x:c>
      <x:c r="E37" s="18" t="str">
        <x:v>channel-clmm</x:v>
      </x:c>
      <x:c r="F37" s="18" t="str">
        <x:v>bb-seedance2.0 720p-pro-gz-15s</x:v>
      </x:c>
      <x:c r="G37" s="18" t="str">
        <x:v>SKU-SD20-STD-720</x:v>
      </x:c>
      <x:c r="H37" s="18" t="str">
        <x:v>720p</x:v>
      </x:c>
      <x:c r="I37" s="18" t="str">
        <x:v>720p</x:v>
      </x:c>
      <x:c r="J37" s="18" t="n">
        <x:v>4</x:v>
      </x:c>
      <x:c r="K37" s="18" t="n">
        <x:v>15</x:v>
      </x:c>
      <x:c r="L37" s="18"/>
      <x:c r="M37" s="18" t="n">
        <x:v>100</x:v>
      </x:c>
      <x:c r="N37" s="23" t="b">
        <x:v>0</x:v>
      </x:c>
    </x:row>
    <x:row r="38">
      <x:c r="A38" s="20" t="str">
        <x:v>ROUTE-MAP-CLMM-R7-480</x:v>
      </x:c>
      <x:c r="B38" s="18" t="str">
        <x:v>seedance-2.0</x:v>
      </x:c>
      <x:c r="C38" s="18" t="str">
        <x:v>mg-seedance2.0 -480p</x:v>
      </x:c>
      <x:c r="D38" s="18" t="str">
        <x:v>merge</x:v>
      </x:c>
      <x:c r="E38" s="18" t="str">
        <x:v>channel-clmm</x:v>
      </x:c>
      <x:c r="F38" s="18" t="str">
        <x:v>mg-seedance2.0 -480p</x:v>
      </x:c>
      <x:c r="G38" s="18" t="str">
        <x:v>SKU-SD20-STD-480</x:v>
      </x:c>
      <x:c r="H38" s="18" t="str">
        <x:v>480p</x:v>
      </x:c>
      <x:c r="I38" s="18" t="str">
        <x:v>480p</x:v>
      </x:c>
      <x:c r="J38" s="18" t="n">
        <x:v>4</x:v>
      </x:c>
      <x:c r="K38" s="18" t="n">
        <x:v>15</x:v>
      </x:c>
      <x:c r="L38" s="18"/>
      <x:c r="M38" s="18" t="n">
        <x:v>100</x:v>
      </x:c>
      <x:c r="N38" s="23" t="b">
        <x:v>0</x:v>
      </x:c>
    </x:row>
    <x:row r="39">
      <x:c r="A39" s="20" t="str">
        <x:v>ROUTE-MAP-CLMM-R8-480</x:v>
      </x:c>
      <x:c r="B39" s="18" t="str">
        <x:v>seedance-2.0-fast</x:v>
      </x:c>
      <x:c r="C39" s="18" t="str">
        <x:v>mg-seedance2.0 -480p fast</x:v>
      </x:c>
      <x:c r="D39" s="18" t="str">
        <x:v>merge</x:v>
      </x:c>
      <x:c r="E39" s="18" t="str">
        <x:v>channel-clmm</x:v>
      </x:c>
      <x:c r="F39" s="18" t="str">
        <x:v>mg-seedance2.0 -480p fast</x:v>
      </x:c>
      <x:c r="G39" s="18" t="str">
        <x:v>SKU-SD20-FAST-480</x:v>
      </x:c>
      <x:c r="H39" s="18" t="str">
        <x:v>480p</x:v>
      </x:c>
      <x:c r="I39" s="18" t="str">
        <x:v>480p</x:v>
      </x:c>
      <x:c r="J39" s="18" t="n">
        <x:v>4</x:v>
      </x:c>
      <x:c r="K39" s="18" t="n">
        <x:v>15</x:v>
      </x:c>
      <x:c r="L39" s="18"/>
      <x:c r="M39" s="18" t="n">
        <x:v>100</x:v>
      </x:c>
      <x:c r="N39" s="23" t="b">
        <x:v>0</x:v>
      </x:c>
    </x:row>
    <x:row r="40">
      <x:c r="A40" s="20" t="str">
        <x:v>ROUTE-MAP-CLMM-R9-480</x:v>
      </x:c>
      <x:c r="B40" s="18" t="str">
        <x:v>seedance-2.0-mini</x:v>
      </x:c>
      <x:c r="C40" s="18" t="str">
        <x:v>mg-seedance2.0 -480p mini</x:v>
      </x:c>
      <x:c r="D40" s="18" t="str">
        <x:v>merge</x:v>
      </x:c>
      <x:c r="E40" s="18" t="str">
        <x:v>channel-clmm</x:v>
      </x:c>
      <x:c r="F40" s="18" t="str">
        <x:v>mg-seedance2.0 -480p mini</x:v>
      </x:c>
      <x:c r="G40" s="18" t="str">
        <x:v>SKU-SD20-MINI-480</x:v>
      </x:c>
      <x:c r="H40" s="18" t="str">
        <x:v>480p</x:v>
      </x:c>
      <x:c r="I40" s="18" t="str">
        <x:v>480p</x:v>
      </x:c>
      <x:c r="J40" s="18" t="n">
        <x:v>4</x:v>
      </x:c>
      <x:c r="K40" s="18" t="n">
        <x:v>15</x:v>
      </x:c>
      <x:c r="L40" s="18"/>
      <x:c r="M40" s="18" t="n">
        <x:v>100</x:v>
      </x:c>
      <x:c r="N40" s="23" t="b">
        <x:v>0</x:v>
      </x:c>
    </x:row>
    <x:row r="41">
      <x:c r="A41" s="20" t="str">
        <x:v>ROUTE-MAP-DIMENSIO-R83-720</x:v>
      </x:c>
      <x:c r="B41" s="18" t="str">
        <x:v>seedance-2.0-mini</x:v>
      </x:c>
      <x:c r="C41" s="18" t="str">
        <x:v>jimeng-video-seedance-2.0-mini</x:v>
      </x:c>
      <x:c r="D41" s="18" t="str">
        <x:v>merge</x:v>
      </x:c>
      <x:c r="E41" s="18" t="str">
        <x:v>channel-dimensio</x:v>
      </x:c>
      <x:c r="F41" s="18" t="str">
        <x:v>jimeng-video-seedance-2.0-mini</x:v>
      </x:c>
      <x:c r="G41" s="18" t="str">
        <x:v>SKU-SD20-MINI-720</x:v>
      </x:c>
      <x:c r="H41" s="18" t="str">
        <x:v>720p</x:v>
      </x:c>
      <x:c r="I41" s="18" t="str">
        <x:v>720p</x:v>
      </x:c>
      <x:c r="J41" s="18" t="n">
        <x:v>4</x:v>
      </x:c>
      <x:c r="K41" s="18" t="n">
        <x:v>15</x:v>
      </x:c>
      <x:c r="L41" s="18"/>
      <x:c r="M41" s="18" t="n">
        <x:v>100</x:v>
      </x:c>
      <x:c r="N41" s="23" t="b">
        <x:v>0</x:v>
      </x:c>
    </x:row>
    <x:row r="42">
      <x:c r="A42" s="20" t="str">
        <x:v>ROUTE-MAP-DIMENSIO-R84-720</x:v>
      </x:c>
      <x:c r="B42" s="18" t="str">
        <x:v>seedance-2.0-fast</x:v>
      </x:c>
      <x:c r="C42" s="18" t="str">
        <x:v>jimeng-video-seedance-2.0-fast-vip</x:v>
      </x:c>
      <x:c r="D42" s="18" t="str">
        <x:v>merge</x:v>
      </x:c>
      <x:c r="E42" s="18" t="str">
        <x:v>channel-dimensio</x:v>
      </x:c>
      <x:c r="F42" s="18" t="str">
        <x:v>jimeng-video-seedance-2.0-fast-vip</x:v>
      </x:c>
      <x:c r="G42" s="18" t="str">
        <x:v>SKU-SD20-FAST-720</x:v>
      </x:c>
      <x:c r="H42" s="18" t="str">
        <x:v>720p</x:v>
      </x:c>
      <x:c r="I42" s="18" t="str">
        <x:v>720p</x:v>
      </x:c>
      <x:c r="J42" s="18" t="n">
        <x:v>4</x:v>
      </x:c>
      <x:c r="K42" s="18" t="n">
        <x:v>15</x:v>
      </x:c>
      <x:c r="L42" s="18"/>
      <x:c r="M42" s="18" t="n">
        <x:v>100</x:v>
      </x:c>
      <x:c r="N42" s="23" t="b">
        <x:v>0</x:v>
      </x:c>
    </x:row>
    <x:row r="43">
      <x:c r="A43" s="20" t="str">
        <x:v>ROUTE-MAP-DIMENSIO-R85-720</x:v>
      </x:c>
      <x:c r="B43" s="18" t="str">
        <x:v>seedance-2.0</x:v>
      </x:c>
      <x:c r="C43" s="18" t="str">
        <x:v>jimeng-video-seedance-2.0-vip</x:v>
      </x:c>
      <x:c r="D43" s="18" t="str">
        <x:v>merge</x:v>
      </x:c>
      <x:c r="E43" s="18" t="str">
        <x:v>channel-dimensio</x:v>
      </x:c>
      <x:c r="F43" s="18" t="str">
        <x:v>jimeng-video-seedance-2.0-vip</x:v>
      </x:c>
      <x:c r="G43" s="18" t="str">
        <x:v>SKU-SD20-STD-720</x:v>
      </x:c>
      <x:c r="H43" s="18" t="str">
        <x:v>720p</x:v>
      </x:c>
      <x:c r="I43" s="18" t="str">
        <x:v>720p</x:v>
      </x:c>
      <x:c r="J43" s="18" t="n">
        <x:v>4</x:v>
      </x:c>
      <x:c r="K43" s="18" t="n">
        <x:v>15</x:v>
      </x:c>
      <x:c r="L43" s="18"/>
      <x:c r="M43" s="18" t="n">
        <x:v>100</x:v>
      </x:c>
      <x:c r="N43" s="23" t="b">
        <x:v>0</x:v>
      </x:c>
    </x:row>
    <x:row r="44">
      <x:c r="A44" s="20" t="str">
        <x:v>ROUTE-MAP-DIMENSIO-R86-1080</x:v>
      </x:c>
      <x:c r="B44" s="18" t="str">
        <x:v>seedance-2.0</x:v>
      </x:c>
      <x:c r="C44" s="18" t="str">
        <x:v>jimeng-video-seedance-2.0-vip</x:v>
      </x:c>
      <x:c r="D44" s="18" t="str">
        <x:v>merge</x:v>
      </x:c>
      <x:c r="E44" s="18" t="str">
        <x:v>channel-dimensio</x:v>
      </x:c>
      <x:c r="F44" s="18" t="str">
        <x:v>jimeng-video-seedance-2.0-vip</x:v>
      </x:c>
      <x:c r="G44" s="18" t="str">
        <x:v>SKU-SD20-STD-1080</x:v>
      </x:c>
      <x:c r="H44" s="18" t="str">
        <x:v>1080p</x:v>
      </x:c>
      <x:c r="I44" s="18" t="str">
        <x:v>1080p</x:v>
      </x:c>
      <x:c r="J44" s="18" t="n">
        <x:v>4</x:v>
      </x:c>
      <x:c r="K44" s="18" t="n">
        <x:v>15</x:v>
      </x:c>
      <x:c r="L44" s="18"/>
      <x:c r="M44" s="18" t="n">
        <x:v>100</x:v>
      </x:c>
      <x:c r="N44" s="23" t="b">
        <x:v>0</x:v>
      </x:c>
    </x:row>
    <x:row r="45">
      <x:c r="A45" s="20" t="str">
        <x:v>ROUTE-MAP-DIMENSIO-R87-480</x:v>
      </x:c>
      <x:c r="B45" s="18" t="str">
        <x:v>seedance-2.0</x:v>
      </x:c>
      <x:c r="C45" s="18" t="str">
        <x:v>dimensio-seedance-2.0</x:v>
      </x:c>
      <x:c r="D45" s="18" t="str">
        <x:v>merge</x:v>
      </x:c>
      <x:c r="E45" s="18" t="str">
        <x:v>channel-dimensio</x:v>
      </x:c>
      <x:c r="F45" s="18" t="str">
        <x:v>dimensio-seedance-2.0</x:v>
      </x:c>
      <x:c r="G45" s="18" t="str">
        <x:v>SKU-SD20-STD-480</x:v>
      </x:c>
      <x:c r="H45" s="18" t="str">
        <x:v>480p</x:v>
      </x:c>
      <x:c r="I45" s="18" t="str">
        <x:v>480p</x:v>
      </x:c>
      <x:c r="J45" s="18" t="n">
        <x:v>4</x:v>
      </x:c>
      <x:c r="K45" s="18" t="n">
        <x:v>15</x:v>
      </x:c>
      <x:c r="L45" s="18"/>
      <x:c r="M45" s="18" t="n">
        <x:v>100</x:v>
      </x:c>
      <x:c r="N45" s="23" t="b">
        <x:v>0</x:v>
      </x:c>
    </x:row>
    <x:row r="46">
      <x:c r="A46" s="20" t="str">
        <x:v>ROUTE-MAP-DIMENSIO-R88-720</x:v>
      </x:c>
      <x:c r="B46" s="18" t="str">
        <x:v>seedance-2.0</x:v>
      </x:c>
      <x:c r="C46" s="18" t="str">
        <x:v>dimensio-seedance-2.0</x:v>
      </x:c>
      <x:c r="D46" s="18" t="str">
        <x:v>merge</x:v>
      </x:c>
      <x:c r="E46" s="18" t="str">
        <x:v>channel-dimensio</x:v>
      </x:c>
      <x:c r="F46" s="18" t="str">
        <x:v>dimensio-seedance-2.0</x:v>
      </x:c>
      <x:c r="G46" s="18" t="str">
        <x:v>SKU-SD20-STD-720</x:v>
      </x:c>
      <x:c r="H46" s="18" t="str">
        <x:v>720p</x:v>
      </x:c>
      <x:c r="I46" s="18" t="str">
        <x:v>720p</x:v>
      </x:c>
      <x:c r="J46" s="18" t="n">
        <x:v>4</x:v>
      </x:c>
      <x:c r="K46" s="18" t="n">
        <x:v>15</x:v>
      </x:c>
      <x:c r="L46" s="18"/>
      <x:c r="M46" s="18" t="n">
        <x:v>100</x:v>
      </x:c>
      <x:c r="N46" s="23" t="b">
        <x:v>0</x:v>
      </x:c>
    </x:row>
    <x:row r="47">
      <x:c r="A47" s="20" t="str">
        <x:v>ROUTE-MAP-DIMENSIO-R89-1080</x:v>
      </x:c>
      <x:c r="B47" s="18" t="str">
        <x:v>seedance-2.0</x:v>
      </x:c>
      <x:c r="C47" s="18" t="str">
        <x:v>dimensio-seedance-2.0</x:v>
      </x:c>
      <x:c r="D47" s="18" t="str">
        <x:v>merge</x:v>
      </x:c>
      <x:c r="E47" s="18" t="str">
        <x:v>channel-dimensio</x:v>
      </x:c>
      <x:c r="F47" s="18" t="str">
        <x:v>dimensio-seedance-2.0</x:v>
      </x:c>
      <x:c r="G47" s="18" t="str">
        <x:v>SKU-SD20-STD-1080</x:v>
      </x:c>
      <x:c r="H47" s="18" t="str">
        <x:v>1080p</x:v>
      </x:c>
      <x:c r="I47" s="18" t="str">
        <x:v>1080p</x:v>
      </x:c>
      <x:c r="J47" s="18" t="n">
        <x:v>4</x:v>
      </x:c>
      <x:c r="K47" s="18" t="n">
        <x:v>15</x:v>
      </x:c>
      <x:c r="L47" s="18"/>
      <x:c r="M47" s="18" t="n">
        <x:v>100</x:v>
      </x:c>
      <x:c r="N47" s="23" t="b">
        <x:v>0</x:v>
      </x:c>
    </x:row>
    <x:row r="48">
      <x:c r="A48" s="20" t="str">
        <x:v>ROUTE-MAP-DIMENSIO-R90-4K</x:v>
      </x:c>
      <x:c r="B48" s="18" t="str">
        <x:v>seedance-2.0</x:v>
      </x:c>
      <x:c r="C48" s="18" t="str">
        <x:v>dimensio-seedance-2.0</x:v>
      </x:c>
      <x:c r="D48" s="18" t="str">
        <x:v>merge</x:v>
      </x:c>
      <x:c r="E48" s="18" t="str">
        <x:v>channel-dimensio</x:v>
      </x:c>
      <x:c r="F48" s="18" t="str">
        <x:v>dimensio-seedance-2.0</x:v>
      </x:c>
      <x:c r="G48" s="18" t="str">
        <x:v>SKU-SD20-STD-4K</x:v>
      </x:c>
      <x:c r="H48" s="18" t="str">
        <x:v>4k</x:v>
      </x:c>
      <x:c r="I48" s="18" t="str">
        <x:v>4k</x:v>
      </x:c>
      <x:c r="J48" s="18" t="n">
        <x:v>4</x:v>
      </x:c>
      <x:c r="K48" s="18" t="n">
        <x:v>15</x:v>
      </x:c>
      <x:c r="L48" s="18"/>
      <x:c r="M48" s="18" t="n">
        <x:v>100</x:v>
      </x:c>
      <x:c r="N48" s="23" t="b">
        <x:v>0</x:v>
      </x:c>
    </x:row>
    <x:row r="49">
      <x:c r="A49" s="20" t="str">
        <x:v>ROUTE-MAP-DIMENSIO-R91-480</x:v>
      </x:c>
      <x:c r="B49" s="18" t="str">
        <x:v>seedance-2.0-fast</x:v>
      </x:c>
      <x:c r="C49" s="18" t="str">
        <x:v>dimensio-seedance-2.0-fast</x:v>
      </x:c>
      <x:c r="D49" s="18" t="str">
        <x:v>merge</x:v>
      </x:c>
      <x:c r="E49" s="18" t="str">
        <x:v>channel-dimensio</x:v>
      </x:c>
      <x:c r="F49" s="18" t="str">
        <x:v>dimensio-seedance-2.0-fast</x:v>
      </x:c>
      <x:c r="G49" s="18" t="str">
        <x:v>SKU-SD20-FAST-480</x:v>
      </x:c>
      <x:c r="H49" s="18" t="str">
        <x:v>480p</x:v>
      </x:c>
      <x:c r="I49" s="18" t="str">
        <x:v>480p</x:v>
      </x:c>
      <x:c r="J49" s="18" t="n">
        <x:v>4</x:v>
      </x:c>
      <x:c r="K49" s="18" t="n">
        <x:v>15</x:v>
      </x:c>
      <x:c r="L49" s="18"/>
      <x:c r="M49" s="18" t="n">
        <x:v>100</x:v>
      </x:c>
      <x:c r="N49" s="23" t="b">
        <x:v>0</x:v>
      </x:c>
    </x:row>
    <x:row r="50">
      <x:c r="A50" s="20" t="str">
        <x:v>ROUTE-MAP-DIMENSIO-R92-720</x:v>
      </x:c>
      <x:c r="B50" s="18" t="str">
        <x:v>seedance-2.0-fast</x:v>
      </x:c>
      <x:c r="C50" s="18" t="str">
        <x:v>dimensio-seedance-2.0-fast</x:v>
      </x:c>
      <x:c r="D50" s="18" t="str">
        <x:v>merge</x:v>
      </x:c>
      <x:c r="E50" s="18" t="str">
        <x:v>channel-dimensio</x:v>
      </x:c>
      <x:c r="F50" s="18" t="str">
        <x:v>dimensio-seedance-2.0-fast</x:v>
      </x:c>
      <x:c r="G50" s="18" t="str">
        <x:v>SKU-SD20-FAST-720</x:v>
      </x:c>
      <x:c r="H50" s="18" t="str">
        <x:v>720p</x:v>
      </x:c>
      <x:c r="I50" s="18" t="str">
        <x:v>720p</x:v>
      </x:c>
      <x:c r="J50" s="18" t="n">
        <x:v>4</x:v>
      </x:c>
      <x:c r="K50" s="18" t="n">
        <x:v>15</x:v>
      </x:c>
      <x:c r="L50" s="18"/>
      <x:c r="M50" s="18" t="n">
        <x:v>100</x:v>
      </x:c>
      <x:c r="N50" s="23" t="b">
        <x:v>0</x:v>
      </x:c>
    </x:row>
    <x:row r="51">
      <x:c r="A51" s="20" t="str">
        <x:v>ROUTE-MAP-LUCEN-R47-720</x:v>
      </x:c>
      <x:c r="B51" s="18" t="str">
        <x:v>seedance-2.0</x:v>
      </x:c>
      <x:c r="C51" s="18" t="str">
        <x:v>seedance-720p-5s</x:v>
      </x:c>
      <x:c r="D51" s="18" t="str">
        <x:v>merge</x:v>
      </x:c>
      <x:c r="E51" s="18" t="str">
        <x:v>channel-lucen</x:v>
      </x:c>
      <x:c r="F51" s="18" t="str">
        <x:v>seedance-720p-5s</x:v>
      </x:c>
      <x:c r="G51" s="18" t="str">
        <x:v>SKU-SD20-STD-720</x:v>
      </x:c>
      <x:c r="H51" s="18" t="str">
        <x:v>720p</x:v>
      </x:c>
      <x:c r="I51" s="18" t="str">
        <x:v>720p</x:v>
      </x:c>
      <x:c r="J51" s="18" t="n">
        <x:v>4</x:v>
      </x:c>
      <x:c r="K51" s="18" t="n">
        <x:v>15</x:v>
      </x:c>
      <x:c r="L51" s="18"/>
      <x:c r="M51" s="18" t="n">
        <x:v>100</x:v>
      </x:c>
      <x:c r="N51" s="23" t="b">
        <x:v>0</x:v>
      </x:c>
    </x:row>
    <x:row r="52">
      <x:c r="A52" s="20" t="str">
        <x:v>ROUTE-MAP-LUCEN-R48-720</x:v>
      </x:c>
      <x:c r="B52" s="18" t="str">
        <x:v>seedance-2.0</x:v>
      </x:c>
      <x:c r="C52" s="18" t="str">
        <x:v>seedance-720p-10s</x:v>
      </x:c>
      <x:c r="D52" s="18" t="str">
        <x:v>merge</x:v>
      </x:c>
      <x:c r="E52" s="18" t="str">
        <x:v>channel-lucen</x:v>
      </x:c>
      <x:c r="F52" s="18" t="str">
        <x:v>seedance-720p-10s</x:v>
      </x:c>
      <x:c r="G52" s="18" t="str">
        <x:v>SKU-SD20-STD-720</x:v>
      </x:c>
      <x:c r="H52" s="18" t="str">
        <x:v>720p</x:v>
      </x:c>
      <x:c r="I52" s="18" t="str">
        <x:v>720p</x:v>
      </x:c>
      <x:c r="J52" s="18" t="n">
        <x:v>4</x:v>
      </x:c>
      <x:c r="K52" s="18" t="n">
        <x:v>15</x:v>
      </x:c>
      <x:c r="L52" s="18"/>
      <x:c r="M52" s="18" t="n">
        <x:v>100</x:v>
      </x:c>
      <x:c r="N52" s="23" t="b">
        <x:v>0</x:v>
      </x:c>
    </x:row>
    <x:row r="53">
      <x:c r="A53" s="20" t="str">
        <x:v>ROUTE-MAP-LUCEN-R49-720</x:v>
      </x:c>
      <x:c r="B53" s="18" t="str">
        <x:v>seedance-2.0</x:v>
      </x:c>
      <x:c r="C53" s="18" t="str">
        <x:v>seedance-720p-15s</x:v>
      </x:c>
      <x:c r="D53" s="18" t="str">
        <x:v>merge</x:v>
      </x:c>
      <x:c r="E53" s="18" t="str">
        <x:v>channel-lucen</x:v>
      </x:c>
      <x:c r="F53" s="18" t="str">
        <x:v>seedance-720p-15s</x:v>
      </x:c>
      <x:c r="G53" s="18" t="str">
        <x:v>SKU-SD20-STD-720</x:v>
      </x:c>
      <x:c r="H53" s="18" t="str">
        <x:v>720p</x:v>
      </x:c>
      <x:c r="I53" s="18" t="str">
        <x:v>720p</x:v>
      </x:c>
      <x:c r="J53" s="18" t="n">
        <x:v>4</x:v>
      </x:c>
      <x:c r="K53" s="18" t="n">
        <x:v>15</x:v>
      </x:c>
      <x:c r="L53" s="18"/>
      <x:c r="M53" s="18" t="n">
        <x:v>100</x:v>
      </x:c>
      <x:c r="N53" s="23" t="b">
        <x:v>0</x:v>
      </x:c>
    </x:row>
    <x:row r="54">
      <x:c r="A54" s="20" t="str">
        <x:v>ROUTE-MAP-LUCEN-R50-480</x:v>
      </x:c>
      <x:c r="B54" s="18" t="str">
        <x:v>seedance-2.0</x:v>
      </x:c>
      <x:c r="C54" s="18" t="str">
        <x:v>seedance-480p-5s</x:v>
      </x:c>
      <x:c r="D54" s="18" t="str">
        <x:v>merge</x:v>
      </x:c>
      <x:c r="E54" s="18" t="str">
        <x:v>channel-lucen</x:v>
      </x:c>
      <x:c r="F54" s="18" t="str">
        <x:v>seedance-480p-5s</x:v>
      </x:c>
      <x:c r="G54" s="18" t="str">
        <x:v>SKU-SD20-STD-480</x:v>
      </x:c>
      <x:c r="H54" s="18" t="str">
        <x:v>480p</x:v>
      </x:c>
      <x:c r="I54" s="18" t="str">
        <x:v>480p</x:v>
      </x:c>
      <x:c r="J54" s="18" t="n">
        <x:v>4</x:v>
      </x:c>
      <x:c r="K54" s="18" t="n">
        <x:v>15</x:v>
      </x:c>
      <x:c r="L54" s="18"/>
      <x:c r="M54" s="18" t="n">
        <x:v>100</x:v>
      </x:c>
      <x:c r="N54" s="23" t="b">
        <x:v>0</x:v>
      </x:c>
    </x:row>
    <x:row r="55">
      <x:c r="A55" s="20" t="str">
        <x:v>ROUTE-MAP-LUCEN-R51-480</x:v>
      </x:c>
      <x:c r="B55" s="18" t="str">
        <x:v>seedance-2.0</x:v>
      </x:c>
      <x:c r="C55" s="18" t="str">
        <x:v>seedance-480p-10s</x:v>
      </x:c>
      <x:c r="D55" s="18" t="str">
        <x:v>merge</x:v>
      </x:c>
      <x:c r="E55" s="18" t="str">
        <x:v>channel-lucen</x:v>
      </x:c>
      <x:c r="F55" s="18" t="str">
        <x:v>seedance-480p-10s</x:v>
      </x:c>
      <x:c r="G55" s="18" t="str">
        <x:v>SKU-SD20-STD-480</x:v>
      </x:c>
      <x:c r="H55" s="18" t="str">
        <x:v>480p</x:v>
      </x:c>
      <x:c r="I55" s="18" t="str">
        <x:v>480p</x:v>
      </x:c>
      <x:c r="J55" s="18" t="n">
        <x:v>4</x:v>
      </x:c>
      <x:c r="K55" s="18" t="n">
        <x:v>15</x:v>
      </x:c>
      <x:c r="L55" s="18"/>
      <x:c r="M55" s="18" t="n">
        <x:v>100</x:v>
      </x:c>
      <x:c r="N55" s="23" t="b">
        <x:v>0</x:v>
      </x:c>
    </x:row>
    <x:row r="56">
      <x:c r="A56" s="20" t="str">
        <x:v>ROUTE-MAP-LUCEN-R52-480</x:v>
      </x:c>
      <x:c r="B56" s="18" t="str">
        <x:v>seedance-2.0</x:v>
      </x:c>
      <x:c r="C56" s="18" t="str">
        <x:v>seedance-480p-15s</x:v>
      </x:c>
      <x:c r="D56" s="18" t="str">
        <x:v>merge</x:v>
      </x:c>
      <x:c r="E56" s="18" t="str">
        <x:v>channel-lucen</x:v>
      </x:c>
      <x:c r="F56" s="18" t="str">
        <x:v>seedance-480p-15s</x:v>
      </x:c>
      <x:c r="G56" s="18" t="str">
        <x:v>SKU-SD20-STD-480</x:v>
      </x:c>
      <x:c r="H56" s="18" t="str">
        <x:v>480p</x:v>
      </x:c>
      <x:c r="I56" s="18" t="str">
        <x:v>480p</x:v>
      </x:c>
      <x:c r="J56" s="18" t="n">
        <x:v>4</x:v>
      </x:c>
      <x:c r="K56" s="18" t="n">
        <x:v>15</x:v>
      </x:c>
      <x:c r="L56" s="18"/>
      <x:c r="M56" s="18" t="n">
        <x:v>100</x:v>
      </x:c>
      <x:c r="N56" s="23" t="b">
        <x:v>0</x:v>
      </x:c>
    </x:row>
    <x:row r="57">
      <x:c r="A57" s="20" t="str">
        <x:v>ROUTE-MAP-LUCEN-R53-1080</x:v>
      </x:c>
      <x:c r="B57" s="18" t="str">
        <x:v>seedance-2.0</x:v>
      </x:c>
      <x:c r="C57" s="18" t="str">
        <x:v>seedance-1080p-5s</x:v>
      </x:c>
      <x:c r="D57" s="18" t="str">
        <x:v>merge</x:v>
      </x:c>
      <x:c r="E57" s="18" t="str">
        <x:v>channel-lucen</x:v>
      </x:c>
      <x:c r="F57" s="18" t="str">
        <x:v>seedance-1080p-5s</x:v>
      </x:c>
      <x:c r="G57" s="18" t="str">
        <x:v>SKU-SD20-STD-1080</x:v>
      </x:c>
      <x:c r="H57" s="18" t="str">
        <x:v>1080p</x:v>
      </x:c>
      <x:c r="I57" s="18" t="str">
        <x:v>1080p</x:v>
      </x:c>
      <x:c r="J57" s="18" t="n">
        <x:v>4</x:v>
      </x:c>
      <x:c r="K57" s="18" t="n">
        <x:v>15</x:v>
      </x:c>
      <x:c r="L57" s="18"/>
      <x:c r="M57" s="18" t="n">
        <x:v>100</x:v>
      </x:c>
      <x:c r="N57" s="23" t="b">
        <x:v>0</x:v>
      </x:c>
    </x:row>
    <x:row r="58">
      <x:c r="A58" s="20" t="str">
        <x:v>ROUTE-MAP-LUCEN-R54-1080</x:v>
      </x:c>
      <x:c r="B58" s="18" t="str">
        <x:v>seedance-2.0</x:v>
      </x:c>
      <x:c r="C58" s="18" t="str">
        <x:v>seedance-1080p-10s</x:v>
      </x:c>
      <x:c r="D58" s="18" t="str">
        <x:v>merge</x:v>
      </x:c>
      <x:c r="E58" s="18" t="str">
        <x:v>channel-lucen</x:v>
      </x:c>
      <x:c r="F58" s="18" t="str">
        <x:v>seedance-1080p-10s</x:v>
      </x:c>
      <x:c r="G58" s="18" t="str">
        <x:v>SKU-SD20-STD-1080</x:v>
      </x:c>
      <x:c r="H58" s="18" t="str">
        <x:v>1080p</x:v>
      </x:c>
      <x:c r="I58" s="18" t="str">
        <x:v>1080p</x:v>
      </x:c>
      <x:c r="J58" s="18" t="n">
        <x:v>4</x:v>
      </x:c>
      <x:c r="K58" s="18" t="n">
        <x:v>15</x:v>
      </x:c>
      <x:c r="L58" s="18"/>
      <x:c r="M58" s="18" t="n">
        <x:v>100</x:v>
      </x:c>
      <x:c r="N58" s="23" t="b">
        <x:v>0</x:v>
      </x:c>
    </x:row>
    <x:row r="59">
      <x:c r="A59" s="20" t="str">
        <x:v>ROUTE-MAP-LUCEN-R55-1080</x:v>
      </x:c>
      <x:c r="B59" s="18" t="str">
        <x:v>seedance-2.0</x:v>
      </x:c>
      <x:c r="C59" s="18" t="str">
        <x:v>seedance-1080p-15s</x:v>
      </x:c>
      <x:c r="D59" s="18" t="str">
        <x:v>merge</x:v>
      </x:c>
      <x:c r="E59" s="18" t="str">
        <x:v>channel-lucen</x:v>
      </x:c>
      <x:c r="F59" s="18" t="str">
        <x:v>seedance-1080p-15s</x:v>
      </x:c>
      <x:c r="G59" s="18" t="str">
        <x:v>SKU-SD20-STD-1080</x:v>
      </x:c>
      <x:c r="H59" s="18" t="str">
        <x:v>1080p</x:v>
      </x:c>
      <x:c r="I59" s="18" t="str">
        <x:v>1080p</x:v>
      </x:c>
      <x:c r="J59" s="18" t="n">
        <x:v>4</x:v>
      </x:c>
      <x:c r="K59" s="18" t="n">
        <x:v>15</x:v>
      </x:c>
      <x:c r="L59" s="18"/>
      <x:c r="M59" s="18" t="n">
        <x:v>100</x:v>
      </x:c>
      <x:c r="N59" s="23" t="b">
        <x:v>0</x:v>
      </x:c>
    </x:row>
    <x:row r="60">
      <x:c r="A60" s="20" t="str">
        <x:v>ROUTE-MAP-LUCEN-R56-480</x:v>
      </x:c>
      <x:c r="B60" s="18" t="str">
        <x:v>seedance-2.0</x:v>
      </x:c>
      <x:c r="C60" s="18" t="str">
        <x:v>seedance-480p-token</x:v>
      </x:c>
      <x:c r="D60" s="18" t="str">
        <x:v>merge</x:v>
      </x:c>
      <x:c r="E60" s="18" t="str">
        <x:v>channel-lucen</x:v>
      </x:c>
      <x:c r="F60" s="18" t="str">
        <x:v>seedance-480p-token</x:v>
      </x:c>
      <x:c r="G60" s="18" t="str">
        <x:v>SKU-SD20-STD-480</x:v>
      </x:c>
      <x:c r="H60" s="18" t="str">
        <x:v>480p</x:v>
      </x:c>
      <x:c r="I60" s="18" t="str">
        <x:v>480p</x:v>
      </x:c>
      <x:c r="J60" s="18" t="n">
        <x:v>4</x:v>
      </x:c>
      <x:c r="K60" s="18" t="n">
        <x:v>15</x:v>
      </x:c>
      <x:c r="L60" s="18"/>
      <x:c r="M60" s="18" t="n">
        <x:v>100</x:v>
      </x:c>
      <x:c r="N60" s="23" t="b">
        <x:v>0</x:v>
      </x:c>
    </x:row>
    <x:row r="61">
      <x:c r="A61" s="20" t="str">
        <x:v>ROUTE-MAP-LUCEN-R57-720</x:v>
      </x:c>
      <x:c r="B61" s="18" t="str">
        <x:v>seedance-2.0</x:v>
      </x:c>
      <x:c r="C61" s="18" t="str">
        <x:v>seedance-720p-token</x:v>
      </x:c>
      <x:c r="D61" s="18" t="str">
        <x:v>merge</x:v>
      </x:c>
      <x:c r="E61" s="18" t="str">
        <x:v>channel-lucen</x:v>
      </x:c>
      <x:c r="F61" s="18" t="str">
        <x:v>seedance-720p-token</x:v>
      </x:c>
      <x:c r="G61" s="18" t="str">
        <x:v>SKU-SD20-STD-720</x:v>
      </x:c>
      <x:c r="H61" s="18" t="str">
        <x:v>720p</x:v>
      </x:c>
      <x:c r="I61" s="18" t="str">
        <x:v>720p</x:v>
      </x:c>
      <x:c r="J61" s="18" t="n">
        <x:v>4</x:v>
      </x:c>
      <x:c r="K61" s="18" t="n">
        <x:v>15</x:v>
      </x:c>
      <x:c r="L61" s="18"/>
      <x:c r="M61" s="18" t="n">
        <x:v>100</x:v>
      </x:c>
      <x:c r="N61" s="23" t="b">
        <x:v>0</x:v>
      </x:c>
    </x:row>
    <x:row r="62">
      <x:c r="A62" s="20" t="str">
        <x:v>ROUTE-MAP-LUCEN-R58-1080</x:v>
      </x:c>
      <x:c r="B62" s="18" t="str">
        <x:v>seedance-2.0</x:v>
      </x:c>
      <x:c r="C62" s="18" t="str">
        <x:v>seedance-1080p-token</x:v>
      </x:c>
      <x:c r="D62" s="18" t="str">
        <x:v>merge</x:v>
      </x:c>
      <x:c r="E62" s="18" t="str">
        <x:v>channel-lucen</x:v>
      </x:c>
      <x:c r="F62" s="18" t="str">
        <x:v>seedance-1080p-token</x:v>
      </x:c>
      <x:c r="G62" s="18" t="str">
        <x:v>SKU-SD20-STD-1080</x:v>
      </x:c>
      <x:c r="H62" s="18" t="str">
        <x:v>1080p</x:v>
      </x:c>
      <x:c r="I62" s="18" t="str">
        <x:v>1080p</x:v>
      </x:c>
      <x:c r="J62" s="18" t="n">
        <x:v>4</x:v>
      </x:c>
      <x:c r="K62" s="18" t="n">
        <x:v>15</x:v>
      </x:c>
      <x:c r="L62" s="18"/>
      <x:c r="M62" s="18" t="n">
        <x:v>100</x:v>
      </x:c>
      <x:c r="N62" s="23" t="b">
        <x:v>0</x:v>
      </x:c>
    </x:row>
    <x:row r="63">
      <x:c r="A63" s="20" t="str">
        <x:v>ROUTE-MAP-MEGABYAI-R102-480</x:v>
      </x:c>
      <x:c r="B63" s="18" t="str">
        <x:v>seedance-2.0-fast</x:v>
      </x:c>
      <x:c r="C63" s="18" t="str">
        <x:v>videos-fast</x:v>
      </x:c>
      <x:c r="D63" s="18" t="str">
        <x:v>merge</x:v>
      </x:c>
      <x:c r="E63" s="18" t="str">
        <x:v>megabyai-fast-real-person</x:v>
      </x:c>
      <x:c r="F63" s="18" t="str">
        <x:v>videos-fast</x:v>
      </x:c>
      <x:c r="G63" s="18" t="str">
        <x:v>SKU-SD20-FAST-480</x:v>
      </x:c>
      <x:c r="H63" s="18" t="str">
        <x:v>480p</x:v>
      </x:c>
      <x:c r="I63" s="18" t="str">
        <x:v>480p</x:v>
      </x:c>
      <x:c r="J63" s="18" t="n">
        <x:v>4</x:v>
      </x:c>
      <x:c r="K63" s="18" t="n">
        <x:v>15</x:v>
      </x:c>
      <x:c r="L63" s="23" t="b">
        <x:v>1</x:v>
      </x:c>
      <x:c r="M63" s="18" t="n">
        <x:v>100</x:v>
      </x:c>
      <x:c r="N63" s="23" t="b">
        <x:v>0</x:v>
      </x:c>
    </x:row>
    <x:row r="64">
      <x:c r="A64" s="20" t="str">
        <x:v>ROUTE-MAP-MEGABYAI-R103-720</x:v>
      </x:c>
      <x:c r="B64" s="18" t="str">
        <x:v>seedance-2.0-fast</x:v>
      </x:c>
      <x:c r="C64" s="18" t="str">
        <x:v>videos-fast</x:v>
      </x:c>
      <x:c r="D64" s="18" t="str">
        <x:v>merge</x:v>
      </x:c>
      <x:c r="E64" s="18" t="str">
        <x:v>megabyai-fast-real-person</x:v>
      </x:c>
      <x:c r="F64" s="18" t="str">
        <x:v>videos-fast</x:v>
      </x:c>
      <x:c r="G64" s="18" t="str">
        <x:v>SKU-SD20-FAST-720</x:v>
      </x:c>
      <x:c r="H64" s="18" t="str">
        <x:v>720p</x:v>
      </x:c>
      <x:c r="I64" s="18" t="str">
        <x:v>720p</x:v>
      </x:c>
      <x:c r="J64" s="18" t="n">
        <x:v>4</x:v>
      </x:c>
      <x:c r="K64" s="18" t="n">
        <x:v>15</x:v>
      </x:c>
      <x:c r="L64" s="23" t="b">
        <x:v>1</x:v>
      </x:c>
      <x:c r="M64" s="18" t="n">
        <x:v>100</x:v>
      </x:c>
      <x:c r="N64" s="23" t="b">
        <x:v>0</x:v>
      </x:c>
    </x:row>
    <x:row r="65">
      <x:c r="A65" s="20" t="str">
        <x:v>ROUTE-MAP-MEGABYAI-R104-480</x:v>
      </x:c>
      <x:c r="B65" s="18" t="str">
        <x:v>seedance-2.0-fast</x:v>
      </x:c>
      <x:c r="C65" s="18" t="str">
        <x:v>videos-fast</x:v>
      </x:c>
      <x:c r="D65" s="18" t="str">
        <x:v>merge</x:v>
      </x:c>
      <x:c r="E65" s="18" t="str">
        <x:v>megabyai-fast-no-real-person</x:v>
      </x:c>
      <x:c r="F65" s="18" t="str">
        <x:v>videos-fast</x:v>
      </x:c>
      <x:c r="G65" s="18" t="str">
        <x:v>SKU-SD20-FAST-480</x:v>
      </x:c>
      <x:c r="H65" s="18" t="str">
        <x:v>480p</x:v>
      </x:c>
      <x:c r="I65" s="18" t="str">
        <x:v>480p</x:v>
      </x:c>
      <x:c r="J65" s="18" t="n">
        <x:v>4</x:v>
      </x:c>
      <x:c r="K65" s="18" t="n">
        <x:v>15</x:v>
      </x:c>
      <x:c r="L65" s="23" t="b">
        <x:v>0</x:v>
      </x:c>
      <x:c r="M65" s="18" t="n">
        <x:v>100</x:v>
      </x:c>
      <x:c r="N65" s="23" t="b">
        <x:v>0</x:v>
      </x:c>
    </x:row>
    <x:row r="66">
      <x:c r="A66" s="20" t="str">
        <x:v>ROUTE-MAP-MEGABYAI-R105-720</x:v>
      </x:c>
      <x:c r="B66" s="18" t="str">
        <x:v>seedance-2.0-fast</x:v>
      </x:c>
      <x:c r="C66" s="18" t="str">
        <x:v>videos-fast</x:v>
      </x:c>
      <x:c r="D66" s="18" t="str">
        <x:v>merge</x:v>
      </x:c>
      <x:c r="E66" s="18" t="str">
        <x:v>megabyai-fast-no-real-person</x:v>
      </x:c>
      <x:c r="F66" s="18" t="str">
        <x:v>videos-fast</x:v>
      </x:c>
      <x:c r="G66" s="18" t="str">
        <x:v>SKU-SD20-FAST-720</x:v>
      </x:c>
      <x:c r="H66" s="18" t="str">
        <x:v>720p</x:v>
      </x:c>
      <x:c r="I66" s="18" t="str">
        <x:v>720p</x:v>
      </x:c>
      <x:c r="J66" s="18" t="n">
        <x:v>4</x:v>
      </x:c>
      <x:c r="K66" s="18" t="n">
        <x:v>15</x:v>
      </x:c>
      <x:c r="L66" s="23" t="b">
        <x:v>0</x:v>
      </x:c>
      <x:c r="M66" s="18" t="n">
        <x:v>100</x:v>
      </x:c>
      <x:c r="N66" s="23" t="b">
        <x:v>0</x:v>
      </x:c>
    </x:row>
    <x:row r="67">
      <x:c r="A67" s="20" t="str">
        <x:v>ROUTE-MAP-PAIPU-R14-720</x:v>
      </x:c>
      <x:c r="B67" s="18" t="str">
        <x:v>seedance-2.0</x:v>
      </x:c>
      <x:c r="C67" s="18" t="str">
        <x:v>lec-seedance-2-0</x:v>
      </x:c>
      <x:c r="D67" s="18" t="str">
        <x:v>merge</x:v>
      </x:c>
      <x:c r="E67" s="18" t="str">
        <x:v>channel-paipu</x:v>
      </x:c>
      <x:c r="F67" s="18" t="str">
        <x:v>lec-seedance-2-0</x:v>
      </x:c>
      <x:c r="G67" s="18" t="str">
        <x:v>SKU-SD20-STD-720</x:v>
      </x:c>
      <x:c r="H67" s="18" t="str">
        <x:v>720p</x:v>
      </x:c>
      <x:c r="I67" s="18" t="str">
        <x:v>720p</x:v>
      </x:c>
      <x:c r="J67" s="18" t="n">
        <x:v>4</x:v>
      </x:c>
      <x:c r="K67" s="18" t="n">
        <x:v>15</x:v>
      </x:c>
      <x:c r="L67" s="18"/>
      <x:c r="M67" s="18" t="n">
        <x:v>100</x:v>
      </x:c>
      <x:c r="N67" s="23" t="b">
        <x:v>0</x:v>
      </x:c>
    </x:row>
    <x:row r="68">
      <x:c r="A68" s="20" t="str">
        <x:v>ROUTE-MAP-PAIPU-R15-720</x:v>
      </x:c>
      <x:c r="B68" s="18" t="str">
        <x:v>seedance-2.0-fast</x:v>
      </x:c>
      <x:c r="C68" s="18" t="str">
        <x:v>lec-seedance-fast-ht-720p</x:v>
      </x:c>
      <x:c r="D68" s="18" t="str">
        <x:v>merge</x:v>
      </x:c>
      <x:c r="E68" s="18" t="str">
        <x:v>channel-paipu</x:v>
      </x:c>
      <x:c r="F68" s="18" t="str">
        <x:v>lec-seedance-fast-ht-720p</x:v>
      </x:c>
      <x:c r="G68" s="18" t="str">
        <x:v>SKU-SD20-FAST-720</x:v>
      </x:c>
      <x:c r="H68" s="18" t="str">
        <x:v>720p</x:v>
      </x:c>
      <x:c r="I68" s="18" t="str">
        <x:v>720p</x:v>
      </x:c>
      <x:c r="J68" s="18" t="n">
        <x:v>4</x:v>
      </x:c>
      <x:c r="K68" s="18" t="n">
        <x:v>15</x:v>
      </x:c>
      <x:c r="L68" s="18"/>
      <x:c r="M68" s="18" t="n">
        <x:v>100</x:v>
      </x:c>
      <x:c r="N68" s="23" t="b">
        <x:v>0</x:v>
      </x:c>
    </x:row>
    <x:row r="69">
      <x:c r="A69" s="20" t="str">
        <x:v>ROUTE-MAP-PAIPU-R16-720</x:v>
      </x:c>
      <x:c r="B69" s="18" t="str">
        <x:v>seedance-2.0-fast</x:v>
      </x:c>
      <x:c r="C69" s="18" t="str">
        <x:v>lec-feituo-seedance-2-0-hn-fast-720p</x:v>
      </x:c>
      <x:c r="D69" s="18" t="str">
        <x:v>merge</x:v>
      </x:c>
      <x:c r="E69" s="18" t="str">
        <x:v>channel-paipu</x:v>
      </x:c>
      <x:c r="F69" s="18" t="str">
        <x:v>lec-feituo-seedance-2-0-hn-fast-720p</x:v>
      </x:c>
      <x:c r="G69" s="18" t="str">
        <x:v>SKU-SD20-FAST-720</x:v>
      </x:c>
      <x:c r="H69" s="18" t="str">
        <x:v>720p</x:v>
      </x:c>
      <x:c r="I69" s="18" t="str">
        <x:v>720p</x:v>
      </x:c>
      <x:c r="J69" s="18" t="n">
        <x:v>4</x:v>
      </x:c>
      <x:c r="K69" s="18" t="n">
        <x:v>15</x:v>
      </x:c>
      <x:c r="L69" s="18"/>
      <x:c r="M69" s="18" t="n">
        <x:v>100</x:v>
      </x:c>
      <x:c r="N69" s="23" t="b">
        <x:v>0</x:v>
      </x:c>
    </x:row>
    <x:row r="70">
      <x:c r="A70" s="20" t="str">
        <x:v>ROUTE-MAP-PAIPU-R17-720</x:v>
      </x:c>
      <x:c r="B70" s="18" t="str">
        <x:v>seedance-2.0</x:v>
      </x:c>
      <x:c r="C70" s="18" t="str">
        <x:v>lec-feituo-seedance-2-0-hn-720p</x:v>
      </x:c>
      <x:c r="D70" s="18" t="str">
        <x:v>merge</x:v>
      </x:c>
      <x:c r="E70" s="18" t="str">
        <x:v>channel-paipu</x:v>
      </x:c>
      <x:c r="F70" s="18" t="str">
        <x:v>lec-feituo-seedance-2-0-hn-720p</x:v>
      </x:c>
      <x:c r="G70" s="18" t="str">
        <x:v>SKU-SD20-STD-720</x:v>
      </x:c>
      <x:c r="H70" s="18" t="str">
        <x:v>720p</x:v>
      </x:c>
      <x:c r="I70" s="18" t="str">
        <x:v>720p</x:v>
      </x:c>
      <x:c r="J70" s="18" t="n">
        <x:v>4</x:v>
      </x:c>
      <x:c r="K70" s="18" t="n">
        <x:v>15</x:v>
      </x:c>
      <x:c r="L70" s="18"/>
      <x:c r="M70" s="18" t="n">
        <x:v>100</x:v>
      </x:c>
      <x:c r="N70" s="23" t="b">
        <x:v>0</x:v>
      </x:c>
    </x:row>
    <x:row r="71">
      <x:c r="A71" s="20" t="str">
        <x:v>ROUTE-MAP-PAIPU-R18-720</x:v>
      </x:c>
      <x:c r="B71" s="18" t="str">
        <x:v>seedance-2.0</x:v>
      </x:c>
      <x:c r="C71" s="18" t="str">
        <x:v>lec-feituo-seedance-2-0-ld-cvk-2</x:v>
      </x:c>
      <x:c r="D71" s="18" t="str">
        <x:v>merge</x:v>
      </x:c>
      <x:c r="E71" s="18" t="str">
        <x:v>channel-paipu</x:v>
      </x:c>
      <x:c r="F71" s="18" t="str">
        <x:v>lec-feituo-seedance-2-0-ld-cvk-2</x:v>
      </x:c>
      <x:c r="G71" s="18" t="str">
        <x:v>SKU-SD20-STD-720</x:v>
      </x:c>
      <x:c r="H71" s="18" t="str">
        <x:v>720p</x:v>
      </x:c>
      <x:c r="I71" s="18" t="str">
        <x:v>720p</x:v>
      </x:c>
      <x:c r="J71" s="18" t="n">
        <x:v>4</x:v>
      </x:c>
      <x:c r="K71" s="18" t="n">
        <x:v>15</x:v>
      </x:c>
      <x:c r="L71" s="18"/>
      <x:c r="M71" s="18" t="n">
        <x:v>100</x:v>
      </x:c>
      <x:c r="N71" s="23" t="b">
        <x:v>0</x:v>
      </x:c>
    </x:row>
    <x:row r="72">
      <x:c r="A72" s="20" t="str">
        <x:v>ROUTE-MAP-PAIPU-R19-720</x:v>
      </x:c>
      <x:c r="B72" s="18" t="str">
        <x:v>seedance-2.0</x:v>
      </x:c>
      <x:c r="C72" s="18" t="str">
        <x:v>lec-feituo-seedance-2-0-limited-720p</x:v>
      </x:c>
      <x:c r="D72" s="18" t="str">
        <x:v>merge</x:v>
      </x:c>
      <x:c r="E72" s="18" t="str">
        <x:v>channel-paipu</x:v>
      </x:c>
      <x:c r="F72" s="18" t="str">
        <x:v>lec-feituo-seedance-2-0-limited-720p</x:v>
      </x:c>
      <x:c r="G72" s="18" t="str">
        <x:v>SKU-SD20-STD-720</x:v>
      </x:c>
      <x:c r="H72" s="18" t="str">
        <x:v>720p</x:v>
      </x:c>
      <x:c r="I72" s="18" t="str">
        <x:v>720p</x:v>
      </x:c>
      <x:c r="J72" s="18" t="n">
        <x:v>4</x:v>
      </x:c>
      <x:c r="K72" s="18" t="n">
        <x:v>15</x:v>
      </x:c>
      <x:c r="L72" s="18"/>
      <x:c r="M72" s="18" t="n">
        <x:v>100</x:v>
      </x:c>
      <x:c r="N72" s="23" t="b">
        <x:v>0</x:v>
      </x:c>
    </x:row>
    <x:row r="73">
      <x:c r="A73" s="20" t="str">
        <x:v>ROUTE-MAP-PAIPU-R20-720</x:v>
      </x:c>
      <x:c r="B73" s="18" t="str">
        <x:v>seedance-2.0</x:v>
      </x:c>
      <x:c r="C73" s="18" t="str">
        <x:v>lec-feituo-seedance-2-0-lg-720p</x:v>
      </x:c>
      <x:c r="D73" s="18" t="str">
        <x:v>merge</x:v>
      </x:c>
      <x:c r="E73" s="18" t="str">
        <x:v>channel-paipu</x:v>
      </x:c>
      <x:c r="F73" s="18" t="str">
        <x:v>lec-feituo-seedance-2-0-lg-720p</x:v>
      </x:c>
      <x:c r="G73" s="18" t="str">
        <x:v>SKU-SD20-STD-720</x:v>
      </x:c>
      <x:c r="H73" s="18" t="str">
        <x:v>720p</x:v>
      </x:c>
      <x:c r="I73" s="18" t="str">
        <x:v>720p</x:v>
      </x:c>
      <x:c r="J73" s="18" t="n">
        <x:v>4</x:v>
      </x:c>
      <x:c r="K73" s="18" t="n">
        <x:v>15</x:v>
      </x:c>
      <x:c r="L73" s="18"/>
      <x:c r="M73" s="18" t="n">
        <x:v>100</x:v>
      </x:c>
      <x:c r="N73" s="23" t="b">
        <x:v>0</x:v>
      </x:c>
    </x:row>
    <x:row r="74">
      <x:c r="A74" s="20" t="str">
        <x:v>ROUTE-MAP-PAIPU-R21-1080</x:v>
      </x:c>
      <x:c r="B74" s="18" t="str">
        <x:v>seedance-2.0-fast</x:v>
      </x:c>
      <x:c r="C74" s="18" t="str">
        <x:v>lec-feituo-seedance-2-0-my-fast-upscaled-1080p</x:v>
      </x:c>
      <x:c r="D74" s="18" t="str">
        <x:v>merge</x:v>
      </x:c>
      <x:c r="E74" s="18" t="str">
        <x:v>channel-paipu</x:v>
      </x:c>
      <x:c r="F74" s="18" t="str">
        <x:v>lec-feituo-seedance-2-0-my-fast-upscaled-1080p</x:v>
      </x:c>
      <x:c r="G74" s="18" t="str">
        <x:v>SKU-SD20-FAST-1080</x:v>
      </x:c>
      <x:c r="H74" s="18" t="str">
        <x:v>1080p</x:v>
      </x:c>
      <x:c r="I74" s="18" t="str">
        <x:v>1080p</x:v>
      </x:c>
      <x:c r="J74" s="18" t="n">
        <x:v>4</x:v>
      </x:c>
      <x:c r="K74" s="18" t="n">
        <x:v>15</x:v>
      </x:c>
      <x:c r="L74" s="18"/>
      <x:c r="M74" s="18" t="n">
        <x:v>100</x:v>
      </x:c>
      <x:c r="N74" s="23" t="b">
        <x:v>0</x:v>
      </x:c>
    </x:row>
    <x:row r="75">
      <x:c r="A75" s="20" t="str">
        <x:v>ROUTE-MAP-PAIPU-R22-1080</x:v>
      </x:c>
      <x:c r="B75" s="18" t="str">
        <x:v>seedance-2.0</x:v>
      </x:c>
      <x:c r="C75" s="18" t="str">
        <x:v>lec-feituo-seedance-2-0-my-upscaled-1080p</x:v>
      </x:c>
      <x:c r="D75" s="18" t="str">
        <x:v>merge</x:v>
      </x:c>
      <x:c r="E75" s="18" t="str">
        <x:v>channel-paipu</x:v>
      </x:c>
      <x:c r="F75" s="18" t="str">
        <x:v>lec-feituo-seedance-2-0-my-upscaled-1080p</x:v>
      </x:c>
      <x:c r="G75" s="18" t="str">
        <x:v>SKU-SD20-STD-1080</x:v>
      </x:c>
      <x:c r="H75" s="18" t="str">
        <x:v>1080p</x:v>
      </x:c>
      <x:c r="I75" s="18" t="str">
        <x:v>1080p</x:v>
      </x:c>
      <x:c r="J75" s="18" t="n">
        <x:v>4</x:v>
      </x:c>
      <x:c r="K75" s="18" t="n">
        <x:v>15</x:v>
      </x:c>
      <x:c r="L75" s="18"/>
      <x:c r="M75" s="18" t="n">
        <x:v>100</x:v>
      </x:c>
      <x:c r="N75" s="23" t="b">
        <x:v>0</x:v>
      </x:c>
    </x:row>
    <x:row r="76">
      <x:c r="A76" s="20" t="str">
        <x:v>ROUTE-MAP-PAIPU-R23-480</x:v>
      </x:c>
      <x:c r="B76" s="18" t="str">
        <x:v>seedance-2.0</x:v>
      </x:c>
      <x:c r="C76" s="18" t="str">
        <x:v>lec-seedance-videos-standard</x:v>
      </x:c>
      <x:c r="D76" s="18" t="str">
        <x:v>merge</x:v>
      </x:c>
      <x:c r="E76" s="18" t="str">
        <x:v>channel-paipu</x:v>
      </x:c>
      <x:c r="F76" s="18" t="str">
        <x:v>lec-seedance-videos-standard</x:v>
      </x:c>
      <x:c r="G76" s="18" t="str">
        <x:v>SKU-SD20-STD-480</x:v>
      </x:c>
      <x:c r="H76" s="18" t="str">
        <x:v>480p</x:v>
      </x:c>
      <x:c r="I76" s="18" t="str">
        <x:v>480p</x:v>
      </x:c>
      <x:c r="J76" s="18" t="n">
        <x:v>4</x:v>
      </x:c>
      <x:c r="K76" s="18" t="n">
        <x:v>15</x:v>
      </x:c>
      <x:c r="L76" s="18"/>
      <x:c r="M76" s="18" t="n">
        <x:v>100</x:v>
      </x:c>
      <x:c r="N76" s="23" t="b">
        <x:v>0</x:v>
      </x:c>
    </x:row>
    <x:row r="77">
      <x:c r="A77" s="20" t="str">
        <x:v>ROUTE-MAP-PAIPU-R24-720</x:v>
      </x:c>
      <x:c r="B77" s="18" t="str">
        <x:v>seedance-2.0</x:v>
      </x:c>
      <x:c r="C77" s="18" t="str">
        <x:v>lec-seedance-videos-standard</x:v>
      </x:c>
      <x:c r="D77" s="18" t="str">
        <x:v>merge</x:v>
      </x:c>
      <x:c r="E77" s="18" t="str">
        <x:v>channel-paipu</x:v>
      </x:c>
      <x:c r="F77" s="18" t="str">
        <x:v>lec-seedance-videos-standard</x:v>
      </x:c>
      <x:c r="G77" s="18" t="str">
        <x:v>SKU-SD20-STD-720</x:v>
      </x:c>
      <x:c r="H77" s="18" t="str">
        <x:v>720p</x:v>
      </x:c>
      <x:c r="I77" s="18" t="str">
        <x:v>720p</x:v>
      </x:c>
      <x:c r="J77" s="18" t="n">
        <x:v>4</x:v>
      </x:c>
      <x:c r="K77" s="18" t="n">
        <x:v>15</x:v>
      </x:c>
      <x:c r="L77" s="18"/>
      <x:c r="M77" s="18" t="n">
        <x:v>100</x:v>
      </x:c>
      <x:c r="N77" s="23" t="b">
        <x:v>0</x:v>
      </x:c>
    </x:row>
    <x:row r="78">
      <x:c r="A78" s="20" t="str">
        <x:v>ROUTE-MAP-PAIPU-R25-1080</x:v>
      </x:c>
      <x:c r="B78" s="18" t="str">
        <x:v>seedance-2.0</x:v>
      </x:c>
      <x:c r="C78" s="18" t="str">
        <x:v>lec-seedance-videos-standard</x:v>
      </x:c>
      <x:c r="D78" s="18" t="str">
        <x:v>merge</x:v>
      </x:c>
      <x:c r="E78" s="18" t="str">
        <x:v>channel-paipu</x:v>
      </x:c>
      <x:c r="F78" s="18" t="str">
        <x:v>lec-seedance-videos-standard</x:v>
      </x:c>
      <x:c r="G78" s="18" t="str">
        <x:v>SKU-SD20-STD-1080</x:v>
      </x:c>
      <x:c r="H78" s="18" t="str">
        <x:v>1080p</x:v>
      </x:c>
      <x:c r="I78" s="18" t="str">
        <x:v>1080p</x:v>
      </x:c>
      <x:c r="J78" s="18" t="n">
        <x:v>4</x:v>
      </x:c>
      <x:c r="K78" s="18" t="n">
        <x:v>15</x:v>
      </x:c>
      <x:c r="L78" s="18"/>
      <x:c r="M78" s="18" t="n">
        <x:v>100</x:v>
      </x:c>
      <x:c r="N78" s="23" t="b">
        <x:v>0</x:v>
      </x:c>
    </x:row>
    <x:row r="79">
      <x:c r="A79" s="20" t="str">
        <x:v>ROUTE-MAP-PAIPU-R26-4K</x:v>
      </x:c>
      <x:c r="B79" s="18" t="str">
        <x:v>seedance-2.0</x:v>
      </x:c>
      <x:c r="C79" s="18" t="str">
        <x:v>lec-seedance-videos-standard</x:v>
      </x:c>
      <x:c r="D79" s="18" t="str">
        <x:v>merge</x:v>
      </x:c>
      <x:c r="E79" s="18" t="str">
        <x:v>channel-paipu</x:v>
      </x:c>
      <x:c r="F79" s="18" t="str">
        <x:v>lec-seedance-videos-standard</x:v>
      </x:c>
      <x:c r="G79" s="18" t="str">
        <x:v>SKU-SD20-STD-4K</x:v>
      </x:c>
      <x:c r="H79" s="18" t="str">
        <x:v>4k</x:v>
      </x:c>
      <x:c r="I79" s="18" t="str">
        <x:v>4k</x:v>
      </x:c>
      <x:c r="J79" s="18" t="n">
        <x:v>4</x:v>
      </x:c>
      <x:c r="K79" s="18" t="n">
        <x:v>15</x:v>
      </x:c>
      <x:c r="L79" s="18"/>
      <x:c r="M79" s="18" t="n">
        <x:v>100</x:v>
      </x:c>
      <x:c r="N79" s="23" t="b">
        <x:v>0</x:v>
      </x:c>
    </x:row>
    <x:row r="80">
      <x:c r="A80" s="20" t="str">
        <x:v>ROUTE-MAP-PAIPU-R27-480</x:v>
      </x:c>
      <x:c r="B80" s="18" t="str">
        <x:v>seedance-2.0-fast</x:v>
      </x:c>
      <x:c r="C80" s="18" t="str">
        <x:v>lec-seedance-videos-fast</x:v>
      </x:c>
      <x:c r="D80" s="18" t="str">
        <x:v>merge</x:v>
      </x:c>
      <x:c r="E80" s="18" t="str">
        <x:v>channel-paipu</x:v>
      </x:c>
      <x:c r="F80" s="18" t="str">
        <x:v>lec-seedance-videos-fast</x:v>
      </x:c>
      <x:c r="G80" s="18" t="str">
        <x:v>SKU-SD20-FAST-480</x:v>
      </x:c>
      <x:c r="H80" s="18" t="str">
        <x:v>480p</x:v>
      </x:c>
      <x:c r="I80" s="18" t="str">
        <x:v>480p</x:v>
      </x:c>
      <x:c r="J80" s="18" t="n">
        <x:v>4</x:v>
      </x:c>
      <x:c r="K80" s="18" t="n">
        <x:v>15</x:v>
      </x:c>
      <x:c r="L80" s="18"/>
      <x:c r="M80" s="18" t="n">
        <x:v>100</x:v>
      </x:c>
      <x:c r="N80" s="23" t="b">
        <x:v>0</x:v>
      </x:c>
    </x:row>
    <x:row r="81">
      <x:c r="A81" s="20" t="str">
        <x:v>ROUTE-MAP-PAIPU-R28-720</x:v>
      </x:c>
      <x:c r="B81" s="18" t="str">
        <x:v>seedance-2.0-fast</x:v>
      </x:c>
      <x:c r="C81" s="18" t="str">
        <x:v>lec-seedance-videos-fast</x:v>
      </x:c>
      <x:c r="D81" s="18" t="str">
        <x:v>merge</x:v>
      </x:c>
      <x:c r="E81" s="18" t="str">
        <x:v>channel-paipu</x:v>
      </x:c>
      <x:c r="F81" s="18" t="str">
        <x:v>lec-seedance-videos-fast</x:v>
      </x:c>
      <x:c r="G81" s="18" t="str">
        <x:v>SKU-SD20-FAST-720</x:v>
      </x:c>
      <x:c r="H81" s="18" t="str">
        <x:v>720p</x:v>
      </x:c>
      <x:c r="I81" s="18" t="str">
        <x:v>720p</x:v>
      </x:c>
      <x:c r="J81" s="18" t="n">
        <x:v>4</x:v>
      </x:c>
      <x:c r="K81" s="18" t="n">
        <x:v>15</x:v>
      </x:c>
      <x:c r="L81" s="18"/>
      <x:c r="M81" s="18" t="n">
        <x:v>100</x:v>
      </x:c>
      <x:c r="N81" s="23" t="b">
        <x:v>0</x:v>
      </x:c>
    </x:row>
    <x:row r="82">
      <x:c r="A82" s="20" t="str">
        <x:v>ROUTE-MAP-PAIPU-R29-480</x:v>
      </x:c>
      <x:c r="B82" s="18" t="str">
        <x:v>seedance-2.0-mini</x:v>
      </x:c>
      <x:c r="C82" s="18" t="str">
        <x:v>lec-seedance-videos-mini</x:v>
      </x:c>
      <x:c r="D82" s="18" t="str">
        <x:v>merge</x:v>
      </x:c>
      <x:c r="E82" s="18" t="str">
        <x:v>channel-paipu</x:v>
      </x:c>
      <x:c r="F82" s="18" t="str">
        <x:v>lec-seedance-videos-mini</x:v>
      </x:c>
      <x:c r="G82" s="18" t="str">
        <x:v>SKU-SD20-MINI-480</x:v>
      </x:c>
      <x:c r="H82" s="18" t="str">
        <x:v>480p</x:v>
      </x:c>
      <x:c r="I82" s="18" t="str">
        <x:v>480p</x:v>
      </x:c>
      <x:c r="J82" s="18" t="n">
        <x:v>4</x:v>
      </x:c>
      <x:c r="K82" s="18" t="n">
        <x:v>15</x:v>
      </x:c>
      <x:c r="L82" s="18"/>
      <x:c r="M82" s="18" t="n">
        <x:v>100</x:v>
      </x:c>
      <x:c r="N82" s="23" t="b">
        <x:v>0</x:v>
      </x:c>
    </x:row>
    <x:row r="83">
      <x:c r="A83" s="20" t="str">
        <x:v>ROUTE-MAP-PAIPU-R30-720</x:v>
      </x:c>
      <x:c r="B83" s="18" t="str">
        <x:v>seedance-2.0-mini</x:v>
      </x:c>
      <x:c r="C83" s="18" t="str">
        <x:v>lec-seedance-videos-mini</x:v>
      </x:c>
      <x:c r="D83" s="18" t="str">
        <x:v>merge</x:v>
      </x:c>
      <x:c r="E83" s="18" t="str">
        <x:v>channel-paipu</x:v>
      </x:c>
      <x:c r="F83" s="18" t="str">
        <x:v>lec-seedance-videos-mini</x:v>
      </x:c>
      <x:c r="G83" s="18" t="str">
        <x:v>SKU-SD20-MINI-720</x:v>
      </x:c>
      <x:c r="H83" s="18" t="str">
        <x:v>720p</x:v>
      </x:c>
      <x:c r="I83" s="18" t="str">
        <x:v>720p</x:v>
      </x:c>
      <x:c r="J83" s="18" t="n">
        <x:v>4</x:v>
      </x:c>
      <x:c r="K83" s="18" t="n">
        <x:v>15</x:v>
      </x:c>
      <x:c r="L83" s="18"/>
      <x:c r="M83" s="18" t="n">
        <x:v>100</x:v>
      </x:c>
      <x:c r="N83" s="23" t="b">
        <x:v>0</x:v>
      </x:c>
    </x:row>
    <x:row r="84">
      <x:c r="A84" s="20" t="str">
        <x:v>ROUTE-MAP-PAIPU-R31-480</x:v>
      </x:c>
      <x:c r="B84" s="18" t="str">
        <x:v>seedance-2.0</x:v>
      </x:c>
      <x:c r="C84" s="18" t="str">
        <x:v>lec-seedance-videos-stable</x:v>
      </x:c>
      <x:c r="D84" s="18" t="str">
        <x:v>merge</x:v>
      </x:c>
      <x:c r="E84" s="18" t="str">
        <x:v>channel-paipu</x:v>
      </x:c>
      <x:c r="F84" s="18" t="str">
        <x:v>lec-seedance-videos-stable</x:v>
      </x:c>
      <x:c r="G84" s="18" t="str">
        <x:v>SKU-SD20-STD-480</x:v>
      </x:c>
      <x:c r="H84" s="18" t="str">
        <x:v>480p</x:v>
      </x:c>
      <x:c r="I84" s="18" t="str">
        <x:v>480p</x:v>
      </x:c>
      <x:c r="J84" s="18" t="n">
        <x:v>4</x:v>
      </x:c>
      <x:c r="K84" s="18" t="n">
        <x:v>15</x:v>
      </x:c>
      <x:c r="L84" s="18"/>
      <x:c r="M84" s="18" t="n">
        <x:v>100</x:v>
      </x:c>
      <x:c r="N84" s="23" t="b">
        <x:v>0</x:v>
      </x:c>
    </x:row>
    <x:row r="85">
      <x:c r="A85" s="20" t="str">
        <x:v>ROUTE-MAP-PAIPU-R32-720</x:v>
      </x:c>
      <x:c r="B85" s="18" t="str">
        <x:v>seedance-2.0</x:v>
      </x:c>
      <x:c r="C85" s="18" t="str">
        <x:v>lec-seedance-videos-stable</x:v>
      </x:c>
      <x:c r="D85" s="18" t="str">
        <x:v>merge</x:v>
      </x:c>
      <x:c r="E85" s="18" t="str">
        <x:v>channel-paipu</x:v>
      </x:c>
      <x:c r="F85" s="18" t="str">
        <x:v>lec-seedance-videos-stable</x:v>
      </x:c>
      <x:c r="G85" s="18" t="str">
        <x:v>SKU-SD20-STD-720</x:v>
      </x:c>
      <x:c r="H85" s="18" t="str">
        <x:v>720p</x:v>
      </x:c>
      <x:c r="I85" s="18" t="str">
        <x:v>720p</x:v>
      </x:c>
      <x:c r="J85" s="18" t="n">
        <x:v>4</x:v>
      </x:c>
      <x:c r="K85" s="18" t="n">
        <x:v>15</x:v>
      </x:c>
      <x:c r="L85" s="18"/>
      <x:c r="M85" s="18" t="n">
        <x:v>100</x:v>
      </x:c>
      <x:c r="N85" s="23" t="b">
        <x:v>0</x:v>
      </x:c>
    </x:row>
    <x:row r="86">
      <x:c r="A86" s="20" t="str">
        <x:v>ROUTE-MAP-PAIPU-R33-480</x:v>
      </x:c>
      <x:c r="B86" s="18" t="str">
        <x:v>seedance-2.0-fast</x:v>
      </x:c>
      <x:c r="C86" s="18" t="str">
        <x:v>lec-seedance-videos-stable-fast</x:v>
      </x:c>
      <x:c r="D86" s="18" t="str">
        <x:v>merge</x:v>
      </x:c>
      <x:c r="E86" s="18" t="str">
        <x:v>channel-paipu</x:v>
      </x:c>
      <x:c r="F86" s="18" t="str">
        <x:v>lec-seedance-videos-stable-fast</x:v>
      </x:c>
      <x:c r="G86" s="18" t="str">
        <x:v>SKU-SD20-FAST-480</x:v>
      </x:c>
      <x:c r="H86" s="18" t="str">
        <x:v>480p</x:v>
      </x:c>
      <x:c r="I86" s="18" t="str">
        <x:v>480p</x:v>
      </x:c>
      <x:c r="J86" s="18" t="n">
        <x:v>4</x:v>
      </x:c>
      <x:c r="K86" s="18" t="n">
        <x:v>15</x:v>
      </x:c>
      <x:c r="L86" s="18"/>
      <x:c r="M86" s="18" t="n">
        <x:v>100</x:v>
      </x:c>
      <x:c r="N86" s="23" t="b">
        <x:v>0</x:v>
      </x:c>
    </x:row>
    <x:row r="87">
      <x:c r="A87" s="20" t="str">
        <x:v>ROUTE-MAP-PAIPU-R34-720</x:v>
      </x:c>
      <x:c r="B87" s="18" t="str">
        <x:v>seedance-2.0-fast</x:v>
      </x:c>
      <x:c r="C87" s="18" t="str">
        <x:v>lec-seedance-videos-stable-fast</x:v>
      </x:c>
      <x:c r="D87" s="18" t="str">
        <x:v>merge</x:v>
      </x:c>
      <x:c r="E87" s="18" t="str">
        <x:v>channel-paipu</x:v>
      </x:c>
      <x:c r="F87" s="18" t="str">
        <x:v>lec-seedance-videos-stable-fast</x:v>
      </x:c>
      <x:c r="G87" s="18" t="str">
        <x:v>SKU-SD20-FAST-720</x:v>
      </x:c>
      <x:c r="H87" s="18" t="str">
        <x:v>720p</x:v>
      </x:c>
      <x:c r="I87" s="18" t="str">
        <x:v>720p</x:v>
      </x:c>
      <x:c r="J87" s="18" t="n">
        <x:v>4</x:v>
      </x:c>
      <x:c r="K87" s="18" t="n">
        <x:v>15</x:v>
      </x:c>
      <x:c r="L87" s="18"/>
      <x:c r="M87" s="18" t="n">
        <x:v>100</x:v>
      </x:c>
      <x:c r="N87" s="23" t="b">
        <x:v>0</x:v>
      </x:c>
    </x:row>
    <x:row r="88">
      <x:c r="A88" s="20" t="str">
        <x:v>ROUTE-MAP-PAIPU-R35-480</x:v>
      </x:c>
      <x:c r="B88" s="18" t="str">
        <x:v>seedance-2.0-mini</x:v>
      </x:c>
      <x:c r="C88" s="18" t="str">
        <x:v>lec-seedance-videos-stable-mini</x:v>
      </x:c>
      <x:c r="D88" s="18" t="str">
        <x:v>merge</x:v>
      </x:c>
      <x:c r="E88" s="18" t="str">
        <x:v>channel-paipu</x:v>
      </x:c>
      <x:c r="F88" s="18" t="str">
        <x:v>lec-seedance-videos-stable-mini</x:v>
      </x:c>
      <x:c r="G88" s="18" t="str">
        <x:v>SKU-SD20-MINI-480</x:v>
      </x:c>
      <x:c r="H88" s="18" t="str">
        <x:v>480p</x:v>
      </x:c>
      <x:c r="I88" s="18" t="str">
        <x:v>480p</x:v>
      </x:c>
      <x:c r="J88" s="18" t="n">
        <x:v>4</x:v>
      </x:c>
      <x:c r="K88" s="18" t="n">
        <x:v>15</x:v>
      </x:c>
      <x:c r="L88" s="18"/>
      <x:c r="M88" s="18" t="n">
        <x:v>100</x:v>
      </x:c>
      <x:c r="N88" s="23" t="b">
        <x:v>0</x:v>
      </x:c>
    </x:row>
    <x:row r="89">
      <x:c r="A89" s="20" t="str">
        <x:v>ROUTE-MAP-PAIPU-R36-720</x:v>
      </x:c>
      <x:c r="B89" s="18" t="str">
        <x:v>seedance-2.0-mini</x:v>
      </x:c>
      <x:c r="C89" s="18" t="str">
        <x:v>lec-seedance-videos-stable-mini</x:v>
      </x:c>
      <x:c r="D89" s="18" t="str">
        <x:v>merge</x:v>
      </x:c>
      <x:c r="E89" s="18" t="str">
        <x:v>channel-paipu</x:v>
      </x:c>
      <x:c r="F89" s="18" t="str">
        <x:v>lec-seedance-videos-stable-mini</x:v>
      </x:c>
      <x:c r="G89" s="18" t="str">
        <x:v>SKU-SD20-MINI-720</x:v>
      </x:c>
      <x:c r="H89" s="18" t="str">
        <x:v>720p</x:v>
      </x:c>
      <x:c r="I89" s="18" t="str">
        <x:v>720p</x:v>
      </x:c>
      <x:c r="J89" s="18" t="n">
        <x:v>4</x:v>
      </x:c>
      <x:c r="K89" s="18" t="n">
        <x:v>15</x:v>
      </x:c>
      <x:c r="L89" s="18"/>
      <x:c r="M89" s="18" t="n">
        <x:v>100</x:v>
      </x:c>
      <x:c r="N89" s="23" t="b">
        <x:v>0</x:v>
      </x:c>
    </x:row>
    <x:row r="90">
      <x:c r="A90" s="20" t="str">
        <x:v>ROUTE-MAP-PAIPU-R37-720</x:v>
      </x:c>
      <x:c r="B90" s="18" t="str">
        <x:v>seedance-2.0</x:v>
      </x:c>
      <x:c r="C90" s="18" t="str">
        <x:v>lec-seedance-videos-stable-720p</x:v>
      </x:c>
      <x:c r="D90" s="18" t="str">
        <x:v>merge</x:v>
      </x:c>
      <x:c r="E90" s="18" t="str">
        <x:v>channel-paipu</x:v>
      </x:c>
      <x:c r="F90" s="18" t="str">
        <x:v>lec-seedance-videos-stable-720p</x:v>
      </x:c>
      <x:c r="G90" s="18" t="str">
        <x:v>SKU-SD20-STD-720</x:v>
      </x:c>
      <x:c r="H90" s="18" t="str">
        <x:v>720p</x:v>
      </x:c>
      <x:c r="I90" s="18" t="str">
        <x:v>720p</x:v>
      </x:c>
      <x:c r="J90" s="18" t="n">
        <x:v>4</x:v>
      </x:c>
      <x:c r="K90" s="18" t="n">
        <x:v>15</x:v>
      </x:c>
      <x:c r="L90" s="18"/>
      <x:c r="M90" s="18" t="n">
        <x:v>100</x:v>
      </x:c>
      <x:c r="N90" s="23" t="b">
        <x:v>0</x:v>
      </x:c>
    </x:row>
    <x:row r="91">
      <x:c r="A91" s="20" t="str">
        <x:v>ROUTE-MAP-PAIPU-R38-720</x:v>
      </x:c>
      <x:c r="B91" s="18" t="str">
        <x:v>seedance-2.0-fast</x:v>
      </x:c>
      <x:c r="C91" s="18" t="str">
        <x:v>lec-seedance-videos-fast-720p</x:v>
      </x:c>
      <x:c r="D91" s="18" t="str">
        <x:v>merge</x:v>
      </x:c>
      <x:c r="E91" s="18" t="str">
        <x:v>channel-paipu</x:v>
      </x:c>
      <x:c r="F91" s="18" t="str">
        <x:v>lec-seedance-videos-fast-720p</x:v>
      </x:c>
      <x:c r="G91" s="18" t="str">
        <x:v>SKU-SD20-FAST-720</x:v>
      </x:c>
      <x:c r="H91" s="18" t="str">
        <x:v>720p</x:v>
      </x:c>
      <x:c r="I91" s="18" t="str">
        <x:v>720p</x:v>
      </x:c>
      <x:c r="J91" s="18" t="n">
        <x:v>4</x:v>
      </x:c>
      <x:c r="K91" s="18" t="n">
        <x:v>15</x:v>
      </x:c>
      <x:c r="L91" s="18"/>
      <x:c r="M91" s="18" t="n">
        <x:v>100</x:v>
      </x:c>
      <x:c r="N91" s="23" t="b">
        <x:v>0</x:v>
      </x:c>
    </x:row>
    <x:row r="92">
      <x:c r="A92" s="20" t="str">
        <x:v>ROUTE-MAP-PAIPU-R39-720</x:v>
      </x:c>
      <x:c r="B92" s="18" t="str">
        <x:v>seedance-2.0-mini</x:v>
      </x:c>
      <x:c r="C92" s="18" t="str">
        <x:v>lec-seedance-videos-mini-720p</x:v>
      </x:c>
      <x:c r="D92" s="18" t="str">
        <x:v>merge</x:v>
      </x:c>
      <x:c r="E92" s="18" t="str">
        <x:v>channel-paipu</x:v>
      </x:c>
      <x:c r="F92" s="18" t="str">
        <x:v>lec-seedance-videos-mini-720p</x:v>
      </x:c>
      <x:c r="G92" s="18" t="str">
        <x:v>SKU-SD20-MINI-720</x:v>
      </x:c>
      <x:c r="H92" s="18" t="str">
        <x:v>720p</x:v>
      </x:c>
      <x:c r="I92" s="18" t="str">
        <x:v>720p</x:v>
      </x:c>
      <x:c r="J92" s="18" t="n">
        <x:v>4</x:v>
      </x:c>
      <x:c r="K92" s="18" t="n">
        <x:v>15</x:v>
      </x:c>
      <x:c r="L92" s="18"/>
      <x:c r="M92" s="18" t="n">
        <x:v>100</x:v>
      </x:c>
      <x:c r="N92" s="23" t="b">
        <x:v>0</x:v>
      </x:c>
    </x:row>
    <x:row r="93">
      <x:c r="A93" s="20" t="str">
        <x:v>ROUTE-MAP-PAIPU-R40-480</x:v>
      </x:c>
      <x:c r="B93" s="18" t="str">
        <x:v>seedance-2.0</x:v>
      </x:c>
      <x:c r="C93" s="18" t="str">
        <x:v>lec-seedance-videos-face-standard</x:v>
      </x:c>
      <x:c r="D93" s="18" t="str">
        <x:v>merge</x:v>
      </x:c>
      <x:c r="E93" s="18" t="str">
        <x:v>channel-paipu</x:v>
      </x:c>
      <x:c r="F93" s="18" t="str">
        <x:v>lec-seedance-videos-face-standard</x:v>
      </x:c>
      <x:c r="G93" s="18" t="str">
        <x:v>SKU-SD20-STD-480</x:v>
      </x:c>
      <x:c r="H93" s="18" t="str">
        <x:v>480p</x:v>
      </x:c>
      <x:c r="I93" s="18" t="str">
        <x:v>480p</x:v>
      </x:c>
      <x:c r="J93" s="18" t="n">
        <x:v>4</x:v>
      </x:c>
      <x:c r="K93" s="18" t="n">
        <x:v>15</x:v>
      </x:c>
      <x:c r="L93" s="18"/>
      <x:c r="M93" s="18" t="n">
        <x:v>100</x:v>
      </x:c>
      <x:c r="N93" s="23" t="b">
        <x:v>0</x:v>
      </x:c>
    </x:row>
    <x:row r="94">
      <x:c r="A94" s="20" t="str">
        <x:v>ROUTE-MAP-PAIPU-R41-720</x:v>
      </x:c>
      <x:c r="B94" s="18" t="str">
        <x:v>seedance-2.0</x:v>
      </x:c>
      <x:c r="C94" s="18" t="str">
        <x:v>lec-seedance-videos-face-standard</x:v>
      </x:c>
      <x:c r="D94" s="18" t="str">
        <x:v>merge</x:v>
      </x:c>
      <x:c r="E94" s="18" t="str">
        <x:v>channel-paipu</x:v>
      </x:c>
      <x:c r="F94" s="18" t="str">
        <x:v>lec-seedance-videos-face-standard</x:v>
      </x:c>
      <x:c r="G94" s="18" t="str">
        <x:v>SKU-SD20-STD-720</x:v>
      </x:c>
      <x:c r="H94" s="18" t="str">
        <x:v>720p</x:v>
      </x:c>
      <x:c r="I94" s="18" t="str">
        <x:v>720p</x:v>
      </x:c>
      <x:c r="J94" s="18" t="n">
        <x:v>4</x:v>
      </x:c>
      <x:c r="K94" s="18" t="n">
        <x:v>15</x:v>
      </x:c>
      <x:c r="L94" s="18"/>
      <x:c r="M94" s="18" t="n">
        <x:v>100</x:v>
      </x:c>
      <x:c r="N94" s="23" t="b">
        <x:v>0</x:v>
      </x:c>
    </x:row>
    <x:row r="95">
      <x:c r="A95" s="20" t="str">
        <x:v>ROUTE-MAP-PAIPU-R42-1080</x:v>
      </x:c>
      <x:c r="B95" s="18" t="str">
        <x:v>seedance-2.0</x:v>
      </x:c>
      <x:c r="C95" s="18" t="str">
        <x:v>lec-seedance-videos-face-standard</x:v>
      </x:c>
      <x:c r="D95" s="18" t="str">
        <x:v>merge</x:v>
      </x:c>
      <x:c r="E95" s="18" t="str">
        <x:v>channel-paipu</x:v>
      </x:c>
      <x:c r="F95" s="18" t="str">
        <x:v>lec-seedance-videos-face-standard</x:v>
      </x:c>
      <x:c r="G95" s="18" t="str">
        <x:v>SKU-SD20-STD-1080</x:v>
      </x:c>
      <x:c r="H95" s="18" t="str">
        <x:v>1080p</x:v>
      </x:c>
      <x:c r="I95" s="18" t="str">
        <x:v>1080p</x:v>
      </x:c>
      <x:c r="J95" s="18" t="n">
        <x:v>4</x:v>
      </x:c>
      <x:c r="K95" s="18" t="n">
        <x:v>15</x:v>
      </x:c>
      <x:c r="L95" s="18"/>
      <x:c r="M95" s="18" t="n">
        <x:v>100</x:v>
      </x:c>
      <x:c r="N95" s="23" t="b">
        <x:v>0</x:v>
      </x:c>
    </x:row>
    <x:row r="96">
      <x:c r="A96" s="20" t="str">
        <x:v>ROUTE-MAP-PAIPU-R43-480</x:v>
      </x:c>
      <x:c r="B96" s="18" t="str">
        <x:v>seedance-2.0-fast</x:v>
      </x:c>
      <x:c r="C96" s="18" t="str">
        <x:v>lec-seedance-videos-face-fast</x:v>
      </x:c>
      <x:c r="D96" s="18" t="str">
        <x:v>merge</x:v>
      </x:c>
      <x:c r="E96" s="18" t="str">
        <x:v>channel-paipu</x:v>
      </x:c>
      <x:c r="F96" s="18" t="str">
        <x:v>lec-seedance-videos-face-fast</x:v>
      </x:c>
      <x:c r="G96" s="18" t="str">
        <x:v>SKU-SD20-FAST-480</x:v>
      </x:c>
      <x:c r="H96" s="18" t="str">
        <x:v>480p</x:v>
      </x:c>
      <x:c r="I96" s="18" t="str">
        <x:v>480p</x:v>
      </x:c>
      <x:c r="J96" s="18" t="n">
        <x:v>4</x:v>
      </x:c>
      <x:c r="K96" s="18" t="n">
        <x:v>15</x:v>
      </x:c>
      <x:c r="L96" s="18"/>
      <x:c r="M96" s="18" t="n">
        <x:v>100</x:v>
      </x:c>
      <x:c r="N96" s="23" t="b">
        <x:v>0</x:v>
      </x:c>
    </x:row>
    <x:row r="97">
      <x:c r="A97" s="20" t="str">
        <x:v>ROUTE-MAP-PAIPU-R44-720</x:v>
      </x:c>
      <x:c r="B97" s="18" t="str">
        <x:v>seedance-2.0-fast</x:v>
      </x:c>
      <x:c r="C97" s="18" t="str">
        <x:v>lec-seedance-videos-face-fast</x:v>
      </x:c>
      <x:c r="D97" s="18" t="str">
        <x:v>merge</x:v>
      </x:c>
      <x:c r="E97" s="18" t="str">
        <x:v>channel-paipu</x:v>
      </x:c>
      <x:c r="F97" s="18" t="str">
        <x:v>lec-seedance-videos-face-fast</x:v>
      </x:c>
      <x:c r="G97" s="18" t="str">
        <x:v>SKU-SD20-FAST-720</x:v>
      </x:c>
      <x:c r="H97" s="18" t="str">
        <x:v>720p</x:v>
      </x:c>
      <x:c r="I97" s="18" t="str">
        <x:v>720p</x:v>
      </x:c>
      <x:c r="J97" s="18" t="n">
        <x:v>4</x:v>
      </x:c>
      <x:c r="K97" s="18" t="n">
        <x:v>15</x:v>
      </x:c>
      <x:c r="L97" s="18"/>
      <x:c r="M97" s="18" t="n">
        <x:v>100</x:v>
      </x:c>
      <x:c r="N97" s="23" t="b">
        <x:v>0</x:v>
      </x:c>
    </x:row>
    <x:row r="98">
      <x:c r="A98" s="20" t="str">
        <x:v>ROUTE-MAP-PAIPU-R45-720</x:v>
      </x:c>
      <x:c r="B98" s="18" t="str">
        <x:v>seedance-2.0</x:v>
      </x:c>
      <x:c r="C98" s="18" t="str">
        <x:v>lec-fd-seedance-2-0-933-720p</x:v>
      </x:c>
      <x:c r="D98" s="18" t="str">
        <x:v>merge</x:v>
      </x:c>
      <x:c r="E98" s="18" t="str">
        <x:v>channel-paipu</x:v>
      </x:c>
      <x:c r="F98" s="18" t="str">
        <x:v>lec-fd-seedance-2-0-933-720p</x:v>
      </x:c>
      <x:c r="G98" s="18" t="str">
        <x:v>SKU-SD20-STD-720</x:v>
      </x:c>
      <x:c r="H98" s="18" t="str">
        <x:v>720p</x:v>
      </x:c>
      <x:c r="I98" s="18" t="str">
        <x:v>720p</x:v>
      </x:c>
      <x:c r="J98" s="18" t="n">
        <x:v>4</x:v>
      </x:c>
      <x:c r="K98" s="18" t="n">
        <x:v>15</x:v>
      </x:c>
      <x:c r="L98" s="18"/>
      <x:c r="M98" s="18" t="n">
        <x:v>100</x:v>
      </x:c>
      <x:c r="N98" s="23" t="b">
        <x:v>0</x:v>
      </x:c>
    </x:row>
    <x:row r="99">
      <x:c r="A99" s="20" t="str">
        <x:v>ROUTE-MAP-SECURE-R66-720</x:v>
      </x:c>
      <x:c r="B99" s="18" t="str">
        <x:v>seedance-2.0</x:v>
      </x:c>
      <x:c r="C99" s="18" t="str">
        <x:v>video-2.0-pro</x:v>
      </x:c>
      <x:c r="D99" s="18" t="str">
        <x:v>merge</x:v>
      </x:c>
      <x:c r="E99" s="18" t="str">
        <x:v>secure-enterprise</x:v>
      </x:c>
      <x:c r="F99" s="18" t="str">
        <x:v>video-2.0-pro</x:v>
      </x:c>
      <x:c r="G99" s="18" t="str">
        <x:v>SKU-SD20-STD-720</x:v>
      </x:c>
      <x:c r="H99" s="18" t="str">
        <x:v>720p</x:v>
      </x:c>
      <x:c r="I99" s="18" t="str">
        <x:v>720p</x:v>
      </x:c>
      <x:c r="J99" s="18" t="n">
        <x:v>4</x:v>
      </x:c>
      <x:c r="K99" s="18" t="n">
        <x:v>15</x:v>
      </x:c>
      <x:c r="L99" s="18"/>
      <x:c r="M99" s="18" t="n">
        <x:v>100</x:v>
      </x:c>
      <x:c r="N99" s="23" t="b">
        <x:v>0</x:v>
      </x:c>
    </x:row>
    <x:row r="100">
      <x:c r="A100" s="20" t="str">
        <x:v>ROUTE-MAP-SECURE-R67-720</x:v>
      </x:c>
      <x:c r="B100" s="18" t="str">
        <x:v>seedance-2.0</x:v>
      </x:c>
      <x:c r="C100" s="18" t="str">
        <x:v>video-2.0-pro</x:v>
      </x:c>
      <x:c r="D100" s="18" t="str">
        <x:v>merge</x:v>
      </x:c>
      <x:c r="E100" s="18" t="str">
        <x:v>secure-discount</x:v>
      </x:c>
      <x:c r="F100" s="18" t="str">
        <x:v>video-2.0-pro</x:v>
      </x:c>
      <x:c r="G100" s="18" t="str">
        <x:v>SKU-SD20-STD-720</x:v>
      </x:c>
      <x:c r="H100" s="18" t="str">
        <x:v>720p</x:v>
      </x:c>
      <x:c r="I100" s="18" t="str">
        <x:v>720p</x:v>
      </x:c>
      <x:c r="J100" s="18" t="n">
        <x:v>4</x:v>
      </x:c>
      <x:c r="K100" s="18" t="n">
        <x:v>15</x:v>
      </x:c>
      <x:c r="L100" s="18"/>
      <x:c r="M100" s="18" t="n">
        <x:v>100</x:v>
      </x:c>
      <x:c r="N100" s="23" t="b">
        <x:v>0</x:v>
      </x:c>
    </x:row>
    <x:row r="101">
      <x:c r="A101" s="20" t="str">
        <x:v>ROUTE-MAP-SECURE-R68-1080</x:v>
      </x:c>
      <x:c r="B101" s="18" t="str">
        <x:v>seedance-2.0</x:v>
      </x:c>
      <x:c r="C101" s="18" t="str">
        <x:v>video-2.0-pro</x:v>
      </x:c>
      <x:c r="D101" s="18" t="str">
        <x:v>merge</x:v>
      </x:c>
      <x:c r="E101" s="18" t="str">
        <x:v>secure-discount</x:v>
      </x:c>
      <x:c r="F101" s="18" t="str">
        <x:v>video-2.0-pro</x:v>
      </x:c>
      <x:c r="G101" s="18" t="str">
        <x:v>SKU-SD20-STD-1080</x:v>
      </x:c>
      <x:c r="H101" s="18" t="str">
        <x:v>1080p</x:v>
      </x:c>
      <x:c r="I101" s="18" t="str">
        <x:v>1080p</x:v>
      </x:c>
      <x:c r="J101" s="18" t="n">
        <x:v>4</x:v>
      </x:c>
      <x:c r="K101" s="18" t="n">
        <x:v>15</x:v>
      </x:c>
      <x:c r="L101" s="18"/>
      <x:c r="M101" s="18" t="n">
        <x:v>100</x:v>
      </x:c>
      <x:c r="N101" s="23" t="b">
        <x:v>0</x:v>
      </x:c>
    </x:row>
    <x:row r="102">
      <x:c r="A102" s="20" t="str">
        <x:v>ROUTE-MAP-SECURE-R69-4K</x:v>
      </x:c>
      <x:c r="B102" s="18" t="str">
        <x:v>seedance-2.0</x:v>
      </x:c>
      <x:c r="C102" s="18" t="str">
        <x:v>video-2.0-pro</x:v>
      </x:c>
      <x:c r="D102" s="18" t="str">
        <x:v>merge</x:v>
      </x:c>
      <x:c r="E102" s="18" t="str">
        <x:v>secure-discount</x:v>
      </x:c>
      <x:c r="F102" s="18" t="str">
        <x:v>video-2.0-pro</x:v>
      </x:c>
      <x:c r="G102" s="18" t="str">
        <x:v>SKU-SD20-STD-4K</x:v>
      </x:c>
      <x:c r="H102" s="18" t="str">
        <x:v>4k</x:v>
      </x:c>
      <x:c r="I102" s="18" t="str">
        <x:v>4k</x:v>
      </x:c>
      <x:c r="J102" s="18" t="n">
        <x:v>4</x:v>
      </x:c>
      <x:c r="K102" s="18" t="n">
        <x:v>15</x:v>
      </x:c>
      <x:c r="L102" s="18"/>
      <x:c r="M102" s="18" t="n">
        <x:v>100</x:v>
      </x:c>
      <x:c r="N102" s="23" t="b">
        <x:v>0</x:v>
      </x:c>
    </x:row>
    <x:row r="103">
      <x:c r="A103" s="20" t="str">
        <x:v>ROUTE-MAP-SECURE-R70-720</x:v>
      </x:c>
      <x:c r="B103" s="18" t="str">
        <x:v>seedance-2.0-fast</x:v>
      </x:c>
      <x:c r="C103" s="18" t="str">
        <x:v>video-2.0-fast</x:v>
      </x:c>
      <x:c r="D103" s="18" t="str">
        <x:v>merge</x:v>
      </x:c>
      <x:c r="E103" s="18" t="str">
        <x:v>secure-discount</x:v>
      </x:c>
      <x:c r="F103" s="18" t="str">
        <x:v>video-2.0-fast</x:v>
      </x:c>
      <x:c r="G103" s="18" t="str">
        <x:v>SKU-SD20-FAST-720</x:v>
      </x:c>
      <x:c r="H103" s="18" t="str">
        <x:v>720p</x:v>
      </x:c>
      <x:c r="I103" s="18" t="str">
        <x:v>720p</x:v>
      </x:c>
      <x:c r="J103" s="18" t="n">
        <x:v>4</x:v>
      </x:c>
      <x:c r="K103" s="18" t="n">
        <x:v>15</x:v>
      </x:c>
      <x:c r="L103" s="18"/>
      <x:c r="M103" s="18" t="n">
        <x:v>100</x:v>
      </x:c>
      <x:c r="N103" s="23" t="b">
        <x:v>0</x:v>
      </x:c>
    </x:row>
    <x:row r="104">
      <x:c r="A104" s="20" t="str">
        <x:v>ROUTE-MAP-SECURE-R71-720</x:v>
      </x:c>
      <x:c r="B104" s="18" t="str">
        <x:v>seedance-2.0-mini</x:v>
      </x:c>
      <x:c r="C104" s="18" t="str">
        <x:v>video-2.0-mini</x:v>
      </x:c>
      <x:c r="D104" s="18" t="str">
        <x:v>merge</x:v>
      </x:c>
      <x:c r="E104" s="18" t="str">
        <x:v>secure-discount</x:v>
      </x:c>
      <x:c r="F104" s="18" t="str">
        <x:v>video-2.0-mini</x:v>
      </x:c>
      <x:c r="G104" s="18" t="str">
        <x:v>SKU-SD20-MINI-720</x:v>
      </x:c>
      <x:c r="H104" s="18" t="str">
        <x:v>720p</x:v>
      </x:c>
      <x:c r="I104" s="18" t="str">
        <x:v>720p</x:v>
      </x:c>
      <x:c r="J104" s="18" t="n">
        <x:v>4</x:v>
      </x:c>
      <x:c r="K104" s="18" t="n">
        <x:v>15</x:v>
      </x:c>
      <x:c r="L104" s="18"/>
      <x:c r="M104" s="18" t="n">
        <x:v>100</x:v>
      </x:c>
      <x:c r="N104" s="23" t="b">
        <x:v>0</x:v>
      </x:c>
    </x:row>
    <x:row r="105">
      <x:c r="A105" s="20" t="str">
        <x:v>ROUTE-MAP-SECURE-R72-720</x:v>
      </x:c>
      <x:c r="B105" s="18" t="str">
        <x:v>seedance-2.0</x:v>
      </x:c>
      <x:c r="C105" s="18" t="str">
        <x:v>video-2.0-pro</x:v>
      </x:c>
      <x:c r="D105" s="18" t="str">
        <x:v>merge</x:v>
      </x:c>
      <x:c r="E105" s="18" t="str">
        <x:v>secure-overseas</x:v>
      </x:c>
      <x:c r="F105" s="18" t="str">
        <x:v>video-2.0-pro</x:v>
      </x:c>
      <x:c r="G105" s="18" t="str">
        <x:v>SKU-SD20-STD-720</x:v>
      </x:c>
      <x:c r="H105" s="18" t="str">
        <x:v>720p</x:v>
      </x:c>
      <x:c r="I105" s="18" t="str">
        <x:v>720p</x:v>
      </x:c>
      <x:c r="J105" s="18" t="n">
        <x:v>4</x:v>
      </x:c>
      <x:c r="K105" s="18" t="n">
        <x:v>15</x:v>
      </x:c>
      <x:c r="L105" s="18"/>
      <x:c r="M105" s="18" t="n">
        <x:v>100</x:v>
      </x:c>
      <x:c r="N105" s="23" t="b">
        <x:v>0</x:v>
      </x:c>
    </x:row>
    <x:row r="106">
      <x:c r="A106" s="20" t="str">
        <x:v>ROUTE-MAP-SECURE-R73-1080</x:v>
      </x:c>
      <x:c r="B106" s="18" t="str">
        <x:v>seedance-2.0</x:v>
      </x:c>
      <x:c r="C106" s="18" t="str">
        <x:v>video-2.0-pro</x:v>
      </x:c>
      <x:c r="D106" s="18" t="str">
        <x:v>merge</x:v>
      </x:c>
      <x:c r="E106" s="18" t="str">
        <x:v>secure-overseas</x:v>
      </x:c>
      <x:c r="F106" s="18" t="str">
        <x:v>video-2.0-pro</x:v>
      </x:c>
      <x:c r="G106" s="18" t="str">
        <x:v>SKU-SD20-STD-1080</x:v>
      </x:c>
      <x:c r="H106" s="18" t="str">
        <x:v>1080p</x:v>
      </x:c>
      <x:c r="I106" s="18" t="str">
        <x:v>1080p</x:v>
      </x:c>
      <x:c r="J106" s="18" t="n">
        <x:v>4</x:v>
      </x:c>
      <x:c r="K106" s="18" t="n">
        <x:v>15</x:v>
      </x:c>
      <x:c r="L106" s="18"/>
      <x:c r="M106" s="18" t="n">
        <x:v>100</x:v>
      </x:c>
      <x:c r="N106" s="23" t="b">
        <x:v>0</x:v>
      </x:c>
    </x:row>
    <x:row r="107">
      <x:c r="A107" s="20" t="str">
        <x:v>ROUTE-MAP-SECURE-R74-720</x:v>
      </x:c>
      <x:c r="B107" s="18" t="str">
        <x:v>seedance-2.0-fast</x:v>
      </x:c>
      <x:c r="C107" s="18" t="str">
        <x:v>video-2.0-fast</x:v>
      </x:c>
      <x:c r="D107" s="18" t="str">
        <x:v>merge</x:v>
      </x:c>
      <x:c r="E107" s="18" t="str">
        <x:v>secure-overseas</x:v>
      </x:c>
      <x:c r="F107" s="18" t="str">
        <x:v>video-2.0-fast</x:v>
      </x:c>
      <x:c r="G107" s="18" t="str">
        <x:v>SKU-SD20-FAST-720</x:v>
      </x:c>
      <x:c r="H107" s="18" t="str">
        <x:v>720p</x:v>
      </x:c>
      <x:c r="I107" s="18" t="str">
        <x:v>720p</x:v>
      </x:c>
      <x:c r="J107" s="18" t="n">
        <x:v>4</x:v>
      </x:c>
      <x:c r="K107" s="18" t="n">
        <x:v>15</x:v>
      </x:c>
      <x:c r="L107" s="18"/>
      <x:c r="M107" s="18" t="n">
        <x:v>100</x:v>
      </x:c>
      <x:c r="N107" s="23" t="b">
        <x:v>0</x:v>
      </x:c>
    </x:row>
    <x:row r="108">
      <x:c r="A108" s="20" t="str">
        <x:v>ROUTE-MAP-SECURE-R75-720</x:v>
      </x:c>
      <x:c r="B108" s="18" t="str">
        <x:v>seedance-2.0-mini</x:v>
      </x:c>
      <x:c r="C108" s="18" t="str">
        <x:v>video-2.0-mini</x:v>
      </x:c>
      <x:c r="D108" s="18" t="str">
        <x:v>merge</x:v>
      </x:c>
      <x:c r="E108" s="18" t="str">
        <x:v>secure-overseas</x:v>
      </x:c>
      <x:c r="F108" s="18" t="str">
        <x:v>video-2.0-mini</x:v>
      </x:c>
      <x:c r="G108" s="18" t="str">
        <x:v>SKU-SD20-MINI-720</x:v>
      </x:c>
      <x:c r="H108" s="18" t="str">
        <x:v>720p</x:v>
      </x:c>
      <x:c r="I108" s="18" t="str">
        <x:v>720p</x:v>
      </x:c>
      <x:c r="J108" s="18" t="n">
        <x:v>4</x:v>
      </x:c>
      <x:c r="K108" s="18" t="n">
        <x:v>15</x:v>
      </x:c>
      <x:c r="L108" s="18"/>
      <x:c r="M108" s="18" t="n">
        <x:v>100</x:v>
      </x:c>
      <x:c r="N108" s="23" t="b">
        <x:v>0</x:v>
      </x:c>
    </x:row>
  </x:sheetData>
  <x:mergeCells>
    <x:mergeCell ref="A1:N1"/>
  </x:mergeCells>
  <x:dataValidations count="3">
    <x:dataValidation type="list" sqref="D5:D108">
      <x:formula1>"merge,replace,skip"</x:formula1>
    </x:dataValidation>
    <x:dataValidation type="list" sqref="L5:L108">
      <x:formula1>"true,false"</x:formula1>
    </x:dataValidation>
    <x:dataValidation type="list" sqref="N5:N108">
      <x:formula1>"false"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00000000000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6" hidden="0" customWidth="1"/>
    <x:col min="8" max="8" width="42" hidden="0" customWidth="1"/>
  </x:cols>
  <x:sheetData>
    <x:row r="1" ht="25" customHeight="1">
      <x:c r="A1" s="3" t="str">
        <x:v>渠道模型成本与利润配置模板 v2 - 模型映射</x:v>
      </x:c>
      <x:c r="B1" s="3"/>
      <x:c r="C1" s="3"/>
      <x:c r="D1" s="3"/>
      <x:c r="E1" s="3"/>
      <x:c r="F1" s="3"/>
      <x:c r="G1" s="3"/>
      <x:c r="H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  <x:c r="F2" s="5"/>
      <x:c r="G2" s="5"/>
      <x:c r="H2" s="5"/>
    </x:row>
    <x:row r="4" ht="36" customHeight="1">
      <x:c r="A4" s="14" t="str">
        <x:v>mapping_ref</x:v>
      </x:c>
      <x:c r="B4" s="15" t="str">
        <x:v>client_model</x:v>
      </x:c>
      <x:c r="C4" s="15" t="str">
        <x:v>line_ref</x:v>
      </x:c>
      <x:c r="D4" s="15" t="str">
        <x:v>upstream_model</x:v>
      </x:c>
      <x:c r="E4" s="15" t="str">
        <x:v>sku_ref</x:v>
      </x:c>
      <x:c r="F4" s="15" t="str">
        <x:v>route_target_ref</x:v>
      </x:c>
      <x:c r="G4" s="15" t="str">
        <x:v>source_ref</x:v>
      </x:c>
      <x:c r="H4" s="16" t="str">
        <x:v>note</x:v>
      </x:c>
    </x:row>
    <x:row r="5">
      <x:c r="A5" s="20" t="str">
        <x:v>MAP-4STOKEN-R116-480</x:v>
      </x:c>
      <x:c r="B5" s="18" t="str">
        <x:v>4sdance_fast431</x:v>
      </x:c>
      <x:c r="C5" s="18" t="str">
        <x:v>channel-4stoken</x:v>
      </x:c>
      <x:c r="D5" s="18" t="str">
        <x:v>4sdance_fast431</x:v>
      </x:c>
      <x:c r="E5" s="18" t="str">
        <x:v>SKU-SD20-FAST-480</x:v>
      </x:c>
      <x:c r="F5" s="18" t="str">
        <x:v>ROUTE-MAP-4STOKEN-R116-480</x:v>
      </x:c>
      <x:c r="G5" s="18" t="str">
        <x:v>SRC-CH-09</x:v>
      </x:c>
      <x:c r="H5" s="19" t="str">
        <x:v>原始业务ID=MAP-4STOKEN-R116-480; 来源定位=模型映射!120</x:v>
      </x:c>
    </x:row>
    <x:row r="6">
      <x:c r="A6" s="20" t="str">
        <x:v>MAP-4STOKEN-R117-720</x:v>
      </x:c>
      <x:c r="B6" s="18" t="str">
        <x:v>4sdance_fast431</x:v>
      </x:c>
      <x:c r="C6" s="18" t="str">
        <x:v>channel-4stoken</x:v>
      </x:c>
      <x:c r="D6" s="18" t="str">
        <x:v>4sdance_fast431</x:v>
      </x:c>
      <x:c r="E6" s="18" t="str">
        <x:v>SKU-SD20-FAST-720</x:v>
      </x:c>
      <x:c r="F6" s="18" t="str">
        <x:v>ROUTE-MAP-4STOKEN-R117-720</x:v>
      </x:c>
      <x:c r="G6" s="18" t="str">
        <x:v>SRC-CH-09</x:v>
      </x:c>
      <x:c r="H6" s="19" t="str">
        <x:v>原始业务ID=MAP-4STOKEN-R117-720; 来源定位=模型映射!121</x:v>
      </x:c>
    </x:row>
    <x:row r="7">
      <x:c r="A7" s="20" t="str">
        <x:v>MAP-4STOKEN-R118-1080</x:v>
      </x:c>
      <x:c r="B7" s="18" t="str">
        <x:v>4sdance_fast431</x:v>
      </x:c>
      <x:c r="C7" s="18" t="str">
        <x:v>channel-4stoken</x:v>
      </x:c>
      <x:c r="D7" s="18" t="str">
        <x:v>4sdance_fast431</x:v>
      </x:c>
      <x:c r="E7" s="18" t="str">
        <x:v>SKU-SD20-FAST-1080</x:v>
      </x:c>
      <x:c r="F7" s="18" t="str">
        <x:v>ROUTE-MAP-4STOKEN-R118-1080</x:v>
      </x:c>
      <x:c r="G7" s="18" t="str">
        <x:v>SRC-CH-09</x:v>
      </x:c>
      <x:c r="H7" s="19" t="str">
        <x:v>原始业务ID=MAP-4STOKEN-R118-1080; 来源定位=模型映射!122</x:v>
      </x:c>
    </x:row>
    <x:row r="8">
      <x:c r="A8" s="20" t="str">
        <x:v>MAP-4STOKEN-R119-480</x:v>
      </x:c>
      <x:c r="B8" s="18" t="str">
        <x:v>4sdance431</x:v>
      </x:c>
      <x:c r="C8" s="18" t="str">
        <x:v>channel-4stoken</x:v>
      </x:c>
      <x:c r="D8" s="18" t="str">
        <x:v>4sdance431</x:v>
      </x:c>
      <x:c r="E8" s="18" t="str">
        <x:v>SKU-SD20-STD-480</x:v>
      </x:c>
      <x:c r="F8" s="18" t="str">
        <x:v>ROUTE-MAP-4STOKEN-R119-480</x:v>
      </x:c>
      <x:c r="G8" s="18" t="str">
        <x:v>SRC-CH-09</x:v>
      </x:c>
      <x:c r="H8" s="19" t="str">
        <x:v>原始业务ID=MAP-4STOKEN-R119-480; 来源定位=模型映射!123</x:v>
      </x:c>
    </x:row>
    <x:row r="9">
      <x:c r="A9" s="20" t="str">
        <x:v>MAP-4STOKEN-R120-720</x:v>
      </x:c>
      <x:c r="B9" s="18" t="str">
        <x:v>4sdance431</x:v>
      </x:c>
      <x:c r="C9" s="18" t="str">
        <x:v>channel-4stoken</x:v>
      </x:c>
      <x:c r="D9" s="18" t="str">
        <x:v>4sdance431</x:v>
      </x:c>
      <x:c r="E9" s="18" t="str">
        <x:v>SKU-SD20-STD-720</x:v>
      </x:c>
      <x:c r="F9" s="18" t="str">
        <x:v>ROUTE-MAP-4STOKEN-R120-720</x:v>
      </x:c>
      <x:c r="G9" s="18" t="str">
        <x:v>SRC-CH-09</x:v>
      </x:c>
      <x:c r="H9" s="19" t="str">
        <x:v>原始业务ID=MAP-4STOKEN-R120-720; 来源定位=模型映射!124</x:v>
      </x:c>
    </x:row>
    <x:row r="10">
      <x:c r="A10" s="20" t="str">
        <x:v>MAP-4STOKEN-R121-720</x:v>
      </x:c>
      <x:c r="B10" s="18" t="str">
        <x:v>4sdance_v2.0_900</x:v>
      </x:c>
      <x:c r="C10" s="18" t="str">
        <x:v>channel-4stoken</x:v>
      </x:c>
      <x:c r="D10" s="18" t="str">
        <x:v>4sdance_v2.0_900</x:v>
      </x:c>
      <x:c r="E10" s="18" t="str">
        <x:v>SKU-SD20-STD-720</x:v>
      </x:c>
      <x:c r="F10" s="18" t="str">
        <x:v>ROUTE-MAP-4STOKEN-R121-720</x:v>
      </x:c>
      <x:c r="G10" s="18" t="str">
        <x:v>SRC-CH-09</x:v>
      </x:c>
      <x:c r="H10" s="19" t="str">
        <x:v>原始业务ID=MAP-4STOKEN-R121-720; 来源定位=模型映射!125</x:v>
      </x:c>
    </x:row>
    <x:row r="11">
      <x:c r="A11" s="20" t="str">
        <x:v>MAP-4STOKEN-R122-720</x:v>
      </x:c>
      <x:c r="B11" s="18" t="str">
        <x:v>4sdance933_fast</x:v>
      </x:c>
      <x:c r="C11" s="18" t="str">
        <x:v>channel-4stoken</x:v>
      </x:c>
      <x:c r="D11" s="18" t="str">
        <x:v>4sdance933_fast</x:v>
      </x:c>
      <x:c r="E11" s="18" t="str">
        <x:v>SKU-SD20-FAST-720</x:v>
      </x:c>
      <x:c r="F11" s="18" t="str">
        <x:v>ROUTE-MAP-4STOKEN-R122-720</x:v>
      </x:c>
      <x:c r="G11" s="18" t="str">
        <x:v>SRC-CH-09</x:v>
      </x:c>
      <x:c r="H11" s="19" t="str">
        <x:v>原始业务ID=MAP-4STOKEN-R122-720; 来源定位=模型映射!126</x:v>
      </x:c>
    </x:row>
    <x:row r="12">
      <x:c r="A12" s="20" t="str">
        <x:v>MAP-4STOKEN-R123-720</x:v>
      </x:c>
      <x:c r="B12" s="18" t="str">
        <x:v>4sdance_fast_933face</x:v>
      </x:c>
      <x:c r="C12" s="18" t="str">
        <x:v>channel-4stoken</x:v>
      </x:c>
      <x:c r="D12" s="18" t="str">
        <x:v>4sdance_fast_933face</x:v>
      </x:c>
      <x:c r="E12" s="18" t="str">
        <x:v>SKU-SD20-FAST-720</x:v>
      </x:c>
      <x:c r="F12" s="18" t="str">
        <x:v>ROUTE-MAP-4STOKEN-R123-720</x:v>
      </x:c>
      <x:c r="G12" s="18" t="str">
        <x:v>SRC-CH-09</x:v>
      </x:c>
      <x:c r="H12" s="19" t="str">
        <x:v>原始业务ID=MAP-4STOKEN-R123-720; 来源定位=模型映射!127</x:v>
      </x:c>
    </x:row>
    <x:row r="13">
      <x:c r="A13" s="20" t="str">
        <x:v>MAP-4STOKEN-R124-720</x:v>
      </x:c>
      <x:c r="B13" s="18" t="str">
        <x:v>4sdance933</x:v>
      </x:c>
      <x:c r="C13" s="18" t="str">
        <x:v>channel-4stoken</x:v>
      </x:c>
      <x:c r="D13" s="18" t="str">
        <x:v>4sdance933</x:v>
      </x:c>
      <x:c r="E13" s="18" t="str">
        <x:v>SKU-SD20-STD-720</x:v>
      </x:c>
      <x:c r="F13" s="18" t="str">
        <x:v>ROUTE-MAP-4STOKEN-R124-720</x:v>
      </x:c>
      <x:c r="G13" s="18" t="str">
        <x:v>SRC-CH-09</x:v>
      </x:c>
      <x:c r="H13" s="19" t="str">
        <x:v>原始业务ID=MAP-4STOKEN-R124-720; 来源定位=模型映射!128</x:v>
      </x:c>
    </x:row>
    <x:row r="14">
      <x:c r="A14" s="20" t="str">
        <x:v>MAP-4STOKEN-R125-480</x:v>
      </x:c>
      <x:c r="B14" s="18" t="str">
        <x:v>4sdance_431_480p</x:v>
      </x:c>
      <x:c r="C14" s="18" t="str">
        <x:v>channel-4stoken</x:v>
      </x:c>
      <x:c r="D14" s="18" t="str">
        <x:v>4sdance_431_480p</x:v>
      </x:c>
      <x:c r="E14" s="18" t="str">
        <x:v>SKU-SD20-STD-480</x:v>
      </x:c>
      <x:c r="F14" s="18" t="str">
        <x:v>ROUTE-MAP-4STOKEN-R125-480</x:v>
      </x:c>
      <x:c r="G14" s="18" t="str">
        <x:v>SRC-CH-09</x:v>
      </x:c>
      <x:c r="H14" s="19" t="str">
        <x:v>原始业务ID=MAP-4STOKEN-R125-480; 来源定位=模型映射!129</x:v>
      </x:c>
    </x:row>
    <x:row r="15">
      <x:c r="A15" s="20" t="str">
        <x:v>MAP-8YES-R60-480</x:v>
      </x:c>
      <x:c r="B15" s="18" t="str">
        <x:v>seedance-2.0</x:v>
      </x:c>
      <x:c r="C15" s="18" t="str">
        <x:v>channel-8yes</x:v>
      </x:c>
      <x:c r="D15" s="18" t="str">
        <x:v>seedance-2.0</x:v>
      </x:c>
      <x:c r="E15" s="18" t="str">
        <x:v>SKU-SD20-STD-480</x:v>
      </x:c>
      <x:c r="F15" s="18" t="str">
        <x:v>ROUTE-MAP-8YES-R60-480</x:v>
      </x:c>
      <x:c r="G15" s="18" t="str">
        <x:v>SRC-CH-04</x:v>
      </x:c>
      <x:c r="H15" s="19" t="str">
        <x:v>原始业务ID=MAP-8YES-R60-480; 来源定位=模型映射!59</x:v>
      </x:c>
    </x:row>
    <x:row r="16">
      <x:c r="A16" s="20" t="str">
        <x:v>MAP-8YES-R60-720</x:v>
      </x:c>
      <x:c r="B16" s="18" t="str">
        <x:v>seedance-2.0</x:v>
      </x:c>
      <x:c r="C16" s="18" t="str">
        <x:v>channel-8yes</x:v>
      </x:c>
      <x:c r="D16" s="18" t="str">
        <x:v>seedance-2.0</x:v>
      </x:c>
      <x:c r="E16" s="18" t="str">
        <x:v>SKU-SD20-STD-720</x:v>
      </x:c>
      <x:c r="F16" s="18" t="str">
        <x:v>ROUTE-MAP-8YES-R60-720</x:v>
      </x:c>
      <x:c r="G16" s="18" t="str">
        <x:v>SRC-CH-04</x:v>
      </x:c>
      <x:c r="H16" s="19" t="str">
        <x:v>原始业务ID=MAP-8YES-R60-720; 来源定位=模型映射!60</x:v>
      </x:c>
    </x:row>
    <x:row r="17">
      <x:c r="A17" s="20" t="str">
        <x:v>MAP-8YES-R61-1080</x:v>
      </x:c>
      <x:c r="B17" s="18" t="str">
        <x:v>seedance-2.0-1080p</x:v>
      </x:c>
      <x:c r="C17" s="18" t="str">
        <x:v>channel-8yes</x:v>
      </x:c>
      <x:c r="D17" s="18" t="str">
        <x:v>seedance-2.0-1080p</x:v>
      </x:c>
      <x:c r="E17" s="18" t="str">
        <x:v>SKU-SD20-STD-1080</x:v>
      </x:c>
      <x:c r="F17" s="18" t="str">
        <x:v>ROUTE-MAP-8YES-R61-1080</x:v>
      </x:c>
      <x:c r="G17" s="18" t="str">
        <x:v>SRC-CH-04</x:v>
      </x:c>
      <x:c r="H17" s="19" t="str">
        <x:v>原始业务ID=MAP-8YES-R61-1080; 来源定位=模型映射!61</x:v>
      </x:c>
    </x:row>
    <x:row r="18">
      <x:c r="A18" s="20" t="str">
        <x:v>MAP-8YES-R62-480</x:v>
      </x:c>
      <x:c r="B18" s="18" t="str">
        <x:v>seedance-2.0-480p</x:v>
      </x:c>
      <x:c r="C18" s="18" t="str">
        <x:v>channel-8yes</x:v>
      </x:c>
      <x:c r="D18" s="18" t="str">
        <x:v>seedance-2.0-480p</x:v>
      </x:c>
      <x:c r="E18" s="18" t="str">
        <x:v>SKU-SD20-STD-480</x:v>
      </x:c>
      <x:c r="F18" s="18" t="str">
        <x:v>ROUTE-MAP-8YES-R62-480</x:v>
      </x:c>
      <x:c r="G18" s="18" t="str">
        <x:v>SRC-CH-04</x:v>
      </x:c>
      <x:c r="H18" s="19" t="str">
        <x:v>原始业务ID=MAP-8YES-R62-480; 来源定位=模型映射!62</x:v>
      </x:c>
    </x:row>
    <x:row r="19">
      <x:c r="A19" s="20" t="str">
        <x:v>MAP-8YES-R63-4K</x:v>
      </x:c>
      <x:c r="B19" s="18" t="str">
        <x:v>seedance-2.0-4k</x:v>
      </x:c>
      <x:c r="C19" s="18" t="str">
        <x:v>channel-8yes</x:v>
      </x:c>
      <x:c r="D19" s="18" t="str">
        <x:v>seedance-2.0-4k</x:v>
      </x:c>
      <x:c r="E19" s="18" t="str">
        <x:v>SKU-SD20-STD-4K</x:v>
      </x:c>
      <x:c r="F19" s="18" t="str">
        <x:v>ROUTE-MAP-8YES-R63-4K</x:v>
      </x:c>
      <x:c r="G19" s="18" t="str">
        <x:v>SRC-CH-04</x:v>
      </x:c>
      <x:c r="H19" s="19" t="str">
        <x:v>原始业务ID=MAP-8YES-R63-4K; 来源定位=模型映射!63</x:v>
      </x:c>
    </x:row>
    <x:row r="20">
      <x:c r="A20" s="20" t="str">
        <x:v>MAP-8YES-R64-720</x:v>
      </x:c>
      <x:c r="B20" s="18" t="str">
        <x:v>seedance-2.0-720p</x:v>
      </x:c>
      <x:c r="C20" s="18" t="str">
        <x:v>channel-8yes</x:v>
      </x:c>
      <x:c r="D20" s="18" t="str">
        <x:v>seedance-2.0-720p</x:v>
      </x:c>
      <x:c r="E20" s="18" t="str">
        <x:v>SKU-SD20-STD-720</x:v>
      </x:c>
      <x:c r="F20" s="18" t="str">
        <x:v>ROUTE-MAP-8YES-R64-720</x:v>
      </x:c>
      <x:c r="G20" s="18" t="str">
        <x:v>SRC-CH-04</x:v>
      </x:c>
      <x:c r="H20" s="19" t="str">
        <x:v>原始业务ID=MAP-8YES-R64-720; 来源定位=模型映射!64</x:v>
      </x:c>
    </x:row>
    <x:row r="21">
      <x:c r="A21" s="20" t="str">
        <x:v>MAP-CANGYUANSUANLI-R77-480</x:v>
      </x:c>
      <x:c r="B21" s="18" t="str">
        <x:v>sd5-seedance-2.0</x:v>
      </x:c>
      <x:c r="C21" s="18" t="str">
        <x:v>channel-cangyuansuanli</x:v>
      </x:c>
      <x:c r="D21" s="18" t="str">
        <x:v>sd5-seedance-2.0</x:v>
      </x:c>
      <x:c r="E21" s="18" t="str">
        <x:v>SKU-SD20-STD-480</x:v>
      </x:c>
      <x:c r="F21" s="18" t="str">
        <x:v>ROUTE-MAP-CANGYUANSUANLI-R77-480</x:v>
      </x:c>
      <x:c r="G21" s="18" t="str">
        <x:v>SRC-CH-06</x:v>
      </x:c>
      <x:c r="H21" s="19" t="str">
        <x:v>原始业务ID=MAP-CANGYUANSUANLI-R77-480; 来源定位=模型映射!79</x:v>
      </x:c>
    </x:row>
    <x:row r="22">
      <x:c r="A22" s="20" t="str">
        <x:v>MAP-CANGYUANSUANLI-R77-720</x:v>
      </x:c>
      <x:c r="B22" s="18" t="str">
        <x:v>sd5-seedance-2.0</x:v>
      </x:c>
      <x:c r="C22" s="18" t="str">
        <x:v>channel-cangyuansuanli</x:v>
      </x:c>
      <x:c r="D22" s="18" t="str">
        <x:v>sd5-seedance-2.0</x:v>
      </x:c>
      <x:c r="E22" s="18" t="str">
        <x:v>SKU-SD20-STD-720</x:v>
      </x:c>
      <x:c r="F22" s="18" t="str">
        <x:v>ROUTE-MAP-CANGYUANSUANLI-R77-720</x:v>
      </x:c>
      <x:c r="G22" s="18" t="str">
        <x:v>SRC-CH-06</x:v>
      </x:c>
      <x:c r="H22" s="19" t="str">
        <x:v>原始业务ID=MAP-CANGYUANSUANLI-R77-720; 来源定位=模型映射!80</x:v>
      </x:c>
    </x:row>
    <x:row r="23">
      <x:c r="A23" s="20" t="str">
        <x:v>MAP-CANGYUANSUANLI-R78-480</x:v>
      </x:c>
      <x:c r="B23" s="18" t="str">
        <x:v>sd5-seedance-2.0-fast</x:v>
      </x:c>
      <x:c r="C23" s="18" t="str">
        <x:v>channel-cangyuansuanli</x:v>
      </x:c>
      <x:c r="D23" s="18" t="str">
        <x:v>sd5-seedance-2.0-fast</x:v>
      </x:c>
      <x:c r="E23" s="18" t="str">
        <x:v>SKU-SD20-FAST-480</x:v>
      </x:c>
      <x:c r="F23" s="18" t="str">
        <x:v>ROUTE-MAP-CANGYUANSUANLI-R78-480</x:v>
      </x:c>
      <x:c r="G23" s="18" t="str">
        <x:v>SRC-CH-06</x:v>
      </x:c>
      <x:c r="H23" s="19" t="str">
        <x:v>原始业务ID=MAP-CANGYUANSUANLI-R78-480; 来源定位=模型映射!81</x:v>
      </x:c>
    </x:row>
    <x:row r="24">
      <x:c r="A24" s="20" t="str">
        <x:v>MAP-CANGYUANSUANLI-R78-720</x:v>
      </x:c>
      <x:c r="B24" s="18" t="str">
        <x:v>sd5-seedance-2.0-fast</x:v>
      </x:c>
      <x:c r="C24" s="18" t="str">
        <x:v>channel-cangyuansuanli</x:v>
      </x:c>
      <x:c r="D24" s="18" t="str">
        <x:v>sd5-seedance-2.0-fast</x:v>
      </x:c>
      <x:c r="E24" s="18" t="str">
        <x:v>SKU-SD20-FAST-720</x:v>
      </x:c>
      <x:c r="F24" s="18" t="str">
        <x:v>ROUTE-MAP-CANGYUANSUANLI-R78-720</x:v>
      </x:c>
      <x:c r="G24" s="18" t="str">
        <x:v>SRC-CH-06</x:v>
      </x:c>
      <x:c r="H24" s="19" t="str">
        <x:v>原始业务ID=MAP-CANGYUANSUANLI-R78-720; 来源定位=模型映射!82</x:v>
      </x:c>
    </x:row>
    <x:row r="25">
      <x:c r="A25" s="20" t="str">
        <x:v>MAP-CANGYUANSUANLI-R79-480</x:v>
      </x:c>
      <x:c r="B25" s="18" t="str">
        <x:v>seedance-2.0</x:v>
      </x:c>
      <x:c r="C25" s="18" t="str">
        <x:v>channel-cangyuansuanli</x:v>
      </x:c>
      <x:c r="D25" s="18" t="str">
        <x:v>seedance-2.0</x:v>
      </x:c>
      <x:c r="E25" s="18" t="str">
        <x:v>SKU-SD20-STD-480</x:v>
      </x:c>
      <x:c r="F25" s="18" t="str">
        <x:v>ROUTE-MAP-CANGYUANSUANLI-R79-480</x:v>
      </x:c>
      <x:c r="G25" s="18" t="str">
        <x:v>SRC-CH-06</x:v>
      </x:c>
      <x:c r="H25" s="19" t="str">
        <x:v>原始业务ID=MAP-CANGYUANSUANLI-R79-480; 来源定位=模型映射!83</x:v>
      </x:c>
    </x:row>
    <x:row r="26">
      <x:c r="A26" s="20" t="str">
        <x:v>MAP-CANGYUANSUANLI-R79-720</x:v>
      </x:c>
      <x:c r="B26" s="18" t="str">
        <x:v>seedance-2.0</x:v>
      </x:c>
      <x:c r="C26" s="18" t="str">
        <x:v>channel-cangyuansuanli</x:v>
      </x:c>
      <x:c r="D26" s="18" t="str">
        <x:v>seedance-2.0</x:v>
      </x:c>
      <x:c r="E26" s="18" t="str">
        <x:v>SKU-SD20-STD-720</x:v>
      </x:c>
      <x:c r="F26" s="18" t="str">
        <x:v>ROUTE-MAP-CANGYUANSUANLI-R79-720</x:v>
      </x:c>
      <x:c r="G26" s="18" t="str">
        <x:v>SRC-CH-06</x:v>
      </x:c>
      <x:c r="H26" s="19" t="str">
        <x:v>原始业务ID=MAP-CANGYUANSUANLI-R79-720; 来源定位=模型映射!84</x:v>
      </x:c>
    </x:row>
    <x:row r="27">
      <x:c r="A27" s="20" t="str">
        <x:v>MAP-CANGYUANSUANLI-R80-480</x:v>
      </x:c>
      <x:c r="B27" s="18" t="str">
        <x:v>seedance-2.0-fast</x:v>
      </x:c>
      <x:c r="C27" s="18" t="str">
        <x:v>channel-cangyuansuanli</x:v>
      </x:c>
      <x:c r="D27" s="18" t="str">
        <x:v>seedance-2.0-fast</x:v>
      </x:c>
      <x:c r="E27" s="18" t="str">
        <x:v>SKU-SD20-FAST-480</x:v>
      </x:c>
      <x:c r="F27" s="18" t="str">
        <x:v>ROUTE-MAP-CANGYUANSUANLI-R80-480</x:v>
      </x:c>
      <x:c r="G27" s="18" t="str">
        <x:v>SRC-CH-06</x:v>
      </x:c>
      <x:c r="H27" s="19" t="str">
        <x:v>原始业务ID=MAP-CANGYUANSUANLI-R80-480; 来源定位=模型映射!85</x:v>
      </x:c>
    </x:row>
    <x:row r="28">
      <x:c r="A28" s="20" t="str">
        <x:v>MAP-CANGYUANSUANLI-R80-720</x:v>
      </x:c>
      <x:c r="B28" s="18" t="str">
        <x:v>seedance-2.0-fast</x:v>
      </x:c>
      <x:c r="C28" s="18" t="str">
        <x:v>channel-cangyuansuanli</x:v>
      </x:c>
      <x:c r="D28" s="18" t="str">
        <x:v>seedance-2.0-fast</x:v>
      </x:c>
      <x:c r="E28" s="18" t="str">
        <x:v>SKU-SD20-FAST-720</x:v>
      </x:c>
      <x:c r="F28" s="18" t="str">
        <x:v>ROUTE-MAP-CANGYUANSUANLI-R80-720</x:v>
      </x:c>
      <x:c r="G28" s="18" t="str">
        <x:v>SRC-CH-06</x:v>
      </x:c>
      <x:c r="H28" s="19" t="str">
        <x:v>原始业务ID=MAP-CANGYUANSUANLI-R80-720; 来源定位=模型映射!86</x:v>
      </x:c>
    </x:row>
    <x:row r="29">
      <x:c r="A29" s="20" t="str">
        <x:v>MAP-CANGYUANSUANLI-R81-480</x:v>
      </x:c>
      <x:c r="B29" s="18" t="str">
        <x:v>seedance-2.0-mini</x:v>
      </x:c>
      <x:c r="C29" s="18" t="str">
        <x:v>channel-cangyuansuanli</x:v>
      </x:c>
      <x:c r="D29" s="18" t="str">
        <x:v>seedance-2.0-mini</x:v>
      </x:c>
      <x:c r="E29" s="18" t="str">
        <x:v>SKU-SD20-MINI-480</x:v>
      </x:c>
      <x:c r="F29" s="18" t="str">
        <x:v>ROUTE-MAP-CANGYUANSUANLI-R81-480</x:v>
      </x:c>
      <x:c r="G29" s="18" t="str">
        <x:v>SRC-CH-06</x:v>
      </x:c>
      <x:c r="H29" s="19" t="str">
        <x:v>原始业务ID=MAP-CANGYUANSUANLI-R81-480; 来源定位=模型映射!87</x:v>
      </x:c>
    </x:row>
    <x:row r="30">
      <x:c r="A30" s="20" t="str">
        <x:v>MAP-CANGYUANSUANLI-R81-720</x:v>
      </x:c>
      <x:c r="B30" s="18" t="str">
        <x:v>seedance-2.0-mini</x:v>
      </x:c>
      <x:c r="C30" s="18" t="str">
        <x:v>channel-cangyuansuanli</x:v>
      </x:c>
      <x:c r="D30" s="18" t="str">
        <x:v>seedance-2.0-mini</x:v>
      </x:c>
      <x:c r="E30" s="18" t="str">
        <x:v>SKU-SD20-MINI-720</x:v>
      </x:c>
      <x:c r="F30" s="18" t="str">
        <x:v>ROUTE-MAP-CANGYUANSUANLI-R81-720</x:v>
      </x:c>
      <x:c r="G30" s="18" t="str">
        <x:v>SRC-CH-06</x:v>
      </x:c>
      <x:c r="H30" s="19" t="str">
        <x:v>原始业务ID=MAP-CANGYUANSUANLI-R81-720; 来源定位=模型映射!88</x:v>
      </x:c>
    </x:row>
    <x:row r="31">
      <x:c r="A31" s="20" t="str">
        <x:v>MAP-CLMM-R10-720</x:v>
      </x:c>
      <x:c r="B31" s="18" t="str">
        <x:v>mg-seedance2.0 -720p fast</x:v>
      </x:c>
      <x:c r="C31" s="18" t="str">
        <x:v>channel-clmm</x:v>
      </x:c>
      <x:c r="D31" s="18" t="str">
        <x:v>mg-seedance2.0 -720p fast</x:v>
      </x:c>
      <x:c r="E31" s="18" t="str">
        <x:v>SKU-SD20-FAST-720</x:v>
      </x:c>
      <x:c r="F31" s="18" t="str">
        <x:v>ROUTE-MAP-CLMM-R10-720</x:v>
      </x:c>
      <x:c r="G31" s="18" t="str">
        <x:v>SRC-CH-01</x:v>
      </x:c>
      <x:c r="H31" s="19" t="str">
        <x:v>原始业务ID=MAP-CLMM-R10-720; 来源定位=模型映射!12</x:v>
      </x:c>
    </x:row>
    <x:row r="32">
      <x:c r="A32" s="20" t="str">
        <x:v>MAP-CLMM-R11-720</x:v>
      </x:c>
      <x:c r="B32" s="18" t="str">
        <x:v>mg-seedance2.0 -720p mini</x:v>
      </x:c>
      <x:c r="C32" s="18" t="str">
        <x:v>channel-clmm</x:v>
      </x:c>
      <x:c r="D32" s="18" t="str">
        <x:v>mg-seedance2.0 -720p mini</x:v>
      </x:c>
      <x:c r="E32" s="18" t="str">
        <x:v>SKU-SD20-MINI-720</x:v>
      </x:c>
      <x:c r="F32" s="18" t="str">
        <x:v>ROUTE-MAP-CLMM-R11-720</x:v>
      </x:c>
      <x:c r="G32" s="18" t="str">
        <x:v>SRC-CH-01</x:v>
      </x:c>
      <x:c r="H32" s="19" t="str">
        <x:v>原始业务ID=MAP-CLMM-R11-720; 来源定位=模型映射!13</x:v>
      </x:c>
    </x:row>
    <x:row r="33">
      <x:c r="A33" s="20" t="str">
        <x:v>MAP-CLMM-R12-720</x:v>
      </x:c>
      <x:c r="B33" s="18" t="str">
        <x:v>mg-seedance2.0 -720p pro</x:v>
      </x:c>
      <x:c r="C33" s="18" t="str">
        <x:v>channel-clmm</x:v>
      </x:c>
      <x:c r="D33" s="18" t="str">
        <x:v>mg-seedance2.0 -720p pro</x:v>
      </x:c>
      <x:c r="E33" s="18" t="str">
        <x:v>SKU-SD20-STD-720</x:v>
      </x:c>
      <x:c r="F33" s="18" t="str">
        <x:v>ROUTE-MAP-CLMM-R12-720</x:v>
      </x:c>
      <x:c r="G33" s="18" t="str">
        <x:v>SRC-CH-01</x:v>
      </x:c>
      <x:c r="H33" s="19" t="str">
        <x:v>原始业务ID=MAP-CLMM-R12-720; 来源定位=模型映射!14</x:v>
      </x:c>
    </x:row>
    <x:row r="34">
      <x:c r="A34" s="20" t="str">
        <x:v>MAP-CLMM-R3-720</x:v>
      </x:c>
      <x:c r="B34" s="18" t="str">
        <x:v>seedance 720p-fast</x:v>
      </x:c>
      <x:c r="C34" s="18" t="str">
        <x:v>channel-clmm</x:v>
      </x:c>
      <x:c r="D34" s="18" t="str">
        <x:v>seedance 720p-fast</x:v>
      </x:c>
      <x:c r="E34" s="18" t="str">
        <x:v>SKU-SD20-FAST-720</x:v>
      </x:c>
      <x:c r="F34" s="18" t="str">
        <x:v>ROUTE-MAP-CLMM-R3-720</x:v>
      </x:c>
      <x:c r="G34" s="18" t="str">
        <x:v>SRC-CH-01</x:v>
      </x:c>
      <x:c r="H34" s="19" t="str">
        <x:v>原始业务ID=MAP-CLMM-R3-720; 来源定位=模型映射!5</x:v>
      </x:c>
    </x:row>
    <x:row r="35">
      <x:c r="A35" s="20" t="str">
        <x:v>MAP-CLMM-R4-1080</x:v>
      </x:c>
      <x:c r="B35" s="18" t="str">
        <x:v>bb-seedance2.0 1080p-pro-gz-15s</x:v>
      </x:c>
      <x:c r="C35" s="18" t="str">
        <x:v>channel-clmm</x:v>
      </x:c>
      <x:c r="D35" s="18" t="str">
        <x:v>bb-seedance2.0 1080p-pro-gz-15s</x:v>
      </x:c>
      <x:c r="E35" s="18" t="str">
        <x:v>SKU-SD20-STD-1080</x:v>
      </x:c>
      <x:c r="F35" s="18" t="str">
        <x:v>ROUTE-MAP-CLMM-R4-1080</x:v>
      </x:c>
      <x:c r="G35" s="18" t="str">
        <x:v>SRC-CH-01</x:v>
      </x:c>
      <x:c r="H35" s="19" t="str">
        <x:v>原始业务ID=MAP-CLMM-R4-1080; 来源定位=模型映射!6</x:v>
      </x:c>
    </x:row>
    <x:row r="36">
      <x:c r="A36" s="20" t="str">
        <x:v>MAP-CLMM-R5-720</x:v>
      </x:c>
      <x:c r="B36" s="18" t="str">
        <x:v>bb-seedance2.0 720p-fast-gz-15s</x:v>
      </x:c>
      <x:c r="C36" s="18" t="str">
        <x:v>channel-clmm</x:v>
      </x:c>
      <x:c r="D36" s="18" t="str">
        <x:v>bb-seedance2.0 720p-fast-gz-15s</x:v>
      </x:c>
      <x:c r="E36" s="18" t="str">
        <x:v>SKU-SD20-FAST-720</x:v>
      </x:c>
      <x:c r="F36" s="18" t="str">
        <x:v>ROUTE-MAP-CLMM-R5-720</x:v>
      </x:c>
      <x:c r="G36" s="18" t="str">
        <x:v>SRC-CH-01</x:v>
      </x:c>
      <x:c r="H36" s="19" t="str">
        <x:v>原始业务ID=MAP-CLMM-R5-720; 来源定位=模型映射!7</x:v>
      </x:c>
    </x:row>
    <x:row r="37">
      <x:c r="A37" s="20" t="str">
        <x:v>MAP-CLMM-R6-720</x:v>
      </x:c>
      <x:c r="B37" s="18" t="str">
        <x:v>bb-seedance2.0 720p-pro-gz-15s</x:v>
      </x:c>
      <x:c r="C37" s="18" t="str">
        <x:v>channel-clmm</x:v>
      </x:c>
      <x:c r="D37" s="18" t="str">
        <x:v>bb-seedance2.0 720p-pro-gz-15s</x:v>
      </x:c>
      <x:c r="E37" s="18" t="str">
        <x:v>SKU-SD20-STD-720</x:v>
      </x:c>
      <x:c r="F37" s="18" t="str">
        <x:v>ROUTE-MAP-CLMM-R6-720</x:v>
      </x:c>
      <x:c r="G37" s="18" t="str">
        <x:v>SRC-CH-01</x:v>
      </x:c>
      <x:c r="H37" s="19" t="str">
        <x:v>原始业务ID=MAP-CLMM-R6-720; 来源定位=模型映射!8</x:v>
      </x:c>
    </x:row>
    <x:row r="38">
      <x:c r="A38" s="20" t="str">
        <x:v>MAP-CLMM-R7-480</x:v>
      </x:c>
      <x:c r="B38" s="18" t="str">
        <x:v>mg-seedance2.0 -480p</x:v>
      </x:c>
      <x:c r="C38" s="18" t="str">
        <x:v>channel-clmm</x:v>
      </x:c>
      <x:c r="D38" s="18" t="str">
        <x:v>mg-seedance2.0 -480p</x:v>
      </x:c>
      <x:c r="E38" s="18" t="str">
        <x:v>SKU-SD20-STD-480</x:v>
      </x:c>
      <x:c r="F38" s="18" t="str">
        <x:v>ROUTE-MAP-CLMM-R7-480</x:v>
      </x:c>
      <x:c r="G38" s="18" t="str">
        <x:v>SRC-CH-01</x:v>
      </x:c>
      <x:c r="H38" s="19" t="str">
        <x:v>原始业务ID=MAP-CLMM-R7-480; 来源定位=模型映射!9</x:v>
      </x:c>
    </x:row>
    <x:row r="39">
      <x:c r="A39" s="20" t="str">
        <x:v>MAP-CLMM-R8-480</x:v>
      </x:c>
      <x:c r="B39" s="18" t="str">
        <x:v>mg-seedance2.0 -480p fast</x:v>
      </x:c>
      <x:c r="C39" s="18" t="str">
        <x:v>channel-clmm</x:v>
      </x:c>
      <x:c r="D39" s="18" t="str">
        <x:v>mg-seedance2.0 -480p fast</x:v>
      </x:c>
      <x:c r="E39" s="18" t="str">
        <x:v>SKU-SD20-FAST-480</x:v>
      </x:c>
      <x:c r="F39" s="18" t="str">
        <x:v>ROUTE-MAP-CLMM-R8-480</x:v>
      </x:c>
      <x:c r="G39" s="18" t="str">
        <x:v>SRC-CH-01</x:v>
      </x:c>
      <x:c r="H39" s="19" t="str">
        <x:v>原始业务ID=MAP-CLMM-R8-480; 来源定位=模型映射!10</x:v>
      </x:c>
    </x:row>
    <x:row r="40">
      <x:c r="A40" s="20" t="str">
        <x:v>MAP-CLMM-R9-480</x:v>
      </x:c>
      <x:c r="B40" s="18" t="str">
        <x:v>mg-seedance2.0 -480p mini</x:v>
      </x:c>
      <x:c r="C40" s="18" t="str">
        <x:v>channel-clmm</x:v>
      </x:c>
      <x:c r="D40" s="18" t="str">
        <x:v>mg-seedance2.0 -480p mini</x:v>
      </x:c>
      <x:c r="E40" s="18" t="str">
        <x:v>SKU-SD20-MINI-480</x:v>
      </x:c>
      <x:c r="F40" s="18" t="str">
        <x:v>ROUTE-MAP-CLMM-R9-480</x:v>
      </x:c>
      <x:c r="G40" s="18" t="str">
        <x:v>SRC-CH-01</x:v>
      </x:c>
      <x:c r="H40" s="19" t="str">
        <x:v>原始业务ID=MAP-CLMM-R9-480; 来源定位=模型映射!11</x:v>
      </x:c>
    </x:row>
    <x:row r="41">
      <x:c r="A41" s="20" t="str">
        <x:v>MAP-DIMENSIO-R83-720</x:v>
      </x:c>
      <x:c r="B41" s="18" t="str">
        <x:v>jimeng-video-seedance-2.0-mini</x:v>
      </x:c>
      <x:c r="C41" s="18" t="str">
        <x:v>channel-dimensio</x:v>
      </x:c>
      <x:c r="D41" s="18" t="str">
        <x:v>jimeng-video-seedance-2.0-mini</x:v>
      </x:c>
      <x:c r="E41" s="18" t="str">
        <x:v>SKU-SD20-MINI-720</x:v>
      </x:c>
      <x:c r="F41" s="18" t="str">
        <x:v>ROUTE-MAP-DIMENSIO-R83-720</x:v>
      </x:c>
      <x:c r="G41" s="18" t="str">
        <x:v>SRC-CH-07</x:v>
      </x:c>
      <x:c r="H41" s="19" t="str">
        <x:v>原始业务ID=MAP-DIMENSIO-R83-720; 来源定位=模型映射!89</x:v>
      </x:c>
    </x:row>
    <x:row r="42">
      <x:c r="A42" s="20" t="str">
        <x:v>MAP-DIMENSIO-R84-720</x:v>
      </x:c>
      <x:c r="B42" s="18" t="str">
        <x:v>jimeng-video-seedance-2.0-fast-vip</x:v>
      </x:c>
      <x:c r="C42" s="18" t="str">
        <x:v>channel-dimensio</x:v>
      </x:c>
      <x:c r="D42" s="18" t="str">
        <x:v>jimeng-video-seedance-2.0-fast-vip</x:v>
      </x:c>
      <x:c r="E42" s="18" t="str">
        <x:v>SKU-SD20-FAST-720</x:v>
      </x:c>
      <x:c r="F42" s="18" t="str">
        <x:v>ROUTE-MAP-DIMENSIO-R84-720</x:v>
      </x:c>
      <x:c r="G42" s="18" t="str">
        <x:v>SRC-CH-07</x:v>
      </x:c>
      <x:c r="H42" s="19" t="str">
        <x:v>原始业务ID=MAP-DIMENSIO-R84-720; 来源定位=模型映射!90</x:v>
      </x:c>
    </x:row>
    <x:row r="43">
      <x:c r="A43" s="20" t="str">
        <x:v>MAP-DIMENSIO-R85-720</x:v>
      </x:c>
      <x:c r="B43" s="18" t="str">
        <x:v>jimeng-video-seedance-2.0-vip</x:v>
      </x:c>
      <x:c r="C43" s="18" t="str">
        <x:v>channel-dimensio</x:v>
      </x:c>
      <x:c r="D43" s="18" t="str">
        <x:v>jimeng-video-seedance-2.0-vip</x:v>
      </x:c>
      <x:c r="E43" s="18" t="str">
        <x:v>SKU-SD20-STD-720</x:v>
      </x:c>
      <x:c r="F43" s="18" t="str">
        <x:v>ROUTE-MAP-DIMENSIO-R85-720</x:v>
      </x:c>
      <x:c r="G43" s="18" t="str">
        <x:v>SRC-CH-07</x:v>
      </x:c>
      <x:c r="H43" s="19" t="str">
        <x:v>原始业务ID=MAP-DIMENSIO-R85-720; 来源定位=模型映射!91</x:v>
      </x:c>
    </x:row>
    <x:row r="44">
      <x:c r="A44" s="20" t="str">
        <x:v>MAP-DIMENSIO-R86-1080</x:v>
      </x:c>
      <x:c r="B44" s="18" t="str">
        <x:v>jimeng-video-seedance-2.0-vip</x:v>
      </x:c>
      <x:c r="C44" s="18" t="str">
        <x:v>channel-dimensio</x:v>
      </x:c>
      <x:c r="D44" s="18" t="str">
        <x:v>jimeng-video-seedance-2.0-vip</x:v>
      </x:c>
      <x:c r="E44" s="18" t="str">
        <x:v>SKU-SD20-STD-1080</x:v>
      </x:c>
      <x:c r="F44" s="18" t="str">
        <x:v>ROUTE-MAP-DIMENSIO-R86-1080</x:v>
      </x:c>
      <x:c r="G44" s="18" t="str">
        <x:v>SRC-CH-07</x:v>
      </x:c>
      <x:c r="H44" s="19" t="str">
        <x:v>原始业务ID=MAP-DIMENSIO-R86-1080; 来源定位=模型映射!92</x:v>
      </x:c>
    </x:row>
    <x:row r="45">
      <x:c r="A45" s="20" t="str">
        <x:v>MAP-DIMENSIO-R87-480</x:v>
      </x:c>
      <x:c r="B45" s="18" t="str">
        <x:v>dimensio-seedance-2.0</x:v>
      </x:c>
      <x:c r="C45" s="18" t="str">
        <x:v>channel-dimensio</x:v>
      </x:c>
      <x:c r="D45" s="18" t="str">
        <x:v>dimensio-seedance-2.0</x:v>
      </x:c>
      <x:c r="E45" s="18" t="str">
        <x:v>SKU-SD20-STD-480</x:v>
      </x:c>
      <x:c r="F45" s="18" t="str">
        <x:v>ROUTE-MAP-DIMENSIO-R87-480</x:v>
      </x:c>
      <x:c r="G45" s="18" t="str">
        <x:v>SRC-CH-07</x:v>
      </x:c>
      <x:c r="H45" s="19" t="str">
        <x:v>原始业务ID=MAP-DIMENSIO-R87-480; 来源定位=模型映射!93</x:v>
      </x:c>
    </x:row>
    <x:row r="46">
      <x:c r="A46" s="20" t="str">
        <x:v>MAP-DIMENSIO-R88-720</x:v>
      </x:c>
      <x:c r="B46" s="18" t="str">
        <x:v>dimensio-seedance-2.0</x:v>
      </x:c>
      <x:c r="C46" s="18" t="str">
        <x:v>channel-dimensio</x:v>
      </x:c>
      <x:c r="D46" s="18" t="str">
        <x:v>dimensio-seedance-2.0</x:v>
      </x:c>
      <x:c r="E46" s="18" t="str">
        <x:v>SKU-SD20-STD-720</x:v>
      </x:c>
      <x:c r="F46" s="18" t="str">
        <x:v>ROUTE-MAP-DIMENSIO-R88-720</x:v>
      </x:c>
      <x:c r="G46" s="18" t="str">
        <x:v>SRC-CH-07</x:v>
      </x:c>
      <x:c r="H46" s="19" t="str">
        <x:v>原始业务ID=MAP-DIMENSIO-R88-720; 来源定位=模型映射!94</x:v>
      </x:c>
    </x:row>
    <x:row r="47">
      <x:c r="A47" s="20" t="str">
        <x:v>MAP-DIMENSIO-R89-1080</x:v>
      </x:c>
      <x:c r="B47" s="18" t="str">
        <x:v>dimensio-seedance-2.0</x:v>
      </x:c>
      <x:c r="C47" s="18" t="str">
        <x:v>channel-dimensio</x:v>
      </x:c>
      <x:c r="D47" s="18" t="str">
        <x:v>dimensio-seedance-2.0</x:v>
      </x:c>
      <x:c r="E47" s="18" t="str">
        <x:v>SKU-SD20-STD-1080</x:v>
      </x:c>
      <x:c r="F47" s="18" t="str">
        <x:v>ROUTE-MAP-DIMENSIO-R89-1080</x:v>
      </x:c>
      <x:c r="G47" s="18" t="str">
        <x:v>SRC-CH-07</x:v>
      </x:c>
      <x:c r="H47" s="19" t="str">
        <x:v>原始业务ID=MAP-DIMENSIO-R89-1080; 来源定位=模型映射!95</x:v>
      </x:c>
    </x:row>
    <x:row r="48">
      <x:c r="A48" s="20" t="str">
        <x:v>MAP-DIMENSIO-R90-4K</x:v>
      </x:c>
      <x:c r="B48" s="18" t="str">
        <x:v>dimensio-seedance-2.0</x:v>
      </x:c>
      <x:c r="C48" s="18" t="str">
        <x:v>channel-dimensio</x:v>
      </x:c>
      <x:c r="D48" s="18" t="str">
        <x:v>dimensio-seedance-2.0</x:v>
      </x:c>
      <x:c r="E48" s="18" t="str">
        <x:v>SKU-SD20-STD-4K</x:v>
      </x:c>
      <x:c r="F48" s="18" t="str">
        <x:v>ROUTE-MAP-DIMENSIO-R90-4K</x:v>
      </x:c>
      <x:c r="G48" s="18" t="str">
        <x:v>SRC-CH-07</x:v>
      </x:c>
      <x:c r="H48" s="19" t="str">
        <x:v>原始业务ID=MAP-DIMENSIO-R90-4K; 来源定位=模型映射!96</x:v>
      </x:c>
    </x:row>
    <x:row r="49">
      <x:c r="A49" s="20" t="str">
        <x:v>MAP-DIMENSIO-R91-480</x:v>
      </x:c>
      <x:c r="B49" s="18" t="str">
        <x:v>dimensio-seedance-2.0-fast</x:v>
      </x:c>
      <x:c r="C49" s="18" t="str">
        <x:v>channel-dimensio</x:v>
      </x:c>
      <x:c r="D49" s="18" t="str">
        <x:v>dimensio-seedance-2.0-fast</x:v>
      </x:c>
      <x:c r="E49" s="18" t="str">
        <x:v>SKU-SD20-FAST-480</x:v>
      </x:c>
      <x:c r="F49" s="18" t="str">
        <x:v>ROUTE-MAP-DIMENSIO-R91-480</x:v>
      </x:c>
      <x:c r="G49" s="18" t="str">
        <x:v>SRC-CH-07</x:v>
      </x:c>
      <x:c r="H49" s="19" t="str">
        <x:v>原始业务ID=MAP-DIMENSIO-R91-480; 来源定位=模型映射!97</x:v>
      </x:c>
    </x:row>
    <x:row r="50">
      <x:c r="A50" s="20" t="str">
        <x:v>MAP-DIMENSIO-R92-720</x:v>
      </x:c>
      <x:c r="B50" s="18" t="str">
        <x:v>dimensio-seedance-2.0-fast</x:v>
      </x:c>
      <x:c r="C50" s="18" t="str">
        <x:v>channel-dimensio</x:v>
      </x:c>
      <x:c r="D50" s="18" t="str">
        <x:v>dimensio-seedance-2.0-fast</x:v>
      </x:c>
      <x:c r="E50" s="18" t="str">
        <x:v>SKU-SD20-FAST-720</x:v>
      </x:c>
      <x:c r="F50" s="18" t="str">
        <x:v>ROUTE-MAP-DIMENSIO-R92-720</x:v>
      </x:c>
      <x:c r="G50" s="18" t="str">
        <x:v>SRC-CH-07</x:v>
      </x:c>
      <x:c r="H50" s="19" t="str">
        <x:v>原始业务ID=MAP-DIMENSIO-R92-720; 来源定位=模型映射!98</x:v>
      </x:c>
    </x:row>
    <x:row r="51">
      <x:c r="A51" s="20" t="str">
        <x:v>MAP-LUCEN-R47-720</x:v>
      </x:c>
      <x:c r="B51" s="18" t="str">
        <x:v>seedance-720p-5s</x:v>
      </x:c>
      <x:c r="C51" s="18" t="str">
        <x:v>channel-lucen</x:v>
      </x:c>
      <x:c r="D51" s="18" t="str">
        <x:v>seedance-720p-5s</x:v>
      </x:c>
      <x:c r="E51" s="18" t="str">
        <x:v>SKU-SD20-STD-720</x:v>
      </x:c>
      <x:c r="F51" s="18" t="str">
        <x:v>ROUTE-MAP-LUCEN-R47-720</x:v>
      </x:c>
      <x:c r="G51" s="18" t="str">
        <x:v>SRC-CH-03</x:v>
      </x:c>
      <x:c r="H51" s="19" t="str">
        <x:v>原始业务ID=MAP-LUCEN-R47-720; 来源定位=模型映射!47</x:v>
      </x:c>
    </x:row>
    <x:row r="52">
      <x:c r="A52" s="20" t="str">
        <x:v>MAP-LUCEN-R48-720</x:v>
      </x:c>
      <x:c r="B52" s="18" t="str">
        <x:v>seedance-720p-10s</x:v>
      </x:c>
      <x:c r="C52" s="18" t="str">
        <x:v>channel-lucen</x:v>
      </x:c>
      <x:c r="D52" s="18" t="str">
        <x:v>seedance-720p-10s</x:v>
      </x:c>
      <x:c r="E52" s="18" t="str">
        <x:v>SKU-SD20-STD-720</x:v>
      </x:c>
      <x:c r="F52" s="18" t="str">
        <x:v>ROUTE-MAP-LUCEN-R48-720</x:v>
      </x:c>
      <x:c r="G52" s="18" t="str">
        <x:v>SRC-CH-03</x:v>
      </x:c>
      <x:c r="H52" s="19" t="str">
        <x:v>原始业务ID=MAP-LUCEN-R48-720; 来源定位=模型映射!48</x:v>
      </x:c>
    </x:row>
    <x:row r="53">
      <x:c r="A53" s="20" t="str">
        <x:v>MAP-LUCEN-R49-720</x:v>
      </x:c>
      <x:c r="B53" s="18" t="str">
        <x:v>seedance-720p-15s</x:v>
      </x:c>
      <x:c r="C53" s="18" t="str">
        <x:v>channel-lucen</x:v>
      </x:c>
      <x:c r="D53" s="18" t="str">
        <x:v>seedance-720p-15s</x:v>
      </x:c>
      <x:c r="E53" s="18" t="str">
        <x:v>SKU-SD20-STD-720</x:v>
      </x:c>
      <x:c r="F53" s="18" t="str">
        <x:v>ROUTE-MAP-LUCEN-R49-720</x:v>
      </x:c>
      <x:c r="G53" s="18" t="str">
        <x:v>SRC-CH-03</x:v>
      </x:c>
      <x:c r="H53" s="19" t="str">
        <x:v>原始业务ID=MAP-LUCEN-R49-720; 来源定位=模型映射!49</x:v>
      </x:c>
    </x:row>
    <x:row r="54">
      <x:c r="A54" s="20" t="str">
        <x:v>MAP-LUCEN-R50-480</x:v>
      </x:c>
      <x:c r="B54" s="18" t="str">
        <x:v>seedance-480p-5s</x:v>
      </x:c>
      <x:c r="C54" s="18" t="str">
        <x:v>channel-lucen</x:v>
      </x:c>
      <x:c r="D54" s="18" t="str">
        <x:v>seedance-480p-5s</x:v>
      </x:c>
      <x:c r="E54" s="18" t="str">
        <x:v>SKU-SD20-STD-480</x:v>
      </x:c>
      <x:c r="F54" s="18" t="str">
        <x:v>ROUTE-MAP-LUCEN-R50-480</x:v>
      </x:c>
      <x:c r="G54" s="18" t="str">
        <x:v>SRC-CH-03</x:v>
      </x:c>
      <x:c r="H54" s="19" t="str">
        <x:v>原始业务ID=MAP-LUCEN-R50-480; 来源定位=模型映射!50</x:v>
      </x:c>
    </x:row>
    <x:row r="55">
      <x:c r="A55" s="20" t="str">
        <x:v>MAP-LUCEN-R51-480</x:v>
      </x:c>
      <x:c r="B55" s="18" t="str">
        <x:v>seedance-480p-10s</x:v>
      </x:c>
      <x:c r="C55" s="18" t="str">
        <x:v>channel-lucen</x:v>
      </x:c>
      <x:c r="D55" s="18" t="str">
        <x:v>seedance-480p-10s</x:v>
      </x:c>
      <x:c r="E55" s="18" t="str">
        <x:v>SKU-SD20-STD-480</x:v>
      </x:c>
      <x:c r="F55" s="18" t="str">
        <x:v>ROUTE-MAP-LUCEN-R51-480</x:v>
      </x:c>
      <x:c r="G55" s="18" t="str">
        <x:v>SRC-CH-03</x:v>
      </x:c>
      <x:c r="H55" s="19" t="str">
        <x:v>原始业务ID=MAP-LUCEN-R51-480; 来源定位=模型映射!51</x:v>
      </x:c>
    </x:row>
    <x:row r="56">
      <x:c r="A56" s="20" t="str">
        <x:v>MAP-LUCEN-R52-480</x:v>
      </x:c>
      <x:c r="B56" s="18" t="str">
        <x:v>seedance-480p-15s</x:v>
      </x:c>
      <x:c r="C56" s="18" t="str">
        <x:v>channel-lucen</x:v>
      </x:c>
      <x:c r="D56" s="18" t="str">
        <x:v>seedance-480p-15s</x:v>
      </x:c>
      <x:c r="E56" s="18" t="str">
        <x:v>SKU-SD20-STD-480</x:v>
      </x:c>
      <x:c r="F56" s="18" t="str">
        <x:v>ROUTE-MAP-LUCEN-R52-480</x:v>
      </x:c>
      <x:c r="G56" s="18" t="str">
        <x:v>SRC-CH-03</x:v>
      </x:c>
      <x:c r="H56" s="19" t="str">
        <x:v>原始业务ID=MAP-LUCEN-R52-480; 来源定位=模型映射!52</x:v>
      </x:c>
    </x:row>
    <x:row r="57">
      <x:c r="A57" s="20" t="str">
        <x:v>MAP-LUCEN-R53-1080</x:v>
      </x:c>
      <x:c r="B57" s="18" t="str">
        <x:v>seedance-1080p-5s</x:v>
      </x:c>
      <x:c r="C57" s="18" t="str">
        <x:v>channel-lucen</x:v>
      </x:c>
      <x:c r="D57" s="18" t="str">
        <x:v>seedance-1080p-5s</x:v>
      </x:c>
      <x:c r="E57" s="18" t="str">
        <x:v>SKU-SD20-STD-1080</x:v>
      </x:c>
      <x:c r="F57" s="18" t="str">
        <x:v>ROUTE-MAP-LUCEN-R53-1080</x:v>
      </x:c>
      <x:c r="G57" s="18" t="str">
        <x:v>SRC-CH-03</x:v>
      </x:c>
      <x:c r="H57" s="19" t="str">
        <x:v>原始业务ID=MAP-LUCEN-R53-1080; 来源定位=模型映射!53</x:v>
      </x:c>
    </x:row>
    <x:row r="58">
      <x:c r="A58" s="20" t="str">
        <x:v>MAP-LUCEN-R54-1080</x:v>
      </x:c>
      <x:c r="B58" s="18" t="str">
        <x:v>seedance-1080p-10s</x:v>
      </x:c>
      <x:c r="C58" s="18" t="str">
        <x:v>channel-lucen</x:v>
      </x:c>
      <x:c r="D58" s="18" t="str">
        <x:v>seedance-1080p-10s</x:v>
      </x:c>
      <x:c r="E58" s="18" t="str">
        <x:v>SKU-SD20-STD-1080</x:v>
      </x:c>
      <x:c r="F58" s="18" t="str">
        <x:v>ROUTE-MAP-LUCEN-R54-1080</x:v>
      </x:c>
      <x:c r="G58" s="18" t="str">
        <x:v>SRC-CH-03</x:v>
      </x:c>
      <x:c r="H58" s="19" t="str">
        <x:v>原始业务ID=MAP-LUCEN-R54-1080; 来源定位=模型映射!54</x:v>
      </x:c>
    </x:row>
    <x:row r="59">
      <x:c r="A59" s="20" t="str">
        <x:v>MAP-LUCEN-R55-1080</x:v>
      </x:c>
      <x:c r="B59" s="18" t="str">
        <x:v>seedance-1080p-15s</x:v>
      </x:c>
      <x:c r="C59" s="18" t="str">
        <x:v>channel-lucen</x:v>
      </x:c>
      <x:c r="D59" s="18" t="str">
        <x:v>seedance-1080p-15s</x:v>
      </x:c>
      <x:c r="E59" s="18" t="str">
        <x:v>SKU-SD20-STD-1080</x:v>
      </x:c>
      <x:c r="F59" s="18" t="str">
        <x:v>ROUTE-MAP-LUCEN-R55-1080</x:v>
      </x:c>
      <x:c r="G59" s="18" t="str">
        <x:v>SRC-CH-03</x:v>
      </x:c>
      <x:c r="H59" s="19" t="str">
        <x:v>原始业务ID=MAP-LUCEN-R55-1080; 来源定位=模型映射!55</x:v>
      </x:c>
    </x:row>
    <x:row r="60">
      <x:c r="A60" s="20" t="str">
        <x:v>MAP-LUCEN-R56-480</x:v>
      </x:c>
      <x:c r="B60" s="18" t="str">
        <x:v>seedance-480p-token</x:v>
      </x:c>
      <x:c r="C60" s="18" t="str">
        <x:v>channel-lucen</x:v>
      </x:c>
      <x:c r="D60" s="18" t="str">
        <x:v>seedance-480p-token</x:v>
      </x:c>
      <x:c r="E60" s="18" t="str">
        <x:v>SKU-SD20-STD-480</x:v>
      </x:c>
      <x:c r="F60" s="18" t="str">
        <x:v>ROUTE-MAP-LUCEN-R56-480</x:v>
      </x:c>
      <x:c r="G60" s="18" t="str">
        <x:v>SRC-CH-03</x:v>
      </x:c>
      <x:c r="H60" s="19" t="str">
        <x:v>原始业务ID=MAP-LUCEN-R56-480; 来源定位=模型映射!56</x:v>
      </x:c>
    </x:row>
    <x:row r="61">
      <x:c r="A61" s="20" t="str">
        <x:v>MAP-LUCEN-R57-720</x:v>
      </x:c>
      <x:c r="B61" s="18" t="str">
        <x:v>seedance-720p-token</x:v>
      </x:c>
      <x:c r="C61" s="18" t="str">
        <x:v>channel-lucen</x:v>
      </x:c>
      <x:c r="D61" s="18" t="str">
        <x:v>seedance-720p-token</x:v>
      </x:c>
      <x:c r="E61" s="18" t="str">
        <x:v>SKU-SD20-STD-720</x:v>
      </x:c>
      <x:c r="F61" s="18" t="str">
        <x:v>ROUTE-MAP-LUCEN-R57-720</x:v>
      </x:c>
      <x:c r="G61" s="18" t="str">
        <x:v>SRC-CH-03</x:v>
      </x:c>
      <x:c r="H61" s="19" t="str">
        <x:v>原始业务ID=MAP-LUCEN-R57-720; 来源定位=模型映射!57</x:v>
      </x:c>
    </x:row>
    <x:row r="62">
      <x:c r="A62" s="20" t="str">
        <x:v>MAP-LUCEN-R58-1080</x:v>
      </x:c>
      <x:c r="B62" s="18" t="str">
        <x:v>seedance-1080p-token</x:v>
      </x:c>
      <x:c r="C62" s="18" t="str">
        <x:v>channel-lucen</x:v>
      </x:c>
      <x:c r="D62" s="18" t="str">
        <x:v>seedance-1080p-token</x:v>
      </x:c>
      <x:c r="E62" s="18" t="str">
        <x:v>SKU-SD20-STD-1080</x:v>
      </x:c>
      <x:c r="F62" s="18" t="str">
        <x:v>ROUTE-MAP-LUCEN-R58-1080</x:v>
      </x:c>
      <x:c r="G62" s="18" t="str">
        <x:v>SRC-CH-03</x:v>
      </x:c>
      <x:c r="H62" s="19" t="str">
        <x:v>原始业务ID=MAP-LUCEN-R58-1080; 来源定位=模型映射!58</x:v>
      </x:c>
    </x:row>
    <x:row r="63">
      <x:c r="A63" s="20" t="str">
        <x:v>MAP-MEGABYAI-R102-480</x:v>
      </x:c>
      <x:c r="B63" s="18" t="str">
        <x:v>videos-fast</x:v>
      </x:c>
      <x:c r="C63" s="18" t="str">
        <x:v>megabyai-fast-real-person</x:v>
      </x:c>
      <x:c r="D63" s="18" t="str">
        <x:v>videos-fast</x:v>
      </x:c>
      <x:c r="E63" s="18" t="str">
        <x:v>SKU-SD20-FAST-480</x:v>
      </x:c>
      <x:c r="F63" s="18" t="str">
        <x:v>ROUTE-MAP-MEGABYAI-R102-480</x:v>
      </x:c>
      <x:c r="G63" s="18" t="str">
        <x:v>SRC-CH-08</x:v>
      </x:c>
      <x:c r="H63" s="19" t="str">
        <x:v>原始业务ID=MAP-MEGABYAI-R102-480; 来源定位=模型映射!107</x:v>
      </x:c>
    </x:row>
    <x:row r="64">
      <x:c r="A64" s="20" t="str">
        <x:v>MAP-MEGABYAI-R103-720</x:v>
      </x:c>
      <x:c r="B64" s="18" t="str">
        <x:v>videos-fast</x:v>
      </x:c>
      <x:c r="C64" s="18" t="str">
        <x:v>megabyai-fast-real-person</x:v>
      </x:c>
      <x:c r="D64" s="18" t="str">
        <x:v>videos-fast</x:v>
      </x:c>
      <x:c r="E64" s="18" t="str">
        <x:v>SKU-SD20-FAST-720</x:v>
      </x:c>
      <x:c r="F64" s="18" t="str">
        <x:v>ROUTE-MAP-MEGABYAI-R103-720</x:v>
      </x:c>
      <x:c r="G64" s="18" t="str">
        <x:v>SRC-CH-08</x:v>
      </x:c>
      <x:c r="H64" s="19" t="str">
        <x:v>原始业务ID=MAP-MEGABYAI-R103-720; 来源定位=模型映射!108</x:v>
      </x:c>
    </x:row>
    <x:row r="65">
      <x:c r="A65" s="20" t="str">
        <x:v>MAP-MEGABYAI-R104-480</x:v>
      </x:c>
      <x:c r="B65" s="18" t="str">
        <x:v>videos-fast</x:v>
      </x:c>
      <x:c r="C65" s="18" t="str">
        <x:v>megabyai-fast-no-real-person</x:v>
      </x:c>
      <x:c r="D65" s="18" t="str">
        <x:v>videos-fast</x:v>
      </x:c>
      <x:c r="E65" s="18" t="str">
        <x:v>SKU-SD20-FAST-480</x:v>
      </x:c>
      <x:c r="F65" s="18" t="str">
        <x:v>ROUTE-MAP-MEGABYAI-R104-480</x:v>
      </x:c>
      <x:c r="G65" s="18" t="str">
        <x:v>SRC-CH-08</x:v>
      </x:c>
      <x:c r="H65" s="19" t="str">
        <x:v>原始业务ID=MAP-MEGABYAI-R104-480; 来源定位=模型映射!109</x:v>
      </x:c>
    </x:row>
    <x:row r="66">
      <x:c r="A66" s="20" t="str">
        <x:v>MAP-MEGABYAI-R105-720</x:v>
      </x:c>
      <x:c r="B66" s="18" t="str">
        <x:v>videos-fast</x:v>
      </x:c>
      <x:c r="C66" s="18" t="str">
        <x:v>megabyai-fast-no-real-person</x:v>
      </x:c>
      <x:c r="D66" s="18" t="str">
        <x:v>videos-fast</x:v>
      </x:c>
      <x:c r="E66" s="18" t="str">
        <x:v>SKU-SD20-FAST-720</x:v>
      </x:c>
      <x:c r="F66" s="18" t="str">
        <x:v>ROUTE-MAP-MEGABYAI-R105-720</x:v>
      </x:c>
      <x:c r="G66" s="18" t="str">
        <x:v>SRC-CH-08</x:v>
      </x:c>
      <x:c r="H66" s="19" t="str">
        <x:v>原始业务ID=MAP-MEGABYAI-R105-720; 来源定位=模型映射!110</x:v>
      </x:c>
    </x:row>
    <x:row r="67">
      <x:c r="A67" s="20" t="str">
        <x:v>MAP-PAIPU-R14-720</x:v>
      </x:c>
      <x:c r="B67" s="18" t="str">
        <x:v>lec-seedance-2-0</x:v>
      </x:c>
      <x:c r="C67" s="18" t="str">
        <x:v>channel-paipu</x:v>
      </x:c>
      <x:c r="D67" s="18" t="str">
        <x:v>lec-seedance-2-0</x:v>
      </x:c>
      <x:c r="E67" s="18" t="str">
        <x:v>SKU-SD20-STD-720</x:v>
      </x:c>
      <x:c r="F67" s="18" t="str">
        <x:v>ROUTE-MAP-PAIPU-R14-720</x:v>
      </x:c>
      <x:c r="G67" s="18" t="str">
        <x:v>SRC-CH-02</x:v>
      </x:c>
      <x:c r="H67" s="19" t="str">
        <x:v>原始业务ID=MAP-PAIPU-R14-720; 来源定位=模型映射!15</x:v>
      </x:c>
    </x:row>
    <x:row r="68">
      <x:c r="A68" s="20" t="str">
        <x:v>MAP-PAIPU-R15-720</x:v>
      </x:c>
      <x:c r="B68" s="18" t="str">
        <x:v>lec-seedance-fast-ht-720p</x:v>
      </x:c>
      <x:c r="C68" s="18" t="str">
        <x:v>channel-paipu</x:v>
      </x:c>
      <x:c r="D68" s="18" t="str">
        <x:v>lec-seedance-fast-ht-720p</x:v>
      </x:c>
      <x:c r="E68" s="18" t="str">
        <x:v>SKU-SD20-FAST-720</x:v>
      </x:c>
      <x:c r="F68" s="18" t="str">
        <x:v>ROUTE-MAP-PAIPU-R15-720</x:v>
      </x:c>
      <x:c r="G68" s="18" t="str">
        <x:v>SRC-CH-02</x:v>
      </x:c>
      <x:c r="H68" s="19" t="str">
        <x:v>原始业务ID=MAP-PAIPU-R15-720; 来源定位=模型映射!16</x:v>
      </x:c>
    </x:row>
    <x:row r="69">
      <x:c r="A69" s="20" t="str">
        <x:v>MAP-PAIPU-R16-720</x:v>
      </x:c>
      <x:c r="B69" s="18" t="str">
        <x:v>lec-feituo-seedance-2-0-hn-fast-720p</x:v>
      </x:c>
      <x:c r="C69" s="18" t="str">
        <x:v>channel-paipu</x:v>
      </x:c>
      <x:c r="D69" s="18" t="str">
        <x:v>lec-feituo-seedance-2-0-hn-fast-720p</x:v>
      </x:c>
      <x:c r="E69" s="18" t="str">
        <x:v>SKU-SD20-FAST-720</x:v>
      </x:c>
      <x:c r="F69" s="18" t="str">
        <x:v>ROUTE-MAP-PAIPU-R16-720</x:v>
      </x:c>
      <x:c r="G69" s="18" t="str">
        <x:v>SRC-CH-02</x:v>
      </x:c>
      <x:c r="H69" s="19" t="str">
        <x:v>原始业务ID=MAP-PAIPU-R16-720; 来源定位=模型映射!17</x:v>
      </x:c>
    </x:row>
    <x:row r="70">
      <x:c r="A70" s="20" t="str">
        <x:v>MAP-PAIPU-R17-720</x:v>
      </x:c>
      <x:c r="B70" s="18" t="str">
        <x:v>lec-feituo-seedance-2-0-hn-720p</x:v>
      </x:c>
      <x:c r="C70" s="18" t="str">
        <x:v>channel-paipu</x:v>
      </x:c>
      <x:c r="D70" s="18" t="str">
        <x:v>lec-feituo-seedance-2-0-hn-720p</x:v>
      </x:c>
      <x:c r="E70" s="18" t="str">
        <x:v>SKU-SD20-STD-720</x:v>
      </x:c>
      <x:c r="F70" s="18" t="str">
        <x:v>ROUTE-MAP-PAIPU-R17-720</x:v>
      </x:c>
      <x:c r="G70" s="18" t="str">
        <x:v>SRC-CH-02</x:v>
      </x:c>
      <x:c r="H70" s="19" t="str">
        <x:v>原始业务ID=MAP-PAIPU-R17-720; 来源定位=模型映射!18</x:v>
      </x:c>
    </x:row>
    <x:row r="71">
      <x:c r="A71" s="20" t="str">
        <x:v>MAP-PAIPU-R18-720</x:v>
      </x:c>
      <x:c r="B71" s="18" t="str">
        <x:v>lec-feituo-seedance-2-0-ld-cvk-2</x:v>
      </x:c>
      <x:c r="C71" s="18" t="str">
        <x:v>channel-paipu</x:v>
      </x:c>
      <x:c r="D71" s="18" t="str">
        <x:v>lec-feituo-seedance-2-0-ld-cvk-2</x:v>
      </x:c>
      <x:c r="E71" s="18" t="str">
        <x:v>SKU-SD20-STD-720</x:v>
      </x:c>
      <x:c r="F71" s="18" t="str">
        <x:v>ROUTE-MAP-PAIPU-R18-720</x:v>
      </x:c>
      <x:c r="G71" s="18" t="str">
        <x:v>SRC-CH-02</x:v>
      </x:c>
      <x:c r="H71" s="19" t="str">
        <x:v>原始业务ID=MAP-PAIPU-R18-720; 来源定位=模型映射!19</x:v>
      </x:c>
    </x:row>
    <x:row r="72">
      <x:c r="A72" s="20" t="str">
        <x:v>MAP-PAIPU-R19-720</x:v>
      </x:c>
      <x:c r="B72" s="18" t="str">
        <x:v>lec-feituo-seedance-2-0-limited-720p</x:v>
      </x:c>
      <x:c r="C72" s="18" t="str">
        <x:v>channel-paipu</x:v>
      </x:c>
      <x:c r="D72" s="18" t="str">
        <x:v>lec-feituo-seedance-2-0-limited-720p</x:v>
      </x:c>
      <x:c r="E72" s="18" t="str">
        <x:v>SKU-SD20-STD-720</x:v>
      </x:c>
      <x:c r="F72" s="18" t="str">
        <x:v>ROUTE-MAP-PAIPU-R19-720</x:v>
      </x:c>
      <x:c r="G72" s="18" t="str">
        <x:v>SRC-CH-02</x:v>
      </x:c>
      <x:c r="H72" s="19" t="str">
        <x:v>原始业务ID=MAP-PAIPU-R19-720; 来源定位=模型映射!20</x:v>
      </x:c>
    </x:row>
    <x:row r="73">
      <x:c r="A73" s="20" t="str">
        <x:v>MAP-PAIPU-R20-720</x:v>
      </x:c>
      <x:c r="B73" s="18" t="str">
        <x:v>lec-feituo-seedance-2-0-lg-720p</x:v>
      </x:c>
      <x:c r="C73" s="18" t="str">
        <x:v>channel-paipu</x:v>
      </x:c>
      <x:c r="D73" s="18" t="str">
        <x:v>lec-feituo-seedance-2-0-lg-720p</x:v>
      </x:c>
      <x:c r="E73" s="18" t="str">
        <x:v>SKU-SD20-STD-720</x:v>
      </x:c>
      <x:c r="F73" s="18" t="str">
        <x:v>ROUTE-MAP-PAIPU-R20-720</x:v>
      </x:c>
      <x:c r="G73" s="18" t="str">
        <x:v>SRC-CH-02</x:v>
      </x:c>
      <x:c r="H73" s="19" t="str">
        <x:v>原始业务ID=MAP-PAIPU-R20-720; 来源定位=模型映射!21</x:v>
      </x:c>
    </x:row>
    <x:row r="74">
      <x:c r="A74" s="20" t="str">
        <x:v>MAP-PAIPU-R21-1080</x:v>
      </x:c>
      <x:c r="B74" s="18" t="str">
        <x:v>lec-feituo-seedance-2-0-my-fast-upscaled-1080p</x:v>
      </x:c>
      <x:c r="C74" s="18" t="str">
        <x:v>channel-paipu</x:v>
      </x:c>
      <x:c r="D74" s="18" t="str">
        <x:v>lec-feituo-seedance-2-0-my-fast-upscaled-1080p</x:v>
      </x:c>
      <x:c r="E74" s="18" t="str">
        <x:v>SKU-SD20-FAST-1080</x:v>
      </x:c>
      <x:c r="F74" s="18" t="str">
        <x:v>ROUTE-MAP-PAIPU-R21-1080</x:v>
      </x:c>
      <x:c r="G74" s="18" t="str">
        <x:v>SRC-CH-02</x:v>
      </x:c>
      <x:c r="H74" s="19" t="str">
        <x:v>原始业务ID=MAP-PAIPU-R21-1080; 来源定位=模型映射!22</x:v>
      </x:c>
    </x:row>
    <x:row r="75">
      <x:c r="A75" s="20" t="str">
        <x:v>MAP-PAIPU-R22-1080</x:v>
      </x:c>
      <x:c r="B75" s="18" t="str">
        <x:v>lec-feituo-seedance-2-0-my-upscaled-1080p</x:v>
      </x:c>
      <x:c r="C75" s="18" t="str">
        <x:v>channel-paipu</x:v>
      </x:c>
      <x:c r="D75" s="18" t="str">
        <x:v>lec-feituo-seedance-2-0-my-upscaled-1080p</x:v>
      </x:c>
      <x:c r="E75" s="18" t="str">
        <x:v>SKU-SD20-STD-1080</x:v>
      </x:c>
      <x:c r="F75" s="18" t="str">
        <x:v>ROUTE-MAP-PAIPU-R22-1080</x:v>
      </x:c>
      <x:c r="G75" s="18" t="str">
        <x:v>SRC-CH-02</x:v>
      </x:c>
      <x:c r="H75" s="19" t="str">
        <x:v>原始业务ID=MAP-PAIPU-R22-1080; 来源定位=模型映射!23</x:v>
      </x:c>
    </x:row>
    <x:row r="76">
      <x:c r="A76" s="20" t="str">
        <x:v>MAP-PAIPU-R23-480</x:v>
      </x:c>
      <x:c r="B76" s="18" t="str">
        <x:v>lec-seedance-videos-standard</x:v>
      </x:c>
      <x:c r="C76" s="18" t="str">
        <x:v>channel-paipu</x:v>
      </x:c>
      <x:c r="D76" s="18" t="str">
        <x:v>lec-seedance-videos-standard</x:v>
      </x:c>
      <x:c r="E76" s="18" t="str">
        <x:v>SKU-SD20-STD-480</x:v>
      </x:c>
      <x:c r="F76" s="18" t="str">
        <x:v>ROUTE-MAP-PAIPU-R23-480</x:v>
      </x:c>
      <x:c r="G76" s="18" t="str">
        <x:v>SRC-CH-02</x:v>
      </x:c>
      <x:c r="H76" s="19" t="str">
        <x:v>原始业务ID=MAP-PAIPU-R23-480; 来源定位=模型映射!24</x:v>
      </x:c>
    </x:row>
    <x:row r="77">
      <x:c r="A77" s="20" t="str">
        <x:v>MAP-PAIPU-R24-720</x:v>
      </x:c>
      <x:c r="B77" s="18" t="str">
        <x:v>lec-seedance-videos-standard</x:v>
      </x:c>
      <x:c r="C77" s="18" t="str">
        <x:v>channel-paipu</x:v>
      </x:c>
      <x:c r="D77" s="18" t="str">
        <x:v>lec-seedance-videos-standard</x:v>
      </x:c>
      <x:c r="E77" s="18" t="str">
        <x:v>SKU-SD20-STD-720</x:v>
      </x:c>
      <x:c r="F77" s="18" t="str">
        <x:v>ROUTE-MAP-PAIPU-R24-720</x:v>
      </x:c>
      <x:c r="G77" s="18" t="str">
        <x:v>SRC-CH-02</x:v>
      </x:c>
      <x:c r="H77" s="19" t="str">
        <x:v>原始业务ID=MAP-PAIPU-R24-720; 来源定位=模型映射!25</x:v>
      </x:c>
    </x:row>
    <x:row r="78">
      <x:c r="A78" s="20" t="str">
        <x:v>MAP-PAIPU-R25-1080</x:v>
      </x:c>
      <x:c r="B78" s="18" t="str">
        <x:v>lec-seedance-videos-standard</x:v>
      </x:c>
      <x:c r="C78" s="18" t="str">
        <x:v>channel-paipu</x:v>
      </x:c>
      <x:c r="D78" s="18" t="str">
        <x:v>lec-seedance-videos-standard</x:v>
      </x:c>
      <x:c r="E78" s="18" t="str">
        <x:v>SKU-SD20-STD-1080</x:v>
      </x:c>
      <x:c r="F78" s="18" t="str">
        <x:v>ROUTE-MAP-PAIPU-R25-1080</x:v>
      </x:c>
      <x:c r="G78" s="18" t="str">
        <x:v>SRC-CH-02</x:v>
      </x:c>
      <x:c r="H78" s="19" t="str">
        <x:v>原始业务ID=MAP-PAIPU-R25-1080; 来源定位=模型映射!26</x:v>
      </x:c>
    </x:row>
    <x:row r="79">
      <x:c r="A79" s="20" t="str">
        <x:v>MAP-PAIPU-R26-4K</x:v>
      </x:c>
      <x:c r="B79" s="18" t="str">
        <x:v>lec-seedance-videos-standard</x:v>
      </x:c>
      <x:c r="C79" s="18" t="str">
        <x:v>channel-paipu</x:v>
      </x:c>
      <x:c r="D79" s="18" t="str">
        <x:v>lec-seedance-videos-standard</x:v>
      </x:c>
      <x:c r="E79" s="18" t="str">
        <x:v>SKU-SD20-STD-4K</x:v>
      </x:c>
      <x:c r="F79" s="18" t="str">
        <x:v>ROUTE-MAP-PAIPU-R26-4K</x:v>
      </x:c>
      <x:c r="G79" s="18" t="str">
        <x:v>SRC-CH-02</x:v>
      </x:c>
      <x:c r="H79" s="19" t="str">
        <x:v>原始业务ID=MAP-PAIPU-R26-4K; 来源定位=模型映射!27</x:v>
      </x:c>
    </x:row>
    <x:row r="80">
      <x:c r="A80" s="20" t="str">
        <x:v>MAP-PAIPU-R27-480</x:v>
      </x:c>
      <x:c r="B80" s="18" t="str">
        <x:v>lec-seedance-videos-fast</x:v>
      </x:c>
      <x:c r="C80" s="18" t="str">
        <x:v>channel-paipu</x:v>
      </x:c>
      <x:c r="D80" s="18" t="str">
        <x:v>lec-seedance-videos-fast</x:v>
      </x:c>
      <x:c r="E80" s="18" t="str">
        <x:v>SKU-SD20-FAST-480</x:v>
      </x:c>
      <x:c r="F80" s="18" t="str">
        <x:v>ROUTE-MAP-PAIPU-R27-480</x:v>
      </x:c>
      <x:c r="G80" s="18" t="str">
        <x:v>SRC-CH-02</x:v>
      </x:c>
      <x:c r="H80" s="19" t="str">
        <x:v>原始业务ID=MAP-PAIPU-R27-480; 来源定位=模型映射!28</x:v>
      </x:c>
    </x:row>
    <x:row r="81">
      <x:c r="A81" s="20" t="str">
        <x:v>MAP-PAIPU-R28-720</x:v>
      </x:c>
      <x:c r="B81" s="18" t="str">
        <x:v>lec-seedance-videos-fast</x:v>
      </x:c>
      <x:c r="C81" s="18" t="str">
        <x:v>channel-paipu</x:v>
      </x:c>
      <x:c r="D81" s="18" t="str">
        <x:v>lec-seedance-videos-fast</x:v>
      </x:c>
      <x:c r="E81" s="18" t="str">
        <x:v>SKU-SD20-FAST-720</x:v>
      </x:c>
      <x:c r="F81" s="18" t="str">
        <x:v>ROUTE-MAP-PAIPU-R28-720</x:v>
      </x:c>
      <x:c r="G81" s="18" t="str">
        <x:v>SRC-CH-02</x:v>
      </x:c>
      <x:c r="H81" s="19" t="str">
        <x:v>原始业务ID=MAP-PAIPU-R28-720; 来源定位=模型映射!29</x:v>
      </x:c>
    </x:row>
    <x:row r="82">
      <x:c r="A82" s="20" t="str">
        <x:v>MAP-PAIPU-R29-480</x:v>
      </x:c>
      <x:c r="B82" s="18" t="str">
        <x:v>lec-seedance-videos-mini</x:v>
      </x:c>
      <x:c r="C82" s="18" t="str">
        <x:v>channel-paipu</x:v>
      </x:c>
      <x:c r="D82" s="18" t="str">
        <x:v>lec-seedance-videos-mini</x:v>
      </x:c>
      <x:c r="E82" s="18" t="str">
        <x:v>SKU-SD20-MINI-480</x:v>
      </x:c>
      <x:c r="F82" s="18" t="str">
        <x:v>ROUTE-MAP-PAIPU-R29-480</x:v>
      </x:c>
      <x:c r="G82" s="18" t="str">
        <x:v>SRC-CH-02</x:v>
      </x:c>
      <x:c r="H82" s="19" t="str">
        <x:v>原始业务ID=MAP-PAIPU-R29-480; 来源定位=模型映射!30</x:v>
      </x:c>
    </x:row>
    <x:row r="83">
      <x:c r="A83" s="20" t="str">
        <x:v>MAP-PAIPU-R30-720</x:v>
      </x:c>
      <x:c r="B83" s="18" t="str">
        <x:v>lec-seedance-videos-mini</x:v>
      </x:c>
      <x:c r="C83" s="18" t="str">
        <x:v>channel-paipu</x:v>
      </x:c>
      <x:c r="D83" s="18" t="str">
        <x:v>lec-seedance-videos-mini</x:v>
      </x:c>
      <x:c r="E83" s="18" t="str">
        <x:v>SKU-SD20-MINI-720</x:v>
      </x:c>
      <x:c r="F83" s="18" t="str">
        <x:v>ROUTE-MAP-PAIPU-R30-720</x:v>
      </x:c>
      <x:c r="G83" s="18" t="str">
        <x:v>SRC-CH-02</x:v>
      </x:c>
      <x:c r="H83" s="19" t="str">
        <x:v>原始业务ID=MAP-PAIPU-R30-720; 来源定位=模型映射!31</x:v>
      </x:c>
    </x:row>
    <x:row r="84">
      <x:c r="A84" s="20" t="str">
        <x:v>MAP-PAIPU-R31-480</x:v>
      </x:c>
      <x:c r="B84" s="18" t="str">
        <x:v>lec-seedance-videos-stable</x:v>
      </x:c>
      <x:c r="C84" s="18" t="str">
        <x:v>channel-paipu</x:v>
      </x:c>
      <x:c r="D84" s="18" t="str">
        <x:v>lec-seedance-videos-stable</x:v>
      </x:c>
      <x:c r="E84" s="18" t="str">
        <x:v>SKU-SD20-STD-480</x:v>
      </x:c>
      <x:c r="F84" s="18" t="str">
        <x:v>ROUTE-MAP-PAIPU-R31-480</x:v>
      </x:c>
      <x:c r="G84" s="18" t="str">
        <x:v>SRC-CH-02</x:v>
      </x:c>
      <x:c r="H84" s="19" t="str">
        <x:v>原始业务ID=MAP-PAIPU-R31-480; 来源定位=模型映射!32</x:v>
      </x:c>
    </x:row>
    <x:row r="85">
      <x:c r="A85" s="20" t="str">
        <x:v>MAP-PAIPU-R32-720</x:v>
      </x:c>
      <x:c r="B85" s="18" t="str">
        <x:v>lec-seedance-videos-stable</x:v>
      </x:c>
      <x:c r="C85" s="18" t="str">
        <x:v>channel-paipu</x:v>
      </x:c>
      <x:c r="D85" s="18" t="str">
        <x:v>lec-seedance-videos-stable</x:v>
      </x:c>
      <x:c r="E85" s="18" t="str">
        <x:v>SKU-SD20-STD-720</x:v>
      </x:c>
      <x:c r="F85" s="18" t="str">
        <x:v>ROUTE-MAP-PAIPU-R32-720</x:v>
      </x:c>
      <x:c r="G85" s="18" t="str">
        <x:v>SRC-CH-02</x:v>
      </x:c>
      <x:c r="H85" s="19" t="str">
        <x:v>原始业务ID=MAP-PAIPU-R32-720; 来源定位=模型映射!33</x:v>
      </x:c>
    </x:row>
    <x:row r="86">
      <x:c r="A86" s="20" t="str">
        <x:v>MAP-PAIPU-R33-480</x:v>
      </x:c>
      <x:c r="B86" s="18" t="str">
        <x:v>lec-seedance-videos-stable-fast</x:v>
      </x:c>
      <x:c r="C86" s="18" t="str">
        <x:v>channel-paipu</x:v>
      </x:c>
      <x:c r="D86" s="18" t="str">
        <x:v>lec-seedance-videos-stable-fast</x:v>
      </x:c>
      <x:c r="E86" s="18" t="str">
        <x:v>SKU-SD20-FAST-480</x:v>
      </x:c>
      <x:c r="F86" s="18" t="str">
        <x:v>ROUTE-MAP-PAIPU-R33-480</x:v>
      </x:c>
      <x:c r="G86" s="18" t="str">
        <x:v>SRC-CH-02</x:v>
      </x:c>
      <x:c r="H86" s="19" t="str">
        <x:v>原始业务ID=MAP-PAIPU-R33-480; 来源定位=模型映射!34</x:v>
      </x:c>
    </x:row>
    <x:row r="87">
      <x:c r="A87" s="20" t="str">
        <x:v>MAP-PAIPU-R34-720</x:v>
      </x:c>
      <x:c r="B87" s="18" t="str">
        <x:v>lec-seedance-videos-stable-fast</x:v>
      </x:c>
      <x:c r="C87" s="18" t="str">
        <x:v>channel-paipu</x:v>
      </x:c>
      <x:c r="D87" s="18" t="str">
        <x:v>lec-seedance-videos-stable-fast</x:v>
      </x:c>
      <x:c r="E87" s="18" t="str">
        <x:v>SKU-SD20-FAST-720</x:v>
      </x:c>
      <x:c r="F87" s="18" t="str">
        <x:v>ROUTE-MAP-PAIPU-R34-720</x:v>
      </x:c>
      <x:c r="G87" s="18" t="str">
        <x:v>SRC-CH-02</x:v>
      </x:c>
      <x:c r="H87" s="19" t="str">
        <x:v>原始业务ID=MAP-PAIPU-R34-720; 来源定位=模型映射!35</x:v>
      </x:c>
    </x:row>
    <x:row r="88">
      <x:c r="A88" s="20" t="str">
        <x:v>MAP-PAIPU-R35-480</x:v>
      </x:c>
      <x:c r="B88" s="18" t="str">
        <x:v>lec-seedance-videos-stable-mini</x:v>
      </x:c>
      <x:c r="C88" s="18" t="str">
        <x:v>channel-paipu</x:v>
      </x:c>
      <x:c r="D88" s="18" t="str">
        <x:v>lec-seedance-videos-stable-mini</x:v>
      </x:c>
      <x:c r="E88" s="18" t="str">
        <x:v>SKU-SD20-MINI-480</x:v>
      </x:c>
      <x:c r="F88" s="18" t="str">
        <x:v>ROUTE-MAP-PAIPU-R35-480</x:v>
      </x:c>
      <x:c r="G88" s="18" t="str">
        <x:v>SRC-CH-02</x:v>
      </x:c>
      <x:c r="H88" s="19" t="str">
        <x:v>原始业务ID=MAP-PAIPU-R35-480; 来源定位=模型映射!36</x:v>
      </x:c>
    </x:row>
    <x:row r="89">
      <x:c r="A89" s="20" t="str">
        <x:v>MAP-PAIPU-R36-720</x:v>
      </x:c>
      <x:c r="B89" s="18" t="str">
        <x:v>lec-seedance-videos-stable-mini</x:v>
      </x:c>
      <x:c r="C89" s="18" t="str">
        <x:v>channel-paipu</x:v>
      </x:c>
      <x:c r="D89" s="18" t="str">
        <x:v>lec-seedance-videos-stable-mini</x:v>
      </x:c>
      <x:c r="E89" s="18" t="str">
        <x:v>SKU-SD20-MINI-720</x:v>
      </x:c>
      <x:c r="F89" s="18" t="str">
        <x:v>ROUTE-MAP-PAIPU-R36-720</x:v>
      </x:c>
      <x:c r="G89" s="18" t="str">
        <x:v>SRC-CH-02</x:v>
      </x:c>
      <x:c r="H89" s="19" t="str">
        <x:v>原始业务ID=MAP-PAIPU-R36-720; 来源定位=模型映射!37</x:v>
      </x:c>
    </x:row>
    <x:row r="90">
      <x:c r="A90" s="20" t="str">
        <x:v>MAP-PAIPU-R37-720</x:v>
      </x:c>
      <x:c r="B90" s="18" t="str">
        <x:v>lec-seedance-videos-stable-720p</x:v>
      </x:c>
      <x:c r="C90" s="18" t="str">
        <x:v>channel-paipu</x:v>
      </x:c>
      <x:c r="D90" s="18" t="str">
        <x:v>lec-seedance-videos-stable-720p</x:v>
      </x:c>
      <x:c r="E90" s="18" t="str">
        <x:v>SKU-SD20-STD-720</x:v>
      </x:c>
      <x:c r="F90" s="18" t="str">
        <x:v>ROUTE-MAP-PAIPU-R37-720</x:v>
      </x:c>
      <x:c r="G90" s="18" t="str">
        <x:v>SRC-CH-02</x:v>
      </x:c>
      <x:c r="H90" s="19" t="str">
        <x:v>原始业务ID=MAP-PAIPU-R37-720; 来源定位=模型映射!38</x:v>
      </x:c>
    </x:row>
    <x:row r="91">
      <x:c r="A91" s="20" t="str">
        <x:v>MAP-PAIPU-R38-720</x:v>
      </x:c>
      <x:c r="B91" s="18" t="str">
        <x:v>lec-seedance-videos-fast-720p</x:v>
      </x:c>
      <x:c r="C91" s="18" t="str">
        <x:v>channel-paipu</x:v>
      </x:c>
      <x:c r="D91" s="18" t="str">
        <x:v>lec-seedance-videos-fast-720p</x:v>
      </x:c>
      <x:c r="E91" s="18" t="str">
        <x:v>SKU-SD20-FAST-720</x:v>
      </x:c>
      <x:c r="F91" s="18" t="str">
        <x:v>ROUTE-MAP-PAIPU-R38-720</x:v>
      </x:c>
      <x:c r="G91" s="18" t="str">
        <x:v>SRC-CH-02</x:v>
      </x:c>
      <x:c r="H91" s="19" t="str">
        <x:v>原始业务ID=MAP-PAIPU-R38-720; 来源定位=模型映射!39</x:v>
      </x:c>
    </x:row>
    <x:row r="92">
      <x:c r="A92" s="20" t="str">
        <x:v>MAP-PAIPU-R39-720</x:v>
      </x:c>
      <x:c r="B92" s="18" t="str">
        <x:v>lec-seedance-videos-mini-720p</x:v>
      </x:c>
      <x:c r="C92" s="18" t="str">
        <x:v>channel-paipu</x:v>
      </x:c>
      <x:c r="D92" s="18" t="str">
        <x:v>lec-seedance-videos-mini-720p</x:v>
      </x:c>
      <x:c r="E92" s="18" t="str">
        <x:v>SKU-SD20-MINI-720</x:v>
      </x:c>
      <x:c r="F92" s="18" t="str">
        <x:v>ROUTE-MAP-PAIPU-R39-720</x:v>
      </x:c>
      <x:c r="G92" s="18" t="str">
        <x:v>SRC-CH-02</x:v>
      </x:c>
      <x:c r="H92" s="19" t="str">
        <x:v>原始业务ID=MAP-PAIPU-R39-720; 来源定位=模型映射!40</x:v>
      </x:c>
    </x:row>
    <x:row r="93">
      <x:c r="A93" s="20" t="str">
        <x:v>MAP-PAIPU-R40-480</x:v>
      </x:c>
      <x:c r="B93" s="18" t="str">
        <x:v>lec-seedance-videos-face-standard</x:v>
      </x:c>
      <x:c r="C93" s="18" t="str">
        <x:v>channel-paipu</x:v>
      </x:c>
      <x:c r="D93" s="18" t="str">
        <x:v>lec-seedance-videos-face-standard</x:v>
      </x:c>
      <x:c r="E93" s="18" t="str">
        <x:v>SKU-SD20-STD-480</x:v>
      </x:c>
      <x:c r="F93" s="18" t="str">
        <x:v>ROUTE-MAP-PAIPU-R40-480</x:v>
      </x:c>
      <x:c r="G93" s="18" t="str">
        <x:v>SRC-CH-02</x:v>
      </x:c>
      <x:c r="H93" s="19" t="str">
        <x:v>原始业务ID=MAP-PAIPU-R40-480; 来源定位=模型映射!41</x:v>
      </x:c>
    </x:row>
    <x:row r="94">
      <x:c r="A94" s="20" t="str">
        <x:v>MAP-PAIPU-R41-720</x:v>
      </x:c>
      <x:c r="B94" s="18" t="str">
        <x:v>lec-seedance-videos-face-standard</x:v>
      </x:c>
      <x:c r="C94" s="18" t="str">
        <x:v>channel-paipu</x:v>
      </x:c>
      <x:c r="D94" s="18" t="str">
        <x:v>lec-seedance-videos-face-standard</x:v>
      </x:c>
      <x:c r="E94" s="18" t="str">
        <x:v>SKU-SD20-STD-720</x:v>
      </x:c>
      <x:c r="F94" s="18" t="str">
        <x:v>ROUTE-MAP-PAIPU-R41-720</x:v>
      </x:c>
      <x:c r="G94" s="18" t="str">
        <x:v>SRC-CH-02</x:v>
      </x:c>
      <x:c r="H94" s="19" t="str">
        <x:v>原始业务ID=MAP-PAIPU-R41-720; 来源定位=模型映射!42</x:v>
      </x:c>
    </x:row>
    <x:row r="95">
      <x:c r="A95" s="20" t="str">
        <x:v>MAP-PAIPU-R42-1080</x:v>
      </x:c>
      <x:c r="B95" s="18" t="str">
        <x:v>lec-seedance-videos-face-standard</x:v>
      </x:c>
      <x:c r="C95" s="18" t="str">
        <x:v>channel-paipu</x:v>
      </x:c>
      <x:c r="D95" s="18" t="str">
        <x:v>lec-seedance-videos-face-standard</x:v>
      </x:c>
      <x:c r="E95" s="18" t="str">
        <x:v>SKU-SD20-STD-1080</x:v>
      </x:c>
      <x:c r="F95" s="18" t="str">
        <x:v>ROUTE-MAP-PAIPU-R42-1080</x:v>
      </x:c>
      <x:c r="G95" s="18" t="str">
        <x:v>SRC-CH-02</x:v>
      </x:c>
      <x:c r="H95" s="19" t="str">
        <x:v>原始业务ID=MAP-PAIPU-R42-1080; 来源定位=模型映射!43</x:v>
      </x:c>
    </x:row>
    <x:row r="96">
      <x:c r="A96" s="20" t="str">
        <x:v>MAP-PAIPU-R43-480</x:v>
      </x:c>
      <x:c r="B96" s="18" t="str">
        <x:v>lec-seedance-videos-face-fast</x:v>
      </x:c>
      <x:c r="C96" s="18" t="str">
        <x:v>channel-paipu</x:v>
      </x:c>
      <x:c r="D96" s="18" t="str">
        <x:v>lec-seedance-videos-face-fast</x:v>
      </x:c>
      <x:c r="E96" s="18" t="str">
        <x:v>SKU-SD20-FAST-480</x:v>
      </x:c>
      <x:c r="F96" s="18" t="str">
        <x:v>ROUTE-MAP-PAIPU-R43-480</x:v>
      </x:c>
      <x:c r="G96" s="18" t="str">
        <x:v>SRC-CH-02</x:v>
      </x:c>
      <x:c r="H96" s="19" t="str">
        <x:v>原始业务ID=MAP-PAIPU-R43-480; 来源定位=模型映射!44</x:v>
      </x:c>
    </x:row>
    <x:row r="97">
      <x:c r="A97" s="20" t="str">
        <x:v>MAP-PAIPU-R44-720</x:v>
      </x:c>
      <x:c r="B97" s="18" t="str">
        <x:v>lec-seedance-videos-face-fast</x:v>
      </x:c>
      <x:c r="C97" s="18" t="str">
        <x:v>channel-paipu</x:v>
      </x:c>
      <x:c r="D97" s="18" t="str">
        <x:v>lec-seedance-videos-face-fast</x:v>
      </x:c>
      <x:c r="E97" s="18" t="str">
        <x:v>SKU-SD20-FAST-720</x:v>
      </x:c>
      <x:c r="F97" s="18" t="str">
        <x:v>ROUTE-MAP-PAIPU-R44-720</x:v>
      </x:c>
      <x:c r="G97" s="18" t="str">
        <x:v>SRC-CH-02</x:v>
      </x:c>
      <x:c r="H97" s="19" t="str">
        <x:v>原始业务ID=MAP-PAIPU-R44-720; 来源定位=模型映射!45</x:v>
      </x:c>
    </x:row>
    <x:row r="98">
      <x:c r="A98" s="20" t="str">
        <x:v>MAP-PAIPU-R45-720</x:v>
      </x:c>
      <x:c r="B98" s="18" t="str">
        <x:v>lec-fd-seedance-2-0-933-720p</x:v>
      </x:c>
      <x:c r="C98" s="18" t="str">
        <x:v>channel-paipu</x:v>
      </x:c>
      <x:c r="D98" s="18" t="str">
        <x:v>lec-fd-seedance-2-0-933-720p</x:v>
      </x:c>
      <x:c r="E98" s="18" t="str">
        <x:v>SKU-SD20-STD-720</x:v>
      </x:c>
      <x:c r="F98" s="18" t="str">
        <x:v>ROUTE-MAP-PAIPU-R45-720</x:v>
      </x:c>
      <x:c r="G98" s="18" t="str">
        <x:v>SRC-CH-02</x:v>
      </x:c>
      <x:c r="H98" s="19" t="str">
        <x:v>原始业务ID=MAP-PAIPU-R45-720; 来源定位=模型映射!46</x:v>
      </x:c>
    </x:row>
    <x:row r="99">
      <x:c r="A99" s="20" t="str">
        <x:v>MAP-SECURE-R66-720</x:v>
      </x:c>
      <x:c r="B99" s="18" t="str">
        <x:v>video-2.0-pro</x:v>
      </x:c>
      <x:c r="C99" s="18" t="str">
        <x:v>secure-enterprise</x:v>
      </x:c>
      <x:c r="D99" s="18" t="str">
        <x:v>video-2.0-pro</x:v>
      </x:c>
      <x:c r="E99" s="18" t="str">
        <x:v>SKU-SD20-STD-720</x:v>
      </x:c>
      <x:c r="F99" s="18" t="str">
        <x:v>ROUTE-MAP-SECURE-R66-720</x:v>
      </x:c>
      <x:c r="G99" s="18" t="str">
        <x:v>SRC-CH-05</x:v>
      </x:c>
      <x:c r="H99" s="19" t="str">
        <x:v>原始业务ID=MAP-SECURE-R66-720; 来源定位=模型映射!65</x:v>
      </x:c>
    </x:row>
    <x:row r="100">
      <x:c r="A100" s="20" t="str">
        <x:v>MAP-SECURE-R67-720</x:v>
      </x:c>
      <x:c r="B100" s="18" t="str">
        <x:v>video-2.0-pro</x:v>
      </x:c>
      <x:c r="C100" s="18" t="str">
        <x:v>secure-discount</x:v>
      </x:c>
      <x:c r="D100" s="18" t="str">
        <x:v>video-2.0-pro</x:v>
      </x:c>
      <x:c r="E100" s="18" t="str">
        <x:v>SKU-SD20-STD-720</x:v>
      </x:c>
      <x:c r="F100" s="18" t="str">
        <x:v>ROUTE-MAP-SECURE-R67-720</x:v>
      </x:c>
      <x:c r="G100" s="18" t="str">
        <x:v>SRC-CH-05</x:v>
      </x:c>
      <x:c r="H100" s="19" t="str">
        <x:v>原始业务ID=MAP-SECURE-R67-720; 来源定位=模型映射!66</x:v>
      </x:c>
    </x:row>
    <x:row r="101">
      <x:c r="A101" s="20" t="str">
        <x:v>MAP-SECURE-R68-1080</x:v>
      </x:c>
      <x:c r="B101" s="18" t="str">
        <x:v>video-2.0-pro</x:v>
      </x:c>
      <x:c r="C101" s="18" t="str">
        <x:v>secure-discount</x:v>
      </x:c>
      <x:c r="D101" s="18" t="str">
        <x:v>video-2.0-pro</x:v>
      </x:c>
      <x:c r="E101" s="18" t="str">
        <x:v>SKU-SD20-STD-1080</x:v>
      </x:c>
      <x:c r="F101" s="18" t="str">
        <x:v>ROUTE-MAP-SECURE-R68-1080</x:v>
      </x:c>
      <x:c r="G101" s="18" t="str">
        <x:v>SRC-CH-05</x:v>
      </x:c>
      <x:c r="H101" s="19" t="str">
        <x:v>原始业务ID=MAP-SECURE-R68-1080; 来源定位=模型映射!67</x:v>
      </x:c>
    </x:row>
    <x:row r="102">
      <x:c r="A102" s="20" t="str">
        <x:v>MAP-SECURE-R69-4K</x:v>
      </x:c>
      <x:c r="B102" s="18" t="str">
        <x:v>video-2.0-pro</x:v>
      </x:c>
      <x:c r="C102" s="18" t="str">
        <x:v>secure-discount</x:v>
      </x:c>
      <x:c r="D102" s="18" t="str">
        <x:v>video-2.0-pro</x:v>
      </x:c>
      <x:c r="E102" s="18" t="str">
        <x:v>SKU-SD20-STD-4K</x:v>
      </x:c>
      <x:c r="F102" s="18" t="str">
        <x:v>ROUTE-MAP-SECURE-R69-4K</x:v>
      </x:c>
      <x:c r="G102" s="18" t="str">
        <x:v>SRC-CH-05</x:v>
      </x:c>
      <x:c r="H102" s="19" t="str">
        <x:v>原始业务ID=MAP-SECURE-R69-4K; 来源定位=模型映射!68</x:v>
      </x:c>
    </x:row>
    <x:row r="103">
      <x:c r="A103" s="20" t="str">
        <x:v>MAP-SECURE-R70-720</x:v>
      </x:c>
      <x:c r="B103" s="18" t="str">
        <x:v>video-2.0-fast</x:v>
      </x:c>
      <x:c r="C103" s="18" t="str">
        <x:v>secure-discount</x:v>
      </x:c>
      <x:c r="D103" s="18" t="str">
        <x:v>video-2.0-fast</x:v>
      </x:c>
      <x:c r="E103" s="18" t="str">
        <x:v>SKU-SD20-FAST-720</x:v>
      </x:c>
      <x:c r="F103" s="18" t="str">
        <x:v>ROUTE-MAP-SECURE-R70-720</x:v>
      </x:c>
      <x:c r="G103" s="18" t="str">
        <x:v>SRC-CH-05</x:v>
      </x:c>
      <x:c r="H103" s="19" t="str">
        <x:v>原始业务ID=MAP-SECURE-R70-720; 来源定位=模型映射!69</x:v>
      </x:c>
    </x:row>
    <x:row r="104">
      <x:c r="A104" s="20" t="str">
        <x:v>MAP-SECURE-R71-720</x:v>
      </x:c>
      <x:c r="B104" s="18" t="str">
        <x:v>video-2.0-mini</x:v>
      </x:c>
      <x:c r="C104" s="18" t="str">
        <x:v>secure-discount</x:v>
      </x:c>
      <x:c r="D104" s="18" t="str">
        <x:v>video-2.0-mini</x:v>
      </x:c>
      <x:c r="E104" s="18" t="str">
        <x:v>SKU-SD20-MINI-720</x:v>
      </x:c>
      <x:c r="F104" s="18" t="str">
        <x:v>ROUTE-MAP-SECURE-R71-720</x:v>
      </x:c>
      <x:c r="G104" s="18" t="str">
        <x:v>SRC-CH-05</x:v>
      </x:c>
      <x:c r="H104" s="19" t="str">
        <x:v>原始业务ID=MAP-SECURE-R71-720; 来源定位=模型映射!71</x:v>
      </x:c>
    </x:row>
    <x:row r="105">
      <x:c r="A105" s="20" t="str">
        <x:v>MAP-SECURE-R72-720</x:v>
      </x:c>
      <x:c r="B105" s="18" t="str">
        <x:v>video-2.0-pro</x:v>
      </x:c>
      <x:c r="C105" s="18" t="str">
        <x:v>secure-overseas</x:v>
      </x:c>
      <x:c r="D105" s="18" t="str">
        <x:v>video-2.0-pro</x:v>
      </x:c>
      <x:c r="E105" s="18" t="str">
        <x:v>SKU-SD20-STD-720</x:v>
      </x:c>
      <x:c r="F105" s="18" t="str">
        <x:v>ROUTE-MAP-SECURE-R72-720</x:v>
      </x:c>
      <x:c r="G105" s="18" t="str">
        <x:v>SRC-CH-05</x:v>
      </x:c>
      <x:c r="H105" s="19" t="str">
        <x:v>原始业务ID=MAP-SECURE-R72-720; 来源定位=模型映射!73</x:v>
      </x:c>
    </x:row>
    <x:row r="106">
      <x:c r="A106" s="20" t="str">
        <x:v>MAP-SECURE-R73-1080</x:v>
      </x:c>
      <x:c r="B106" s="18" t="str">
        <x:v>video-2.0-pro</x:v>
      </x:c>
      <x:c r="C106" s="18" t="str">
        <x:v>secure-overseas</x:v>
      </x:c>
      <x:c r="D106" s="18" t="str">
        <x:v>video-2.0-pro</x:v>
      </x:c>
      <x:c r="E106" s="18" t="str">
        <x:v>SKU-SD20-STD-1080</x:v>
      </x:c>
      <x:c r="F106" s="18" t="str">
        <x:v>ROUTE-MAP-SECURE-R73-1080</x:v>
      </x:c>
      <x:c r="G106" s="18" t="str">
        <x:v>SRC-CH-05</x:v>
      </x:c>
      <x:c r="H106" s="19" t="str">
        <x:v>原始业务ID=MAP-SECURE-R73-1080; 来源定位=模型映射!74</x:v>
      </x:c>
    </x:row>
    <x:row r="107">
      <x:c r="A107" s="20" t="str">
        <x:v>MAP-SECURE-R74-720</x:v>
      </x:c>
      <x:c r="B107" s="18" t="str">
        <x:v>video-2.0-fast</x:v>
      </x:c>
      <x:c r="C107" s="18" t="str">
        <x:v>secure-overseas</x:v>
      </x:c>
      <x:c r="D107" s="18" t="str">
        <x:v>video-2.0-fast</x:v>
      </x:c>
      <x:c r="E107" s="18" t="str">
        <x:v>SKU-SD20-FAST-720</x:v>
      </x:c>
      <x:c r="F107" s="18" t="str">
        <x:v>ROUTE-MAP-SECURE-R74-720</x:v>
      </x:c>
      <x:c r="G107" s="18" t="str">
        <x:v>SRC-CH-05</x:v>
      </x:c>
      <x:c r="H107" s="19" t="str">
        <x:v>原始业务ID=MAP-SECURE-R74-720; 来源定位=模型映射!75</x:v>
      </x:c>
    </x:row>
    <x:row r="108">
      <x:c r="A108" s="20" t="str">
        <x:v>MAP-SECURE-R75-720</x:v>
      </x:c>
      <x:c r="B108" s="18" t="str">
        <x:v>video-2.0-mini</x:v>
      </x:c>
      <x:c r="C108" s="18" t="str">
        <x:v>secure-overseas</x:v>
      </x:c>
      <x:c r="D108" s="18" t="str">
        <x:v>video-2.0-mini</x:v>
      </x:c>
      <x:c r="E108" s="18" t="str">
        <x:v>SKU-SD20-MINI-720</x:v>
      </x:c>
      <x:c r="F108" s="18" t="str">
        <x:v>ROUTE-MAP-SECURE-R75-720</x:v>
      </x:c>
      <x:c r="G108" s="18" t="str">
        <x:v>SRC-CH-05</x:v>
      </x:c>
      <x:c r="H108" s="19" t="str">
        <x:v>原始业务ID=MAP-SECURE-R75-720; 来源定位=模型映射!77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0000000000000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 ht="25" customHeight="1">
      <x:c r="A1" s="3" t="str">
        <x:v>渠道模型成本与利润配置模板 v2 - 来源</x:v>
      </x:c>
      <x:c r="B1" s="3"/>
      <x:c r="C1" s="3"/>
      <x:c r="D1" s="3"/>
      <x:c r="E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</x:row>
    <x:row r="4" ht="36" customHeight="1">
      <x:c r="A4" s="14" t="str">
        <x:v>source_ref</x:v>
      </x:c>
      <x:c r="B4" s="15" t="str">
        <x:v>name</x:v>
      </x:c>
      <x:c r="C4" s="15" t="str">
        <x:v>url</x:v>
      </x:c>
      <x:c r="D4" s="15" t="str">
        <x:v>collected_at</x:v>
      </x:c>
      <x:c r="E4" s="16" t="str">
        <x:v>note</x:v>
      </x:c>
    </x:row>
    <x:row r="5">
      <x:c r="A5" s="20" t="str">
        <x:v>SRC-SD-IMPORT</x:v>
      </x:c>
      <x:c r="B5" s="18" t="str">
        <x:v>sd收录.xlsx</x:v>
      </x:c>
      <x:c r="C5" s="18" t="str"/>
      <x:c r="D5" s="18" t="str">
        <x:v>2026-07-26</x:v>
      </x:c>
      <x:c r="E5" s="19" t="str">
        <x:v>原始业务ID=SRC-SD-IMPORT; 来源定位=来源!5</x:v>
      </x:c>
    </x:row>
    <x:row r="6">
      <x:c r="A6" s="20" t="str">
        <x:v>SRC-OFFICIAL</x:v>
      </x:c>
      <x:c r="B6" s="18" t="str">
        <x:v>sd收录.xlsx</x:v>
      </x:c>
      <x:c r="C6" s="18" t="str"/>
      <x:c r="D6" s="18" t="str">
        <x:v>2026-07-26</x:v>
      </x:c>
      <x:c r="E6" s="19" t="str">
        <x:v>原始业务ID=SRC-OFFICIAL; 来源定位=来源!6</x:v>
      </x:c>
    </x:row>
    <x:row r="7">
      <x:c r="A7" s="20" t="str">
        <x:v>SRC-DESIGN</x:v>
      </x:c>
      <x:c r="B7" s="18" t="str">
        <x:v>渠道模型成本与毛利润设计</x:v>
      </x:c>
      <x:c r="C7" s="18" t="str"/>
      <x:c r="D7" s="18" t="str">
        <x:v>2026-07-26</x:v>
      </x:c>
      <x:c r="E7" s="19" t="str">
        <x:v>原始业务ID=SRC-DESIGN; 来源定位=来源!7</x:v>
      </x:c>
    </x:row>
    <x:row r="8">
      <x:c r="A8" s="20" t="str">
        <x:v>SRC-FX</x:v>
      </x:c>
      <x:c r="B8" s="18" t="str">
        <x:v>模板参数</x:v>
      </x:c>
      <x:c r="C8" s="18" t="str"/>
      <x:c r="D8" s="18" t="str">
        <x:v>2026-07-26</x:v>
      </x:c>
      <x:c r="E8" s="19" t="str">
        <x:v>原始业务ID=SRC-FX; 来源定位=来源!8</x:v>
      </x:c>
    </x:row>
    <x:row r="9">
      <x:c r="A9" s="20" t="str">
        <x:v>SRC-CH-01</x:v>
      </x:c>
      <x:c r="B9" s="18" t="str">
        <x:v>clmm</x:v>
      </x:c>
      <x:c r="C9" s="18" t="str">
        <x:v>https://clmm-mall.top/pricing</x:v>
      </x:c>
      <x:c r="D9" s="18" t="str">
        <x:v>2026-07-26</x:v>
      </x:c>
      <x:c r="E9" s="19" t="str">
        <x:v>原始业务ID=SRC-CH-01; 来源定位=来源!9</x:v>
      </x:c>
    </x:row>
    <x:row r="10">
      <x:c r="A10" s="20" t="str">
        <x:v>SRC-CH-02</x:v>
      </x:c>
      <x:c r="B10" s="18" t="str">
        <x:v>paipu</x:v>
      </x:c>
      <x:c r="C10" s="18" t="str">
        <x:v>https://api.paipu.net/pricing</x:v>
      </x:c>
      <x:c r="D10" s="18" t="str">
        <x:v>2026-07-26</x:v>
      </x:c>
      <x:c r="E10" s="19" t="str">
        <x:v>原始业务ID=SRC-CH-02; 来源定位=来源!10</x:v>
      </x:c>
    </x:row>
    <x:row r="11">
      <x:c r="A11" s="20" t="str">
        <x:v>SRC-CH-03</x:v>
      </x:c>
      <x:c r="B11" s="18" t="str">
        <x:v>lucen</x:v>
      </x:c>
      <x:c r="C11" s="18" t="str">
        <x:v>https://lucen.asia/pricing</x:v>
      </x:c>
      <x:c r="D11" s="18" t="str">
        <x:v>2026-07-26</x:v>
      </x:c>
      <x:c r="E11" s="19" t="str">
        <x:v>原始业务ID=SRC-CH-03; 来源定位=来源!11</x:v>
      </x:c>
    </x:row>
    <x:row r="12">
      <x:c r="A12" s="20" t="str">
        <x:v>SRC-CH-04</x:v>
      </x:c>
      <x:c r="B12" s="18" t="str">
        <x:v>8yes</x:v>
      </x:c>
      <x:c r="C12" s="18" t="str">
        <x:v>https://8yes.cc/pricing</x:v>
      </x:c>
      <x:c r="D12" s="18" t="str">
        <x:v>2026-07-26</x:v>
      </x:c>
      <x:c r="E12" s="19" t="str">
        <x:v>原始业务ID=SRC-CH-04; 来源定位=来源!12</x:v>
      </x:c>
    </x:row>
    <x:row r="13">
      <x:c r="A13" s="20" t="str">
        <x:v>SRC-CH-05</x:v>
      </x:c>
      <x:c r="B13" s="18" t="str">
        <x:v>secure</x:v>
      </x:c>
      <x:c r="C13" s="18" t="str">
        <x:v>https://token.secure-skill.com/pricing</x:v>
      </x:c>
      <x:c r="D13" s="18" t="str">
        <x:v>2026-07-26</x:v>
      </x:c>
      <x:c r="E13" s="19" t="str">
        <x:v>原始业务ID=SRC-CH-05; 来源定位=来源!13</x:v>
      </x:c>
    </x:row>
    <x:row r="14">
      <x:c r="A14" s="20" t="str">
        <x:v>SRC-CH-06</x:v>
      </x:c>
      <x:c r="B14" s="18" t="str">
        <x:v>cangyuansuanli</x:v>
      </x:c>
      <x:c r="C14" s="18" t="str">
        <x:v>https://ai.cangyuansuanli.cn/pricing</x:v>
      </x:c>
      <x:c r="D14" s="18" t="str">
        <x:v>2026-07-26</x:v>
      </x:c>
      <x:c r="E14" s="19" t="str">
        <x:v>原始业务ID=SRC-CH-06; 来源定位=来源!14</x:v>
      </x:c>
    </x:row>
    <x:row r="15">
      <x:c r="A15" s="20" t="str">
        <x:v>SRC-CH-07</x:v>
      </x:c>
      <x:c r="B15" s="18" t="str">
        <x:v>dimensio</x:v>
      </x:c>
      <x:c r="C15" s="18" t="str">
        <x:v>https://jimeng.dimensio.cn/</x:v>
      </x:c>
      <x:c r="D15" s="18" t="str">
        <x:v>2026-07-26</x:v>
      </x:c>
      <x:c r="E15" s="19" t="str">
        <x:v>原始业务ID=SRC-CH-07; 来源定位=来源!15</x:v>
      </x:c>
    </x:row>
    <x:row r="16">
      <x:c r="A16" s="20" t="str">
        <x:v>SRC-CH-08</x:v>
      </x:c>
      <x:c r="B16" s="18" t="str">
        <x:v>megabyai</x:v>
      </x:c>
      <x:c r="C16" s="18" t="str">
        <x:v>https://newapi.megabyai.cc/pricing</x:v>
      </x:c>
      <x:c r="D16" s="18" t="str">
        <x:v>2026-07-26</x:v>
      </x:c>
      <x:c r="E16" s="19" t="str">
        <x:v>原始业务ID=SRC-CH-08; 来源定位=来源!16</x:v>
      </x:c>
    </x:row>
    <x:row r="17">
      <x:c r="A17" s="20" t="str">
        <x:v>SRC-CH-09</x:v>
      </x:c>
      <x:c r="B17" s="18" t="str">
        <x:v>4stoken</x:v>
      </x:c>
      <x:c r="C17" s="18" t="str">
        <x:v>https://www.4stoken.cn/models</x:v>
      </x:c>
      <x:c r="D17" s="18" t="str">
        <x:v>2026-07-26</x:v>
      </x:c>
      <x:c r="E17" s="19" t="str">
        <x:v>原始业务ID=SRC-CH-09; 来源定位=来源!17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000000000000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5" customHeight="1">
      <x:c r="A1" s="3" t="str">
        <x:v>渠道模型成本与利润配置模板 v2 - 利润测算</x:v>
      </x:c>
      <x:c r="B1" s="3"/>
      <x:c r="C1" s="3"/>
      <x:c r="D1" s="3"/>
      <x:c r="E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</x:row>
    <x:row r="4" ht="36" customHeight="1">
      <x:c r="A4" s="14" t="str">
        <x:v>成本规则ID</x:v>
      </x:c>
      <x:c r="B4" s="15" t="str">
        <x:v>规范成本USD</x:v>
      </x:c>
      <x:c r="C4" s="15" t="str">
        <x:v>官方售价USD（参考）</x:v>
      </x:c>
      <x:c r="D4" s="15" t="str">
        <x:v>预估毛利润USD</x:v>
      </x:c>
      <x:c r="E4" s="16" t="str">
        <x:v>预估毛利率</x:v>
      </x:c>
    </x:row>
    <x:row r="5">
      <x:c r="A5" s="20" t="str">
        <x:v>COST-V2/MAP-4STOKEN-R116-480</x:v>
      </x:c>
      <x:c r="B5" s="24" t="n">
        <x:f>'渠道成本'!P5</x:f>
        <x:v>0.4589041095890411</x:v>
      </x:c>
      <x:c r="C5" s="24" t="n">
        <x:v>3.013698630136986</x:v>
      </x:c>
      <x:c r="D5" s="24" t="n">
        <x:f>IFERROR(C5-B5,0)</x:f>
        <x:v>2.554794520547945</x:v>
      </x:c>
      <x:c r="E5" s="25" t="n">
        <x:f>IFERROR(D5/C5,0)</x:f>
        <x:v>0.8477272727272728</x:v>
      </x:c>
    </x:row>
    <x:row r="6">
      <x:c r="A6" s="20" t="str">
        <x:v>COST-V2/MAP-4STOKEN-R117-720</x:v>
      </x:c>
      <x:c r="B6" s="24" t="n">
        <x:f>'渠道成本'!P6</x:f>
        <x:v>0.9863013698630136</x:v>
      </x:c>
      <x:c r="C6" s="24" t="n">
        <x:v>3.013698630136986</x:v>
      </x:c>
      <x:c r="D6" s="24" t="n">
        <x:f>IFERROR(C6-B6,0)</x:f>
        <x:v>2.0273972602739723</x:v>
      </x:c>
      <x:c r="E6" s="25" t="n">
        <x:f>IFERROR(D6/C6,0)</x:f>
        <x:v>0.6727272727272727</x:v>
      </x:c>
    </x:row>
    <x:row r="7">
      <x:c r="A7" s="20" t="str">
        <x:v>COST-V2/MAP-4STOKEN-R118-1080</x:v>
      </x:c>
      <x:c r="B7" s="24" t="n">
        <x:f>'渠道成本'!P7</x:f>
        <x:v>0.9863013698630136</x:v>
      </x:c>
      <x:c r="C7" s="24" t="n">
        <x:v>0</x:v>
      </x:c>
      <x:c r="D7" s="24" t="n">
        <x:f>IFERROR(C7-B7,0)</x:f>
        <x:v>-0.9863013698630136</x:v>
      </x:c>
      <x:c r="E7" s="25" t="n">
        <x:f>IFERROR(D7/C7,0)</x:f>
        <x:v>0</x:v>
      </x:c>
    </x:row>
    <x:row r="8">
      <x:c r="A8" s="20" t="str">
        <x:v>COST-V2/MAP-4STOKEN-R119-480</x:v>
      </x:c>
      <x:c r="B8" s="24" t="n">
        <x:f>'渠道成本'!P8</x:f>
        <x:v>0.5616438356164383</x:v>
      </x:c>
      <x:c r="C8" s="24" t="n">
        <x:v>3.835616438356164</x:v>
      </x:c>
      <x:c r="D8" s="24" t="n">
        <x:f>IFERROR(C8-B8,0)</x:f>
        <x:v>3.273972602739726</x:v>
      </x:c>
      <x:c r="E8" s="25" t="n">
        <x:f>IFERROR(D8/C8,0)</x:f>
        <x:v>0.8535714285714285</x:v>
      </x:c>
    </x:row>
    <x:row r="9">
      <x:c r="A9" s="20" t="str">
        <x:v>COST-V2/MAP-4STOKEN-R120-720</x:v>
      </x:c>
      <x:c r="B9" s="24" t="n">
        <x:f>'渠道成本'!P9</x:f>
        <x:v>1.2191780821917808</x:v>
      </x:c>
      <x:c r="C9" s="24" t="n">
        <x:v>3.835616438356164</x:v>
      </x:c>
      <x:c r="D9" s="24" t="n">
        <x:f>IFERROR(C9-B9,0)</x:f>
        <x:v>2.6164383561643834</x:v>
      </x:c>
      <x:c r="E9" s="25" t="n">
        <x:f>IFERROR(D9/C9,0)</x:f>
        <x:v>0.6821428571428572</x:v>
      </x:c>
    </x:row>
    <x:row r="10">
      <x:c r="A10" s="20" t="str">
        <x:v>COST-V2/MAP-4STOKEN-R121-720</x:v>
      </x:c>
      <x:c r="B10" s="24" t="n">
        <x:f>'渠道成本'!P10</x:f>
        <x:v>0.821917808219178</x:v>
      </x:c>
      <x:c r="C10" s="24" t="n">
        <x:v>3.835616438356164</x:v>
      </x:c>
      <x:c r="D10" s="24" t="n">
        <x:f>IFERROR(C10-B10,0)</x:f>
        <x:v>3.013698630136986</x:v>
      </x:c>
      <x:c r="E10" s="25" t="n">
        <x:f>IFERROR(D10/C10,0)</x:f>
        <x:v>0.7857142857142857</x:v>
      </x:c>
    </x:row>
    <x:row r="11">
      <x:c r="A11" s="20" t="str">
        <x:v>COST-V2/MAP-4STOKEN-R122-720</x:v>
      </x:c>
      <x:c r="B11" s="24" t="n">
        <x:f>'渠道成本'!P11</x:f>
        <x:v>0.06575342465753424</x:v>
      </x:c>
      <x:c r="C11" s="24" t="n">
        <x:v>3.013698630136986</x:v>
      </x:c>
      <x:c r="D11" s="24" t="n">
        <x:f>IFERROR(C11-B11,0)</x:f>
        <x:v>2.9479452054794515</x:v>
      </x:c>
      <x:c r="E11" s="25" t="n">
        <x:f>IFERROR(D11/C11,0)</x:f>
        <x:v>0.9781818181818182</x:v>
      </x:c>
    </x:row>
    <x:row r="12">
      <x:c r="A12" s="20" t="str">
        <x:v>COST-V2/MAP-4STOKEN-R123-720</x:v>
      </x:c>
      <x:c r="B12" s="24" t="n">
        <x:f>'渠道成本'!P12</x:f>
        <x:v>0.06575342465753424</x:v>
      </x:c>
      <x:c r="C12" s="24" t="n">
        <x:v>3.013698630136986</x:v>
      </x:c>
      <x:c r="D12" s="24" t="n">
        <x:f>IFERROR(C12-B12,0)</x:f>
        <x:v>2.9479452054794515</x:v>
      </x:c>
      <x:c r="E12" s="25" t="n">
        <x:f>IFERROR(D12/C12,0)</x:f>
        <x:v>0.9781818181818182</x:v>
      </x:c>
    </x:row>
    <x:row r="13">
      <x:c r="A13" s="20" t="str">
        <x:v>COST-V2/MAP-4STOKEN-R124-720</x:v>
      </x:c>
      <x:c r="B13" s="24" t="n">
        <x:f>'渠道成本'!P13</x:f>
        <x:v>0.0821917808219178</x:v>
      </x:c>
      <x:c r="C13" s="24" t="n">
        <x:v>3.835616438356164</x:v>
      </x:c>
      <x:c r="D13" s="24" t="n">
        <x:f>IFERROR(C13-B13,0)</x:f>
        <x:v>3.7534246575342465</x:v>
      </x:c>
      <x:c r="E13" s="25" t="n">
        <x:f>IFERROR(D13/C13,0)</x:f>
        <x:v>0.9785714285714286</x:v>
      </x:c>
    </x:row>
    <x:row r="14">
      <x:c r="A14" s="20" t="str">
        <x:v>COST-V2/MAP-4STOKEN-R125-480</x:v>
      </x:c>
      <x:c r="B14" s="24" t="n">
        <x:f>'渠道成本'!P14</x:f>
        <x:v>0.5616438356164383</x:v>
      </x:c>
      <x:c r="C14" s="24" t="n">
        <x:v>3.835616438356164</x:v>
      </x:c>
      <x:c r="D14" s="24" t="n">
        <x:f>IFERROR(C14-B14,0)</x:f>
        <x:v>3.273972602739726</x:v>
      </x:c>
      <x:c r="E14" s="25" t="n">
        <x:f>IFERROR(D14/C14,0)</x:f>
        <x:v>0.8535714285714285</x:v>
      </x:c>
    </x:row>
    <x:row r="15">
      <x:c r="A15" s="20" t="str">
        <x:v>COST-V2/MAP-8YES-R60-480</x:v>
      </x:c>
      <x:c r="B15" s="24" t="n">
        <x:f>'渠道成本'!P15</x:f>
        <x:v>0.692472602739726</x:v>
      </x:c>
      <x:c r="C15" s="24" t="n">
        <x:v>3.835616438356164</x:v>
      </x:c>
      <x:c r="D15" s="24" t="n">
        <x:f>IFERROR(C15-B15,0)</x:f>
        <x:v>3.143143835616438</x:v>
      </x:c>
      <x:c r="E15" s="25" t="n">
        <x:f>IFERROR(D15/C15,0)</x:f>
        <x:v>0.8194625</x:v>
      </x:c>
    </x:row>
    <x:row r="16">
      <x:c r="A16" s="20" t="str">
        <x:v>COST-V2/MAP-8YES-R60-720</x:v>
      </x:c>
      <x:c r="B16" s="24" t="n">
        <x:f>'渠道成本'!P16</x:f>
        <x:v>0.692472602739726</x:v>
      </x:c>
      <x:c r="C16" s="24" t="n">
        <x:v>3.835616438356164</x:v>
      </x:c>
      <x:c r="D16" s="24" t="n">
        <x:f>IFERROR(C16-B16,0)</x:f>
        <x:v>3.143143835616438</x:v>
      </x:c>
      <x:c r="E16" s="25" t="n">
        <x:f>IFERROR(D16/C16,0)</x:f>
        <x:v>0.8194625</x:v>
      </x:c>
    </x:row>
    <x:row r="17">
      <x:c r="A17" s="20" t="str">
        <x:v>COST-V2/MAP-8YES-R61-1080</x:v>
      </x:c>
      <x:c r="B17" s="24" t="n">
        <x:f>'渠道成本'!P17</x:f>
        <x:v>0.26979452054794517</x:v>
      </x:c>
      <x:c r="C17" s="24" t="n">
        <x:v>4.2465753424657535</x:v>
      </x:c>
      <x:c r="D17" s="24" t="n">
        <x:f>IFERROR(C17-B17,0)</x:f>
        <x:v>3.9767808219178082</x:v>
      </x:c>
      <x:c r="E17" s="25" t="n">
        <x:f>IFERROR(D17/C17,0)</x:f>
        <x:v>0.9364677419354839</x:v>
      </x:c>
    </x:row>
    <x:row r="18">
      <x:c r="A18" s="20" t="str">
        <x:v>COST-V2/MAP-8YES-R62-480</x:v>
      </x:c>
      <x:c r="B18" s="24" t="n">
        <x:f>'渠道成本'!P18</x:f>
        <x:v>0.08093835616438355</x:v>
      </x:c>
      <x:c r="C18" s="24" t="n">
        <x:v>3.835616438356164</x:v>
      </x:c>
      <x:c r="D18" s="24" t="n">
        <x:f>IFERROR(C18-B18,0)</x:f>
        <x:v>3.7546780821917807</x:v>
      </x:c>
      <x:c r="E18" s="25" t="n">
        <x:f>IFERROR(D18/C18,0)</x:f>
        <x:v>0.9788982142857143</x:v>
      </x:c>
    </x:row>
    <x:row r="19">
      <x:c r="A19" s="20" t="str">
        <x:v>COST-V2/MAP-8YES-R63-4K</x:v>
      </x:c>
      <x:c r="B19" s="24" t="n">
        <x:f>'渠道成本'!P19</x:f>
        <x:v>0.5395890410958903</x:v>
      </x:c>
      <x:c r="C19" s="24" t="n">
        <x:v>2.191780821917808</x:v>
      </x:c>
      <x:c r="D19" s="24" t="n">
        <x:f>IFERROR(C19-B19,0)</x:f>
        <x:v>1.6521917808219178</x:v>
      </x:c>
      <x:c r="E19" s="25" t="n">
        <x:f>IFERROR(D19/C19,0)</x:f>
        <x:v>0.7538125</x:v>
      </x:c>
    </x:row>
    <x:row r="20">
      <x:c r="A20" s="20" t="str">
        <x:v>COST-V2/MAP-8YES-R64-720</x:v>
      </x:c>
      <x:c r="B20" s="24" t="n">
        <x:f>'渠道成本'!P20</x:f>
        <x:v>0.11691095890410959</x:v>
      </x:c>
      <x:c r="C20" s="24" t="n">
        <x:v>3.835616438356164</x:v>
      </x:c>
      <x:c r="D20" s="24" t="n">
        <x:f>IFERROR(C20-B20,0)</x:f>
        <x:v>3.7187054794520544</x:v>
      </x:c>
      <x:c r="E20" s="25" t="n">
        <x:f>IFERROR(D20/C20,0)</x:f>
        <x:v>0.9695196428571428</x:v>
      </x:c>
    </x:row>
    <x:row r="21">
      <x:c r="A21" s="20" t="str">
        <x:v>COST-V2/MAP-CANGYUANSUANLI-R77-480</x:v>
      </x:c>
      <x:c r="B21" s="24" t="n">
        <x:f>'渠道成本'!P21</x:f>
        <x:v>0.5273972602739726</x:v>
      </x:c>
      <x:c r="C21" s="24" t="n">
        <x:v>3.835616438356164</x:v>
      </x:c>
      <x:c r="D21" s="24" t="n">
        <x:f>IFERROR(C21-B21,0)</x:f>
        <x:v>3.3082191780821915</x:v>
      </x:c>
      <x:c r="E21" s="25" t="n">
        <x:f>IFERROR(D21/C21,0)</x:f>
        <x:v>0.8624999999999999</x:v>
      </x:c>
    </x:row>
    <x:row r="22">
      <x:c r="A22" s="20" t="str">
        <x:v>COST-V2/MAP-CANGYUANSUANLI-R77-720</x:v>
      </x:c>
      <x:c r="B22" s="24" t="n">
        <x:f>'渠道成本'!P22</x:f>
        <x:v>0.5273972602739726</x:v>
      </x:c>
      <x:c r="C22" s="24" t="n">
        <x:v>3.835616438356164</x:v>
      </x:c>
      <x:c r="D22" s="24" t="n">
        <x:f>IFERROR(C22-B22,0)</x:f>
        <x:v>3.3082191780821915</x:v>
      </x:c>
      <x:c r="E22" s="25" t="n">
        <x:f>IFERROR(D22/C22,0)</x:f>
        <x:v>0.8624999999999999</x:v>
      </x:c>
    </x:row>
    <x:row r="23">
      <x:c r="A23" s="20" t="str">
        <x:v>COST-V2/MAP-CANGYUANSUANLI-R78-480</x:v>
      </x:c>
      <x:c r="B23" s="24" t="n">
        <x:f>'渠道成本'!P23</x:f>
        <x:v>0.3561643835616438</x:v>
      </x:c>
      <x:c r="C23" s="24" t="n">
        <x:v>3.013698630136986</x:v>
      </x:c>
      <x:c r="D23" s="24" t="n">
        <x:f>IFERROR(C23-B23,0)</x:f>
        <x:v>2.657534246575342</x:v>
      </x:c>
      <x:c r="E23" s="25" t="n">
        <x:f>IFERROR(D23/C23,0)</x:f>
        <x:v>0.8818181818181817</x:v>
      </x:c>
    </x:row>
    <x:row r="24">
      <x:c r="A24" s="20" t="str">
        <x:v>COST-V2/MAP-CANGYUANSUANLI-R78-720</x:v>
      </x:c>
      <x:c r="B24" s="24" t="n">
        <x:f>'渠道成本'!P24</x:f>
        <x:v>0.3561643835616438</x:v>
      </x:c>
      <x:c r="C24" s="24" t="n">
        <x:v>3.013698630136986</x:v>
      </x:c>
      <x:c r="D24" s="24" t="n">
        <x:f>IFERROR(C24-B24,0)</x:f>
        <x:v>2.657534246575342</x:v>
      </x:c>
      <x:c r="E24" s="25" t="n">
        <x:f>IFERROR(D24/C24,0)</x:f>
        <x:v>0.8818181818181817</x:v>
      </x:c>
    </x:row>
    <x:row r="25">
      <x:c r="A25" s="20" t="str">
        <x:v>COST-V2/MAP-CANGYUANSUANLI-R79-480</x:v>
      </x:c>
      <x:c r="B25" s="24" t="n">
        <x:f>'渠道成本'!P25</x:f>
        <x:v>0.6643835616438355</x:v>
      </x:c>
      <x:c r="C25" s="24" t="n">
        <x:v>3.835616438356164</x:v>
      </x:c>
      <x:c r="D25" s="24" t="n">
        <x:f>IFERROR(C25-B25,0)</x:f>
        <x:v>3.171232876712329</x:v>
      </x:c>
      <x:c r="E25" s="25" t="n">
        <x:f>IFERROR(D25/C25,0)</x:f>
        <x:v>0.8267857142857143</x:v>
      </x:c>
    </x:row>
    <x:row r="26">
      <x:c r="A26" s="20" t="str">
        <x:v>COST-V2/MAP-CANGYUANSUANLI-R79-720</x:v>
      </x:c>
      <x:c r="B26" s="24" t="n">
        <x:f>'渠道成本'!P26</x:f>
        <x:v>0.6643835616438355</x:v>
      </x:c>
      <x:c r="C26" s="24" t="n">
        <x:v>3.835616438356164</x:v>
      </x:c>
      <x:c r="D26" s="24" t="n">
        <x:f>IFERROR(C26-B26,0)</x:f>
        <x:v>3.171232876712329</x:v>
      </x:c>
      <x:c r="E26" s="25" t="n">
        <x:f>IFERROR(D26/C26,0)</x:f>
        <x:v>0.8267857142857143</x:v>
      </x:c>
    </x:row>
    <x:row r="27">
      <x:c r="A27" s="20" t="str">
        <x:v>COST-V2/MAP-CANGYUANSUANLI-R80-480</x:v>
      </x:c>
      <x:c r="B27" s="24" t="n">
        <x:f>'渠道成本'!P27</x:f>
        <x:v>0.4931506849315068</x:v>
      </x:c>
      <x:c r="C27" s="24" t="n">
        <x:v>3.013698630136986</x:v>
      </x:c>
      <x:c r="D27" s="24" t="n">
        <x:f>IFERROR(C27-B27,0)</x:f>
        <x:v>2.520547945205479</x:v>
      </x:c>
      <x:c r="E27" s="25" t="n">
        <x:f>IFERROR(D27/C27,0)</x:f>
        <x:v>0.8363636363636363</x:v>
      </x:c>
    </x:row>
    <x:row r="28">
      <x:c r="A28" s="20" t="str">
        <x:v>COST-V2/MAP-CANGYUANSUANLI-R80-720</x:v>
      </x:c>
      <x:c r="B28" s="24" t="n">
        <x:f>'渠道成本'!P28</x:f>
        <x:v>0.4931506849315068</x:v>
      </x:c>
      <x:c r="C28" s="24" t="n">
        <x:v>3.013698630136986</x:v>
      </x:c>
      <x:c r="D28" s="24" t="n">
        <x:f>IFERROR(C28-B28,0)</x:f>
        <x:v>2.520547945205479</x:v>
      </x:c>
      <x:c r="E28" s="25" t="n">
        <x:f>IFERROR(D28/C28,0)</x:f>
        <x:v>0.8363636363636363</x:v>
      </x:c>
    </x:row>
    <x:row r="29">
      <x:c r="A29" s="20" t="str">
        <x:v>COST-V2/MAP-CANGYUANSUANLI-R81-480</x:v>
      </x:c>
      <x:c r="B29" s="24" t="n">
        <x:f>'渠道成本'!P29</x:f>
        <x:v>0.3972602739726027</x:v>
      </x:c>
      <x:c r="C29" s="24" t="n">
        <x:v>1.917808219178082</x:v>
      </x:c>
      <x:c r="D29" s="24" t="n">
        <x:f>IFERROR(C29-B29,0)</x:f>
        <x:v>1.5205479452054793</x:v>
      </x:c>
      <x:c r="E29" s="25" t="n">
        <x:f>IFERROR(D29/C29,0)</x:f>
        <x:v>0.7928571428571428</x:v>
      </x:c>
    </x:row>
    <x:row r="30">
      <x:c r="A30" s="20" t="str">
        <x:v>COST-V2/MAP-CANGYUANSUANLI-R81-720</x:v>
      </x:c>
      <x:c r="B30" s="24" t="n">
        <x:f>'渠道成本'!P30</x:f>
        <x:v>0.3972602739726027</x:v>
      </x:c>
      <x:c r="C30" s="24" t="n">
        <x:v>1.917808219178082</x:v>
      </x:c>
      <x:c r="D30" s="24" t="n">
        <x:f>IFERROR(C30-B30,0)</x:f>
        <x:v>1.5205479452054793</x:v>
      </x:c>
      <x:c r="E30" s="25" t="n">
        <x:f>IFERROR(D30/C30,0)</x:f>
        <x:v>0.7928571428571428</x:v>
      </x:c>
    </x:row>
    <x:row r="31">
      <x:c r="A31" s="20" t="str">
        <x:v>COST-V2/MAP-CLMM-R10-720</x:v>
      </x:c>
      <x:c r="B31" s="24" t="n">
        <x:f>'渠道成本'!P31</x:f>
        <x:v>0.03671232876712329</x:v>
      </x:c>
      <x:c r="C31" s="24" t="n">
        <x:v>3.013698630136986</x:v>
      </x:c>
      <x:c r="D31" s="24" t="n">
        <x:f>IFERROR(C31-B31,0)</x:f>
        <x:v>2.9769863013698625</x:v>
      </x:c>
      <x:c r="E31" s="25" t="n">
        <x:f>IFERROR(D31/C31,0)</x:f>
        <x:v>0.9878181818181818</x:v>
      </x:c>
    </x:row>
    <x:row r="32">
      <x:c r="A32" s="20" t="str">
        <x:v>COST-V2/MAP-CLMM-R11-720</x:v>
      </x:c>
      <x:c r="B32" s="24" t="n">
        <x:f>'渠道成本'!P32</x:f>
        <x:v>0.027123287671232878</x:v>
      </x:c>
      <x:c r="C32" s="24" t="n">
        <x:v>1.917808219178082</x:v>
      </x:c>
      <x:c r="D32" s="24" t="n">
        <x:f>IFERROR(C32-B32,0)</x:f>
        <x:v>1.8906849315068492</x:v>
      </x:c>
      <x:c r="E32" s="25" t="n">
        <x:f>IFERROR(D32/C32,0)</x:f>
        <x:v>0.9858571428571429</x:v>
      </x:c>
    </x:row>
    <x:row r="33">
      <x:c r="A33" s="20" t="str">
        <x:v>COST-V2/MAP-CLMM-R12-720</x:v>
      </x:c>
      <x:c r="B33" s="24" t="n">
        <x:f>'渠道成本'!P33</x:f>
        <x:v>0.050410958904109585</x:v>
      </x:c>
      <x:c r="C33" s="24" t="n">
        <x:v>3.835616438356164</x:v>
      </x:c>
      <x:c r="D33" s="24" t="n">
        <x:f>IFERROR(C33-B33,0)</x:f>
        <x:v>3.7852054794520544</x:v>
      </x:c>
      <x:c r="E33" s="25" t="n">
        <x:f>IFERROR(D33/C33,0)</x:f>
        <x:v>0.9868571428571428</x:v>
      </x:c>
    </x:row>
    <x:row r="34">
      <x:c r="A34" s="20" t="str">
        <x:v>COST-V2/MAP-CLMM-R3-720</x:v>
      </x:c>
      <x:c r="B34" s="24" t="n">
        <x:f>'渠道成本'!P34</x:f>
        <x:v>0.18904109589041093</x:v>
      </x:c>
      <x:c r="C34" s="24" t="n">
        <x:v>3.013698630136986</x:v>
      </x:c>
      <x:c r="D34" s="24" t="n">
        <x:f>IFERROR(C34-B34,0)</x:f>
        <x:v>2.824657534246575</x:v>
      </x:c>
      <x:c r="E34" s="25" t="n">
        <x:f>IFERROR(D34/C34,0)</x:f>
        <x:v>0.9372727272727274</x:v>
      </x:c>
    </x:row>
    <x:row r="35">
      <x:c r="A35" s="20" t="str">
        <x:v>COST-V2/MAP-CLMM-R4-1080</x:v>
      </x:c>
      <x:c r="B35" s="24" t="n">
        <x:f>'渠道成本'!P35</x:f>
        <x:v>0.9315068493150684</x:v>
      </x:c>
      <x:c r="C35" s="24" t="n">
        <x:v>4.2465753424657535</x:v>
      </x:c>
      <x:c r="D35" s="24" t="n">
        <x:f>IFERROR(C35-B35,0)</x:f>
        <x:v>3.315068493150685</x:v>
      </x:c>
      <x:c r="E35" s="25" t="n">
        <x:f>IFERROR(D35/C35,0)</x:f>
        <x:v>0.7806451612903226</x:v>
      </x:c>
    </x:row>
    <x:row r="36">
      <x:c r="A36" s="20" t="str">
        <x:v>COST-V2/MAP-CLMM-R5-720</x:v>
      </x:c>
      <x:c r="B36" s="24" t="n">
        <x:f>'渠道成本'!P36</x:f>
        <x:v>0.6410958904109588</x:v>
      </x:c>
      <x:c r="C36" s="24" t="n">
        <x:v>3.013698630136986</x:v>
      </x:c>
      <x:c r="D36" s="24" t="n">
        <x:f>IFERROR(C36-B36,0)</x:f>
        <x:v>2.372602739726027</x:v>
      </x:c>
      <x:c r="E36" s="25" t="n">
        <x:f>IFERROR(D36/C36,0)</x:f>
        <x:v>0.7872727272727273</x:v>
      </x:c>
    </x:row>
    <x:row r="37">
      <x:c r="A37" s="20" t="str">
        <x:v>COST-V2/MAP-CLMM-R6-720</x:v>
      </x:c>
      <x:c r="B37" s="24" t="n">
        <x:f>'渠道成本'!P37</x:f>
        <x:v>0.7643835616438356</x:v>
      </x:c>
      <x:c r="C37" s="24" t="n">
        <x:v>3.835616438356164</x:v>
      </x:c>
      <x:c r="D37" s="24" t="n">
        <x:f>IFERROR(C37-B37,0)</x:f>
        <x:v>3.0712328767123287</x:v>
      </x:c>
      <x:c r="E37" s="25" t="n">
        <x:f>IFERROR(D37/C37,0)</x:f>
        <x:v>0.8007142857142857</x:v>
      </x:c>
    </x:row>
    <x:row r="38">
      <x:c r="A38" s="20" t="str">
        <x:v>COST-V2/MAP-CLMM-R7-480</x:v>
      </x:c>
      <x:c r="B38" s="24" t="n">
        <x:f>'渠道成本'!P38</x:f>
        <x:v>0.03671232876712329</x:v>
      </x:c>
      <x:c r="C38" s="24" t="n">
        <x:v>3.835616438356164</x:v>
      </x:c>
      <x:c r="D38" s="24" t="n">
        <x:f>IFERROR(C38-B38,0)</x:f>
        <x:v>3.798904109589041</x:v>
      </x:c>
      <x:c r="E38" s="25" t="n">
        <x:f>IFERROR(D38/C38,0)</x:f>
        <x:v>0.9904285714285714</x:v>
      </x:c>
    </x:row>
    <x:row r="39">
      <x:c r="A39" s="20" t="str">
        <x:v>COST-V2/MAP-CLMM-R8-480</x:v>
      </x:c>
      <x:c r="B39" s="24" t="n">
        <x:f>'渠道成本'!P39</x:f>
        <x:v>0.022602739726027398</x:v>
      </x:c>
      <x:c r="C39" s="24" t="n">
        <x:v>3.013698630136986</x:v>
      </x:c>
      <x:c r="D39" s="24" t="n">
        <x:f>IFERROR(C39-B39,0)</x:f>
        <x:v>2.9910958904109584</x:v>
      </x:c>
      <x:c r="E39" s="25" t="n">
        <x:f>IFERROR(D39/C39,0)</x:f>
        <x:v>0.9924999999999999</x:v>
      </x:c>
    </x:row>
    <x:row r="40">
      <x:c r="A40" s="20" t="str">
        <x:v>COST-V2/MAP-CLMM-R9-480</x:v>
      </x:c>
      <x:c r="B40" s="24" t="n">
        <x:f>'渠道成本'!P40</x:f>
        <x:v>0.017534246575342465</x:v>
      </x:c>
      <x:c r="C40" s="24" t="n">
        <x:v>1.917808219178082</x:v>
      </x:c>
      <x:c r="D40" s="24" t="n">
        <x:f>IFERROR(C40-B40,0)</x:f>
        <x:v>1.9002739726027396</x:v>
      </x:c>
      <x:c r="E40" s="25" t="n">
        <x:f>IFERROR(D40/C40,0)</x:f>
        <x:v>0.9908571428571428</x:v>
      </x:c>
    </x:row>
    <x:row r="41">
      <x:c r="A41" s="20" t="str">
        <x:v>COST-V2/MAP-DIMENSIO-R83-720</x:v>
      </x:c>
      <x:c r="B41" s="24" t="n">
        <x:f>'渠道成本'!P41</x:f>
        <x:v>0.05342465753424657</x:v>
      </x:c>
      <x:c r="C41" s="24" t="n">
        <x:v>1.917808219178082</x:v>
      </x:c>
      <x:c r="D41" s="24" t="n">
        <x:f>IFERROR(C41-B41,0)</x:f>
        <x:v>1.8643835616438356</x:v>
      </x:c>
      <x:c r="E41" s="25" t="n">
        <x:f>IFERROR(D41/C41,0)</x:f>
        <x:v>0.9721428571428572</x:v>
      </x:c>
    </x:row>
    <x:row r="42">
      <x:c r="A42" s="20" t="str">
        <x:v>COST-V2/MAP-DIMENSIO-R84-720</x:v>
      </x:c>
      <x:c r="B42" s="24" t="n">
        <x:f>'渠道成本'!P42</x:f>
        <x:v>0.06575342465753424</x:v>
      </x:c>
      <x:c r="C42" s="24" t="n">
        <x:v>3.013698630136986</x:v>
      </x:c>
      <x:c r="D42" s="24" t="n">
        <x:f>IFERROR(C42-B42,0)</x:f>
        <x:v>2.9479452054794515</x:v>
      </x:c>
      <x:c r="E42" s="25" t="n">
        <x:f>IFERROR(D42/C42,0)</x:f>
        <x:v>0.9781818181818182</x:v>
      </x:c>
    </x:row>
    <x:row r="43">
      <x:c r="A43" s="20" t="str">
        <x:v>COST-V2/MAP-DIMENSIO-R85-720</x:v>
      </x:c>
      <x:c r="B43" s="24" t="n">
        <x:f>'渠道成本'!P43</x:f>
        <x:v>0.08493150684931507</x:v>
      </x:c>
      <x:c r="C43" s="24" t="n">
        <x:v>3.835616438356164</x:v>
      </x:c>
      <x:c r="D43" s="24" t="n">
        <x:f>IFERROR(C43-B43,0)</x:f>
        <x:v>3.750684931506849</x:v>
      </x:c>
      <x:c r="E43" s="25" t="n">
        <x:f>IFERROR(D43/C43,0)</x:f>
        <x:v>0.9778571428571429</x:v>
      </x:c>
    </x:row>
    <x:row r="44">
      <x:c r="A44" s="20" t="str">
        <x:v>COST-V2/MAP-DIMENSIO-R86-1080</x:v>
      </x:c>
      <x:c r="B44" s="24" t="n">
        <x:f>'渠道成本'!P44</x:f>
        <x:v>0.21232876712328766</x:v>
      </x:c>
      <x:c r="C44" s="24" t="n">
        <x:v>4.2465753424657535</x:v>
      </x:c>
      <x:c r="D44" s="24" t="n">
        <x:f>IFERROR(C44-B44,0)</x:f>
        <x:v>4.034246575342466</x:v>
      </x:c>
      <x:c r="E44" s="25" t="n">
        <x:f>IFERROR(D44/C44,0)</x:f>
        <x:v>0.95</x:v>
      </x:c>
    </x:row>
    <x:row r="45">
      <x:c r="A45" s="20" t="str">
        <x:v>COST-V2/MAP-DIMENSIO-R87-480</x:v>
      </x:c>
      <x:c r="B45" s="24" t="n">
        <x:f>'渠道成本'!P45</x:f>
        <x:v>0.0273972602739726</x:v>
      </x:c>
      <x:c r="C45" s="24" t="n">
        <x:v>3.835616438356164</x:v>
      </x:c>
      <x:c r="D45" s="24" t="n">
        <x:f>IFERROR(C45-B45,0)</x:f>
        <x:v>3.8082191780821915</x:v>
      </x:c>
      <x:c r="E45" s="25" t="n">
        <x:f>IFERROR(D45/C45,0)</x:f>
        <x:v>0.9928571428571429</x:v>
      </x:c>
    </x:row>
    <x:row r="46">
      <x:c r="A46" s="20" t="str">
        <x:v>COST-V2/MAP-DIMENSIO-R88-720</x:v>
      </x:c>
      <x:c r="B46" s="24" t="n">
        <x:f>'渠道成本'!P46</x:f>
        <x:v>0.0547945205479452</x:v>
      </x:c>
      <x:c r="C46" s="24" t="n">
        <x:v>3.835616438356164</x:v>
      </x:c>
      <x:c r="D46" s="24" t="n">
        <x:f>IFERROR(C46-B46,0)</x:f>
        <x:v>3.780821917808219</x:v>
      </x:c>
      <x:c r="E46" s="25" t="n">
        <x:f>IFERROR(D46/C46,0)</x:f>
        <x:v>0.9857142857142858</x:v>
      </x:c>
    </x:row>
    <x:row r="47">
      <x:c r="A47" s="20" t="str">
        <x:v>COST-V2/MAP-DIMENSIO-R89-1080</x:v>
      </x:c>
      <x:c r="B47" s="24" t="n">
        <x:f>'渠道成本'!P47</x:f>
        <x:v>0.11643835616438356</x:v>
      </x:c>
      <x:c r="C47" s="24" t="n">
        <x:v>4.2465753424657535</x:v>
      </x:c>
      <x:c r="D47" s="24" t="n">
        <x:f>IFERROR(C47-B47,0)</x:f>
        <x:v>4.13013698630137</x:v>
      </x:c>
      <x:c r="E47" s="25" t="n">
        <x:f>IFERROR(D47/C47,0)</x:f>
        <x:v>0.9725806451612903</x:v>
      </x:c>
    </x:row>
    <x:row r="48">
      <x:c r="A48" s="20" t="str">
        <x:v>COST-V2/MAP-DIMENSIO-R90-4K</x:v>
      </x:c>
      <x:c r="B48" s="24" t="n">
        <x:f>'渠道成本'!P48</x:f>
        <x:v>0.273972602739726</x:v>
      </x:c>
      <x:c r="C48" s="24" t="n">
        <x:v>2.191780821917808</x:v>
      </x:c>
      <x:c r="D48" s="24" t="n">
        <x:f>IFERROR(C48-B48,0)</x:f>
        <x:v>1.917808219178082</x:v>
      </x:c>
      <x:c r="E48" s="25" t="n">
        <x:f>IFERROR(D48/C48,0)</x:f>
        <x:v>0.875</x:v>
      </x:c>
    </x:row>
    <x:row r="49">
      <x:c r="A49" s="20" t="str">
        <x:v>COST-V2/MAP-DIMENSIO-R91-480</x:v>
      </x:c>
      <x:c r="B49" s="24" t="n">
        <x:f>'渠道成本'!P49</x:f>
        <x:v>0.02054794520547945</x:v>
      </x:c>
      <x:c r="C49" s="24" t="n">
        <x:v>3.013698630136986</x:v>
      </x:c>
      <x:c r="D49" s="24" t="n">
        <x:f>IFERROR(C49-B49,0)</x:f>
        <x:v>2.9931506849315066</x:v>
      </x:c>
      <x:c r="E49" s="25" t="n">
        <x:f>IFERROR(D49/C49,0)</x:f>
        <x:v>0.9931818181818183</x:v>
      </x:c>
    </x:row>
    <x:row r="50">
      <x:c r="A50" s="20" t="str">
        <x:v>COST-V2/MAP-DIMENSIO-R92-720</x:v>
      </x:c>
      <x:c r="B50" s="24" t="n">
        <x:f>'渠道成本'!P50</x:f>
        <x:v>0.0410958904109589</x:v>
      </x:c>
      <x:c r="C50" s="24" t="n">
        <x:v>3.013698630136986</x:v>
      </x:c>
      <x:c r="D50" s="24" t="n">
        <x:f>IFERROR(C50-B50,0)</x:f>
        <x:v>2.972602739726027</x:v>
      </x:c>
      <x:c r="E50" s="25" t="n">
        <x:f>IFERROR(D50/C50,0)</x:f>
        <x:v>0.9863636363636363</x:v>
      </x:c>
    </x:row>
    <x:row r="51">
      <x:c r="A51" s="20" t="str">
        <x:v>COST-V2/MAP-LUCEN-R47-720</x:v>
      </x:c>
      <x:c r="B51" s="24" t="n">
        <x:f>'渠道成本'!P51</x:f>
        <x:v>0.136986301369863</x:v>
      </x:c>
      <x:c r="C51" s="24" t="n">
        <x:v>3.835616438356164</x:v>
      </x:c>
      <x:c r="D51" s="24" t="n">
        <x:f>IFERROR(C51-B51,0)</x:f>
        <x:v>3.698630136986301</x:v>
      </x:c>
      <x:c r="E51" s="25" t="n">
        <x:f>IFERROR(D51/C51,0)</x:f>
        <x:v>0.9642857142857143</x:v>
      </x:c>
    </x:row>
    <x:row r="52">
      <x:c r="A52" s="20" t="str">
        <x:v>COST-V2/MAP-LUCEN-R48-720</x:v>
      </x:c>
      <x:c r="B52" s="24" t="n">
        <x:f>'渠道成本'!P52</x:f>
        <x:v>0.136986301369863</x:v>
      </x:c>
      <x:c r="C52" s="24" t="n">
        <x:v>3.835616438356164</x:v>
      </x:c>
      <x:c r="D52" s="24" t="n">
        <x:f>IFERROR(C52-B52,0)</x:f>
        <x:v>3.698630136986301</x:v>
      </x:c>
      <x:c r="E52" s="25" t="n">
        <x:f>IFERROR(D52/C52,0)</x:f>
        <x:v>0.9642857142857143</x:v>
      </x:c>
    </x:row>
    <x:row r="53">
      <x:c r="A53" s="20" t="str">
        <x:v>COST-V2/MAP-LUCEN-R49-720</x:v>
      </x:c>
      <x:c r="B53" s="24" t="n">
        <x:f>'渠道成本'!P53</x:f>
        <x:v>0.136986301369863</x:v>
      </x:c>
      <x:c r="C53" s="24" t="n">
        <x:v>3.835616438356164</x:v>
      </x:c>
      <x:c r="D53" s="24" t="n">
        <x:f>IFERROR(C53-B53,0)</x:f>
        <x:v>3.698630136986301</x:v>
      </x:c>
      <x:c r="E53" s="25" t="n">
        <x:f>IFERROR(D53/C53,0)</x:f>
        <x:v>0.9642857142857143</x:v>
      </x:c>
    </x:row>
    <x:row r="54">
      <x:c r="A54" s="20" t="str">
        <x:v>COST-V2/MAP-LUCEN-R50-480</x:v>
      </x:c>
      <x:c r="B54" s="24" t="n">
        <x:f>'渠道成本'!P54</x:f>
        <x:v>0.0684931506849315</x:v>
      </x:c>
      <x:c r="C54" s="24" t="n">
        <x:v>3.835616438356164</x:v>
      </x:c>
      <x:c r="D54" s="24" t="n">
        <x:f>IFERROR(C54-B54,0)</x:f>
        <x:v>3.767123287671233</x:v>
      </x:c>
      <x:c r="E54" s="25" t="n">
        <x:f>IFERROR(D54/C54,0)</x:f>
        <x:v>0.9821428571428572</x:v>
      </x:c>
    </x:row>
    <x:row r="55">
      <x:c r="A55" s="20" t="str">
        <x:v>COST-V2/MAP-LUCEN-R51-480</x:v>
      </x:c>
      <x:c r="B55" s="24" t="n">
        <x:f>'渠道成本'!P55</x:f>
        <x:v>0.0684931506849315</x:v>
      </x:c>
      <x:c r="C55" s="24" t="n">
        <x:v>3.835616438356164</x:v>
      </x:c>
      <x:c r="D55" s="24" t="n">
        <x:f>IFERROR(C55-B55,0)</x:f>
        <x:v>3.767123287671233</x:v>
      </x:c>
      <x:c r="E55" s="25" t="n">
        <x:f>IFERROR(D55/C55,0)</x:f>
        <x:v>0.9821428571428572</x:v>
      </x:c>
    </x:row>
    <x:row r="56">
      <x:c r="A56" s="20" t="str">
        <x:v>COST-V2/MAP-LUCEN-R52-480</x:v>
      </x:c>
      <x:c r="B56" s="24" t="n">
        <x:f>'渠道成本'!P56</x:f>
        <x:v>0.0684931506849315</x:v>
      </x:c>
      <x:c r="C56" s="24" t="n">
        <x:v>3.835616438356164</x:v>
      </x:c>
      <x:c r="D56" s="24" t="n">
        <x:f>IFERROR(C56-B56,0)</x:f>
        <x:v>3.767123287671233</x:v>
      </x:c>
      <x:c r="E56" s="25" t="n">
        <x:f>IFERROR(D56/C56,0)</x:f>
        <x:v>0.9821428571428572</x:v>
      </x:c>
    </x:row>
    <x:row r="57">
      <x:c r="A57" s="20" t="str">
        <x:v>COST-V2/MAP-LUCEN-R53-1080</x:v>
      </x:c>
      <x:c r="B57" s="24" t="n">
        <x:f>'渠道成本'!P57</x:f>
        <x:v>0.3424657534246575</x:v>
      </x:c>
      <x:c r="C57" s="24" t="n">
        <x:v>4.2465753424657535</x:v>
      </x:c>
      <x:c r="D57" s="24" t="n">
        <x:f>IFERROR(C57-B57,0)</x:f>
        <x:v>3.904109589041096</x:v>
      </x:c>
      <x:c r="E57" s="25" t="n">
        <x:f>IFERROR(D57/C57,0)</x:f>
        <x:v>0.9193548387096774</x:v>
      </x:c>
    </x:row>
    <x:row r="58">
      <x:c r="A58" s="20" t="str">
        <x:v>COST-V2/MAP-LUCEN-R54-1080</x:v>
      </x:c>
      <x:c r="B58" s="24" t="n">
        <x:f>'渠道成本'!P58</x:f>
        <x:v>0.3424657534246575</x:v>
      </x:c>
      <x:c r="C58" s="24" t="n">
        <x:v>4.2465753424657535</x:v>
      </x:c>
      <x:c r="D58" s="24" t="n">
        <x:f>IFERROR(C58-B58,0)</x:f>
        <x:v>3.904109589041096</x:v>
      </x:c>
      <x:c r="E58" s="25" t="n">
        <x:f>IFERROR(D58/C58,0)</x:f>
        <x:v>0.9193548387096774</x:v>
      </x:c>
    </x:row>
    <x:row r="59">
      <x:c r="A59" s="20" t="str">
        <x:v>COST-V2/MAP-LUCEN-R55-1080</x:v>
      </x:c>
      <x:c r="B59" s="24" t="n">
        <x:f>'渠道成本'!P59</x:f>
        <x:v>0.3424657534246575</x:v>
      </x:c>
      <x:c r="C59" s="24" t="n">
        <x:v>4.2465753424657535</x:v>
      </x:c>
      <x:c r="D59" s="24" t="n">
        <x:f>IFERROR(C59-B59,0)</x:f>
        <x:v>3.904109589041096</x:v>
      </x:c>
      <x:c r="E59" s="25" t="n">
        <x:f>IFERROR(D59/C59,0)</x:f>
        <x:v>0.9193548387096774</x:v>
      </x:c>
    </x:row>
    <x:row r="60">
      <x:c r="A60" s="20" t="str">
        <x:v>COST-V2/MAP-LUCEN-R56-480</x:v>
      </x:c>
      <x:c r="B60" s="24" t="n">
        <x:f>'渠道成本'!P60</x:f>
        <x:v>6.301369863013698</x:v>
      </x:c>
      <x:c r="C60" s="24" t="n">
        <x:v>3.835616438356164</x:v>
      </x:c>
      <x:c r="D60" s="24" t="n">
        <x:f>IFERROR(C60-B60,0)</x:f>
        <x:v>-2.465753424657534</x:v>
      </x:c>
      <x:c r="E60" s="25" t="n">
        <x:f>IFERROR(D60/C60,0)</x:f>
        <x:v>-0.6428571428571428</x:v>
      </x:c>
    </x:row>
    <x:row r="61">
      <x:c r="A61" s="20" t="str">
        <x:v>COST-V2/MAP-LUCEN-R57-720</x:v>
      </x:c>
      <x:c r="B61" s="24" t="n">
        <x:f>'渠道成本'!P61</x:f>
        <x:v>6.301369863013698</x:v>
      </x:c>
      <x:c r="C61" s="24" t="n">
        <x:v>3.835616438356164</x:v>
      </x:c>
      <x:c r="D61" s="24" t="n">
        <x:f>IFERROR(C61-B61,0)</x:f>
        <x:v>-2.465753424657534</x:v>
      </x:c>
      <x:c r="E61" s="25" t="n">
        <x:f>IFERROR(D61/C61,0)</x:f>
        <x:v>-0.6428571428571428</x:v>
      </x:c>
    </x:row>
    <x:row r="62">
      <x:c r="A62" s="20" t="str">
        <x:v>COST-V2/MAP-LUCEN-R58-1080</x:v>
      </x:c>
      <x:c r="B62" s="24" t="n">
        <x:f>'渠道成本'!P62</x:f>
        <x:v>6.986301369863013</x:v>
      </x:c>
      <x:c r="C62" s="24" t="n">
        <x:v>4.2465753424657535</x:v>
      </x:c>
      <x:c r="D62" s="24" t="n">
        <x:f>IFERROR(C62-B62,0)</x:f>
        <x:v>-2.7397260273972597</x:v>
      </x:c>
      <x:c r="E62" s="25" t="n">
        <x:f>IFERROR(D62/C62,0)</x:f>
        <x:v>-0.6451612903225805</x:v>
      </x:c>
    </x:row>
    <x:row r="63">
      <x:c r="A63" s="20" t="str">
        <x:v>COST-V2/MAP-MEGABYAI-R102-480</x:v>
      </x:c>
      <x:c r="B63" s="24" t="n">
        <x:f>'渠道成本'!P63</x:f>
        <x:v>0.410958904109589</x:v>
      </x:c>
      <x:c r="C63" s="24" t="n">
        <x:v>3.013698630136986</x:v>
      </x:c>
      <x:c r="D63" s="24" t="n">
        <x:f>IFERROR(C63-B63,0)</x:f>
        <x:v>2.602739726027397</x:v>
      </x:c>
      <x:c r="E63" s="25" t="n">
        <x:f>IFERROR(D63/C63,0)</x:f>
        <x:v>0.8636363636363636</x:v>
      </x:c>
    </x:row>
    <x:row r="64">
      <x:c r="A64" s="20" t="str">
        <x:v>COST-V2/MAP-MEGABYAI-R103-720</x:v>
      </x:c>
      <x:c r="B64" s="24" t="n">
        <x:f>'渠道成本'!P64</x:f>
        <x:v>0.547945205479452</x:v>
      </x:c>
      <x:c r="C64" s="24" t="n">
        <x:v>3.013698630136986</x:v>
      </x:c>
      <x:c r="D64" s="24" t="n">
        <x:f>IFERROR(C64-B64,0)</x:f>
        <x:v>2.465753424657534</x:v>
      </x:c>
      <x:c r="E64" s="25" t="n">
        <x:f>IFERROR(D64/C64,0)</x:f>
        <x:v>0.8181818181818181</x:v>
      </x:c>
    </x:row>
    <x:row r="65">
      <x:c r="A65" s="20" t="str">
        <x:v>COST-V2/MAP-MEGABYAI-R104-480</x:v>
      </x:c>
      <x:c r="B65" s="24" t="n">
        <x:f>'渠道成本'!P65</x:f>
        <x:v>0.1643835616438356</x:v>
      </x:c>
      <x:c r="C65" s="24" t="n">
        <x:v>3.013698630136986</x:v>
      </x:c>
      <x:c r="D65" s="24" t="n">
        <x:f>IFERROR(C65-B65,0)</x:f>
        <x:v>2.8493150684931505</x:v>
      </x:c>
      <x:c r="E65" s="25" t="n">
        <x:f>IFERROR(D65/C65,0)</x:f>
        <x:v>0.9454545454545455</x:v>
      </x:c>
    </x:row>
    <x:row r="66">
      <x:c r="A66" s="20" t="str">
        <x:v>COST-V2/MAP-MEGABYAI-R105-720</x:v>
      </x:c>
      <x:c r="B66" s="24" t="n">
        <x:f>'渠道成本'!P66</x:f>
        <x:v>0.2191780821917808</x:v>
      </x:c>
      <x:c r="C66" s="24" t="n">
        <x:v>3.013698630136986</x:v>
      </x:c>
      <x:c r="D66" s="24" t="n">
        <x:f>IFERROR(C66-B66,0)</x:f>
        <x:v>2.794520547945205</x:v>
      </x:c>
      <x:c r="E66" s="25" t="n">
        <x:f>IFERROR(D66/C66,0)</x:f>
        <x:v>0.9272727272727272</x:v>
      </x:c>
    </x:row>
    <x:row r="67">
      <x:c r="A67" s="20" t="str">
        <x:v>COST-V2/MAP-PAIPU-R14-720</x:v>
      </x:c>
      <x:c r="B67" s="24" t="n">
        <x:f>'渠道成本'!P67</x:f>
        <x:v>0.3150684931506849</x:v>
      </x:c>
      <x:c r="C67" s="24" t="n">
        <x:v>3.835616438356164</x:v>
      </x:c>
      <x:c r="D67" s="24" t="n">
        <x:f>IFERROR(C67-B67,0)</x:f>
        <x:v>3.5205479452054793</x:v>
      </x:c>
      <x:c r="E67" s="25" t="n">
        <x:f>IFERROR(D67/C67,0)</x:f>
        <x:v>0.9178571428571429</x:v>
      </x:c>
    </x:row>
    <x:row r="68">
      <x:c r="A68" s="20" t="str">
        <x:v>COST-V2/MAP-PAIPU-R15-720</x:v>
      </x:c>
      <x:c r="B68" s="24" t="n">
        <x:f>'渠道成本'!P68</x:f>
        <x:v>0.273972602739726</x:v>
      </x:c>
      <x:c r="C68" s="24" t="n">
        <x:v>3.013698630136986</x:v>
      </x:c>
      <x:c r="D68" s="24" t="n">
        <x:f>IFERROR(C68-B68,0)</x:f>
        <x:v>2.7397260273972597</x:v>
      </x:c>
      <x:c r="E68" s="25" t="n">
        <x:f>IFERROR(D68/C68,0)</x:f>
        <x:v>0.9090909090909091</x:v>
      </x:c>
    </x:row>
    <x:row r="69">
      <x:c r="A69" s="20" t="str">
        <x:v>COST-V2/MAP-PAIPU-R16-720</x:v>
      </x:c>
      <x:c r="B69" s="24" t="n">
        <x:f>'渠道成本'!P69</x:f>
        <x:v>0.5890410958904109</x:v>
      </x:c>
      <x:c r="C69" s="24" t="n">
        <x:v>3.013698630136986</x:v>
      </x:c>
      <x:c r="D69" s="24" t="n">
        <x:f>IFERROR(C69-B69,0)</x:f>
        <x:v>2.424657534246575</x:v>
      </x:c>
      <x:c r="E69" s="25" t="n">
        <x:f>IFERROR(D69/C69,0)</x:f>
        <x:v>0.8045454545454545</x:v>
      </x:c>
    </x:row>
    <x:row r="70">
      <x:c r="A70" s="20" t="str">
        <x:v>COST-V2/MAP-PAIPU-R17-720</x:v>
      </x:c>
      <x:c r="B70" s="24" t="n">
        <x:f>'渠道成本'!P70</x:f>
        <x:v>0.7260273972602739</x:v>
      </x:c>
      <x:c r="C70" s="24" t="n">
        <x:v>3.835616438356164</x:v>
      </x:c>
      <x:c r="D70" s="24" t="n">
        <x:f>IFERROR(C70-B70,0)</x:f>
        <x:v>3.1095890410958904</x:v>
      </x:c>
      <x:c r="E70" s="25" t="n">
        <x:f>IFERROR(D70/C70,0)</x:f>
        <x:v>0.8107142857142857</x:v>
      </x:c>
    </x:row>
    <x:row r="71">
      <x:c r="A71" s="20" t="str">
        <x:v>COST-V2/MAP-PAIPU-R18-720</x:v>
      </x:c>
      <x:c r="B71" s="24" t="n">
        <x:f>'渠道成本'!P71</x:f>
        <x:v>0.821917808219178</x:v>
      </x:c>
      <x:c r="C71" s="24" t="n">
        <x:v>3.835616438356164</x:v>
      </x:c>
      <x:c r="D71" s="24" t="n">
        <x:f>IFERROR(C71-B71,0)</x:f>
        <x:v>3.013698630136986</x:v>
      </x:c>
      <x:c r="E71" s="25" t="n">
        <x:f>IFERROR(D71/C71,0)</x:f>
        <x:v>0.7857142857142857</x:v>
      </x:c>
    </x:row>
    <x:row r="72">
      <x:c r="A72" s="20" t="str">
        <x:v>COST-V2/MAP-PAIPU-R19-720</x:v>
      </x:c>
      <x:c r="B72" s="24" t="n">
        <x:f>'渠道成本'!P72</x:f>
        <x:v>0.03424657534246575</x:v>
      </x:c>
      <x:c r="C72" s="24" t="n">
        <x:v>3.835616438356164</x:v>
      </x:c>
      <x:c r="D72" s="24" t="n">
        <x:f>IFERROR(C72-B72,0)</x:f>
        <x:v>3.8013698630136985</x:v>
      </x:c>
      <x:c r="E72" s="25" t="n">
        <x:f>IFERROR(D72/C72,0)</x:f>
        <x:v>0.9910714285714286</x:v>
      </x:c>
    </x:row>
    <x:row r="73">
      <x:c r="A73" s="20" t="str">
        <x:v>COST-V2/MAP-PAIPU-R20-720</x:v>
      </x:c>
      <x:c r="B73" s="24" t="n">
        <x:f>'渠道成本'!P73</x:f>
        <x:v>0.821917808219178</x:v>
      </x:c>
      <x:c r="C73" s="24" t="n">
        <x:v>3.835616438356164</x:v>
      </x:c>
      <x:c r="D73" s="24" t="n">
        <x:f>IFERROR(C73-B73,0)</x:f>
        <x:v>3.013698630136986</x:v>
      </x:c>
      <x:c r="E73" s="25" t="n">
        <x:f>IFERROR(D73/C73,0)</x:f>
        <x:v>0.7857142857142857</x:v>
      </x:c>
    </x:row>
    <x:row r="74">
      <x:c r="A74" s="20" t="str">
        <x:v>COST-V2/MAP-PAIPU-R21-1080</x:v>
      </x:c>
      <x:c r="B74" s="24" t="n">
        <x:f>'渠道成本'!P74</x:f>
        <x:v>0.5205479452054794</x:v>
      </x:c>
      <x:c r="C74" s="24" t="n">
        <x:v>0</x:v>
      </x:c>
      <x:c r="D74" s="24" t="n">
        <x:f>IFERROR(C74-B74,0)</x:f>
        <x:v>-0.5205479452054794</x:v>
      </x:c>
      <x:c r="E74" s="25" t="n">
        <x:f>IFERROR(D74/C74,0)</x:f>
        <x:v>0</x:v>
      </x:c>
    </x:row>
    <x:row r="75">
      <x:c r="A75" s="20" t="str">
        <x:v>COST-V2/MAP-PAIPU-R22-1080</x:v>
      </x:c>
      <x:c r="B75" s="24" t="n">
        <x:f>'渠道成本'!P75</x:f>
        <x:v>0.6575342465753424</x:v>
      </x:c>
      <x:c r="C75" s="24" t="n">
        <x:v>4.2465753424657535</x:v>
      </x:c>
      <x:c r="D75" s="24" t="n">
        <x:f>IFERROR(C75-B75,0)</x:f>
        <x:v>3.589041095890411</x:v>
      </x:c>
      <x:c r="E75" s="25" t="n">
        <x:f>IFERROR(D75/C75,0)</x:f>
        <x:v>0.8451612903225807</x:v>
      </x:c>
    </x:row>
    <x:row r="76">
      <x:c r="A76" s="20" t="str">
        <x:v>COST-V2/MAP-PAIPU-R23-480</x:v>
      </x:c>
      <x:c r="B76" s="24" t="n">
        <x:f>'渠道成本'!P76</x:f>
        <x:v>0.6575342465753424</x:v>
      </x:c>
      <x:c r="C76" s="24" t="n">
        <x:v>3.835616438356164</x:v>
      </x:c>
      <x:c r="D76" s="24" t="n">
        <x:f>IFERROR(C76-B76,0)</x:f>
        <x:v>3.1780821917808217</x:v>
      </x:c>
      <x:c r="E76" s="25" t="n">
        <x:f>IFERROR(D76/C76,0)</x:f>
        <x:v>0.8285714285714286</x:v>
      </x:c>
    </x:row>
    <x:row r="77">
      <x:c r="A77" s="20" t="str">
        <x:v>COST-V2/MAP-PAIPU-R24-720</x:v>
      </x:c>
      <x:c r="B77" s="24" t="n">
        <x:f>'渠道成本'!P77</x:f>
        <x:v>0.7945205479452054</x:v>
      </x:c>
      <x:c r="C77" s="24" t="n">
        <x:v>3.835616438356164</x:v>
      </x:c>
      <x:c r="D77" s="24" t="n">
        <x:f>IFERROR(C77-B77,0)</x:f>
        <x:v>3.0410958904109586</x:v>
      </x:c>
      <x:c r="E77" s="25" t="n">
        <x:f>IFERROR(D77/C77,0)</x:f>
        <x:v>0.7928571428571428</x:v>
      </x:c>
    </x:row>
    <x:row r="78">
      <x:c r="A78" s="20" t="str">
        <x:v>COST-V2/MAP-PAIPU-R25-1080</x:v>
      </x:c>
      <x:c r="B78" s="24" t="n">
        <x:f>'渠道成本'!P78</x:f>
        <x:v>0.0821917808219178</x:v>
      </x:c>
      <x:c r="C78" s="24" t="n">
        <x:v>4.2465753424657535</x:v>
      </x:c>
      <x:c r="D78" s="24" t="n">
        <x:f>IFERROR(C78-B78,0)</x:f>
        <x:v>4.164383561643835</x:v>
      </x:c>
      <x:c r="E78" s="25" t="n">
        <x:f>IFERROR(D78/C78,0)</x:f>
        <x:v>0.9806451612903225</x:v>
      </x:c>
    </x:row>
    <x:row r="79">
      <x:c r="A79" s="20" t="str">
        <x:v>COST-V2/MAP-PAIPU-R26-4K</x:v>
      </x:c>
      <x:c r="B79" s="24" t="n">
        <x:f>'渠道成本'!P79</x:f>
        <x:v>0.23424657534246573</x:v>
      </x:c>
      <x:c r="C79" s="24" t="n">
        <x:v>2.191780821917808</x:v>
      </x:c>
      <x:c r="D79" s="24" t="n">
        <x:f>IFERROR(C79-B79,0)</x:f>
        <x:v>1.9575342465753423</x:v>
      </x:c>
      <x:c r="E79" s="25" t="n">
        <x:f>IFERROR(D79/C79,0)</x:f>
        <x:v>0.893125</x:v>
      </x:c>
    </x:row>
    <x:row r="80">
      <x:c r="A80" s="20" t="str">
        <x:v>COST-V2/MAP-PAIPU-R27-480</x:v>
      </x:c>
      <x:c r="B80" s="24" t="n">
        <x:f>'渠道成本'!P80</x:f>
        <x:v>0.4520547945205479</x:v>
      </x:c>
      <x:c r="C80" s="24" t="n">
        <x:v>3.013698630136986</x:v>
      </x:c>
      <x:c r="D80" s="24" t="n">
        <x:f>IFERROR(C80-B80,0)</x:f>
        <x:v>2.561643835616438</x:v>
      </x:c>
      <x:c r="E80" s="25" t="n">
        <x:f>IFERROR(D80/C80,0)</x:f>
        <x:v>0.85</x:v>
      </x:c>
    </x:row>
    <x:row r="81">
      <x:c r="A81" s="20" t="str">
        <x:v>COST-V2/MAP-PAIPU-R28-720</x:v>
      </x:c>
      <x:c r="B81" s="24" t="n">
        <x:f>'渠道成本'!P81</x:f>
        <x:v>0.4520547945205479</x:v>
      </x:c>
      <x:c r="C81" s="24" t="n">
        <x:v>3.013698630136986</x:v>
      </x:c>
      <x:c r="D81" s="24" t="n">
        <x:f>IFERROR(C81-B81,0)</x:f>
        <x:v>2.561643835616438</x:v>
      </x:c>
      <x:c r="E81" s="25" t="n">
        <x:f>IFERROR(D81/C81,0)</x:f>
        <x:v>0.85</x:v>
      </x:c>
    </x:row>
    <x:row r="82">
      <x:c r="A82" s="20" t="str">
        <x:v>COST-V2/MAP-PAIPU-R29-480</x:v>
      </x:c>
      <x:c r="B82" s="24" t="n">
        <x:f>'渠道成本'!P82</x:f>
        <x:v>0.3150684931506849</x:v>
      </x:c>
      <x:c r="C82" s="24" t="n">
        <x:v>1.917808219178082</x:v>
      </x:c>
      <x:c r="D82" s="24" t="n">
        <x:f>IFERROR(C82-B82,0)</x:f>
        <x:v>1.6027397260273972</x:v>
      </x:c>
      <x:c r="E82" s="25" t="n">
        <x:f>IFERROR(D82/C82,0)</x:f>
        <x:v>0.8357142857142857</x:v>
      </x:c>
    </x:row>
    <x:row r="83">
      <x:c r="A83" s="20" t="str">
        <x:v>COST-V2/MAP-PAIPU-R30-720</x:v>
      </x:c>
      <x:c r="B83" s="24" t="n">
        <x:f>'渠道成本'!P83</x:f>
        <x:v>0.3150684931506849</x:v>
      </x:c>
      <x:c r="C83" s="24" t="n">
        <x:v>1.917808219178082</x:v>
      </x:c>
      <x:c r="D83" s="24" t="n">
        <x:f>IFERROR(C83-B83,0)</x:f>
        <x:v>1.6027397260273972</x:v>
      </x:c>
      <x:c r="E83" s="25" t="n">
        <x:f>IFERROR(D83/C83,0)</x:f>
        <x:v>0.8357142857142857</x:v>
      </x:c>
    </x:row>
    <x:row r="84">
      <x:c r="A84" s="20" t="str">
        <x:v>COST-V2/MAP-PAIPU-R31-480</x:v>
      </x:c>
      <x:c r="B84" s="24" t="n">
        <x:f>'渠道成本'!P84</x:f>
        <x:v>0.036986301369863014</x:v>
      </x:c>
      <x:c r="C84" s="24" t="n">
        <x:v>3.835616438356164</x:v>
      </x:c>
      <x:c r="D84" s="24" t="n">
        <x:f>IFERROR(C84-B84,0)</x:f>
        <x:v>3.798630136986301</x:v>
      </x:c>
      <x:c r="E84" s="25" t="n">
        <x:f>IFERROR(D84/C84,0)</x:f>
        <x:v>0.9903571428571428</x:v>
      </x:c>
    </x:row>
    <x:row r="85">
      <x:c r="A85" s="20" t="str">
        <x:v>COST-V2/MAP-PAIPU-R32-720</x:v>
      </x:c>
      <x:c r="B85" s="24" t="n">
        <x:f>'渠道成本'!P85</x:f>
        <x:v>0.050684931506849315</x:v>
      </x:c>
      <x:c r="C85" s="24" t="n">
        <x:v>3.835616438356164</x:v>
      </x:c>
      <x:c r="D85" s="24" t="n">
        <x:f>IFERROR(C85-B85,0)</x:f>
        <x:v>3.784931506849315</x:v>
      </x:c>
      <x:c r="E85" s="25" t="n">
        <x:f>IFERROR(D85/C85,0)</x:f>
        <x:v>0.9867857142857143</x:v>
      </x:c>
    </x:row>
    <x:row r="86">
      <x:c r="A86" s="20" t="str">
        <x:v>COST-V2/MAP-PAIPU-R33-480</x:v>
      </x:c>
      <x:c r="B86" s="24" t="n">
        <x:f>'渠道成本'!P86</x:f>
        <x:v>0.023287671232876714</x:v>
      </x:c>
      <x:c r="C86" s="24" t="n">
        <x:v>3.013698630136986</x:v>
      </x:c>
      <x:c r="D86" s="24" t="n">
        <x:f>IFERROR(C86-B86,0)</x:f>
        <x:v>2.9904109589041092</x:v>
      </x:c>
      <x:c r="E86" s="25" t="n">
        <x:f>IFERROR(D86/C86,0)</x:f>
        <x:v>0.9922727272727273</x:v>
      </x:c>
    </x:row>
    <x:row r="87">
      <x:c r="A87" s="20" t="str">
        <x:v>COST-V2/MAP-PAIPU-R34-720</x:v>
      </x:c>
      <x:c r="B87" s="24" t="n">
        <x:f>'渠道成本'!P87</x:f>
        <x:v>0.036986301369863014</x:v>
      </x:c>
      <x:c r="C87" s="24" t="n">
        <x:v>3.013698630136986</x:v>
      </x:c>
      <x:c r="D87" s="24" t="n">
        <x:f>IFERROR(C87-B87,0)</x:f>
        <x:v>2.976712328767123</x:v>
      </x:c>
      <x:c r="E87" s="25" t="n">
        <x:f>IFERROR(D87/C87,0)</x:f>
        <x:v>0.9877272727272727</x:v>
      </x:c>
    </x:row>
    <x:row r="88">
      <x:c r="A88" s="20" t="str">
        <x:v>COST-V2/MAP-PAIPU-R35-480</x:v>
      </x:c>
      <x:c r="B88" s="24" t="n">
        <x:f>'渠道成本'!P88</x:f>
        <x:v>0.019178082191780823</x:v>
      </x:c>
      <x:c r="C88" s="24" t="n">
        <x:v>1.917808219178082</x:v>
      </x:c>
      <x:c r="D88" s="24" t="n">
        <x:f>IFERROR(C88-B88,0)</x:f>
        <x:v>1.8986301369863012</x:v>
      </x:c>
      <x:c r="E88" s="25" t="n">
        <x:f>IFERROR(D88/C88,0)</x:f>
        <x:v>0.99</x:v>
      </x:c>
    </x:row>
    <x:row r="89">
      <x:c r="A89" s="20" t="str">
        <x:v>COST-V2/MAP-PAIPU-R36-720</x:v>
      </x:c>
      <x:c r="B89" s="24" t="n">
        <x:f>'渠道成本'!P89</x:f>
        <x:v>0.0273972602739726</x:v>
      </x:c>
      <x:c r="C89" s="24" t="n">
        <x:v>1.917808219178082</x:v>
      </x:c>
      <x:c r="D89" s="24" t="n">
        <x:f>IFERROR(C89-B89,0)</x:f>
        <x:v>1.8904109589041096</x:v>
      </x:c>
      <x:c r="E89" s="25" t="n">
        <x:f>IFERROR(D89/C89,0)</x:f>
        <x:v>0.9857142857142858</x:v>
      </x:c>
    </x:row>
    <x:row r="90">
      <x:c r="A90" s="20" t="str">
        <x:v>COST-V2/MAP-PAIPU-R37-720</x:v>
      </x:c>
      <x:c r="B90" s="24" t="n">
        <x:f>'渠道成本'!P90</x:f>
        <x:v>0.7534246575342465</x:v>
      </x:c>
      <x:c r="C90" s="24" t="n">
        <x:v>3.835616438356164</x:v>
      </x:c>
      <x:c r="D90" s="24" t="n">
        <x:f>IFERROR(C90-B90,0)</x:f>
        <x:v>3.0821917808219177</x:v>
      </x:c>
      <x:c r="E90" s="25" t="n">
        <x:f>IFERROR(D90/C90,0)</x:f>
        <x:v>0.8035714285714286</x:v>
      </x:c>
    </x:row>
    <x:row r="91">
      <x:c r="A91" s="20" t="str">
        <x:v>COST-V2/MAP-PAIPU-R38-720</x:v>
      </x:c>
      <x:c r="B91" s="24" t="n">
        <x:f>'渠道成本'!P91</x:f>
        <x:v>0.4794520547945205</x:v>
      </x:c>
      <x:c r="C91" s="24" t="n">
        <x:v>3.013698630136986</x:v>
      </x:c>
      <x:c r="D91" s="24" t="n">
        <x:f>IFERROR(C91-B91,0)</x:f>
        <x:v>2.5342465753424652</x:v>
      </x:c>
      <x:c r="E91" s="25" t="n">
        <x:f>IFERROR(D91/C91,0)</x:f>
        <x:v>0.8409090909090908</x:v>
      </x:c>
    </x:row>
    <x:row r="92">
      <x:c r="A92" s="20" t="str">
        <x:v>COST-V2/MAP-PAIPU-R39-720</x:v>
      </x:c>
      <x:c r="B92" s="24" t="n">
        <x:f>'渠道成本'!P92</x:f>
        <x:v>0.3835616438356164</x:v>
      </x:c>
      <x:c r="C92" s="24" t="n">
        <x:v>1.917808219178082</x:v>
      </x:c>
      <x:c r="D92" s="24" t="n">
        <x:f>IFERROR(C92-B92,0)</x:f>
        <x:v>1.5342465753424657</x:v>
      </x:c>
      <x:c r="E92" s="25" t="n">
        <x:f>IFERROR(D92/C92,0)</x:f>
        <x:v>0.8</x:v>
      </x:c>
    </x:row>
    <x:row r="93">
      <x:c r="A93" s="20" t="str">
        <x:v>COST-V2/MAP-PAIPU-R40-480</x:v>
      </x:c>
      <x:c r="B93" s="24" t="n">
        <x:f>'渠道成本'!P93</x:f>
        <x:v>0.4794520547945205</x:v>
      </x:c>
      <x:c r="C93" s="24" t="n">
        <x:v>3.835616438356164</x:v>
      </x:c>
      <x:c r="D93" s="24" t="n">
        <x:f>IFERROR(C93-B93,0)</x:f>
        <x:v>3.3561643835616435</x:v>
      </x:c>
      <x:c r="E93" s="25" t="n">
        <x:f>IFERROR(D93/C93,0)</x:f>
        <x:v>0.875</x:v>
      </x:c>
    </x:row>
    <x:row r="94">
      <x:c r="A94" s="20" t="str">
        <x:v>COST-V2/MAP-PAIPU-R41-720</x:v>
      </x:c>
      <x:c r="B94" s="24" t="n">
        <x:f>'渠道成本'!P94</x:f>
        <x:v>0.6164383561643836</x:v>
      </x:c>
      <x:c r="C94" s="24" t="n">
        <x:v>3.835616438356164</x:v>
      </x:c>
      <x:c r="D94" s="24" t="n">
        <x:f>IFERROR(C94-B94,0)</x:f>
        <x:v>3.219178082191781</x:v>
      </x:c>
      <x:c r="E94" s="25" t="n">
        <x:f>IFERROR(D94/C94,0)</x:f>
        <x:v>0.8392857142857143</x:v>
      </x:c>
    </x:row>
    <x:row r="95">
      <x:c r="A95" s="20" t="str">
        <x:v>COST-V2/MAP-PAIPU-R42-1080</x:v>
      </x:c>
      <x:c r="B95" s="24" t="n">
        <x:f>'渠道成本'!P95</x:f>
        <x:v>0.07123287671232877</x:v>
      </x:c>
      <x:c r="C95" s="24" t="n">
        <x:v>4.2465753424657535</x:v>
      </x:c>
      <x:c r="D95" s="24" t="n">
        <x:f>IFERROR(C95-B95,0)</x:f>
        <x:v>4.175342465753425</x:v>
      </x:c>
      <x:c r="E95" s="25" t="n">
        <x:f>IFERROR(D95/C95,0)</x:f>
        <x:v>0.983225806451613</x:v>
      </x:c>
    </x:row>
    <x:row r="96">
      <x:c r="A96" s="20" t="str">
        <x:v>COST-V2/MAP-PAIPU-R43-480</x:v>
      </x:c>
      <x:c r="B96" s="24" t="n">
        <x:f>'渠道成本'!P96</x:f>
        <x:v>0.3150684931506849</x:v>
      </x:c>
      <x:c r="C96" s="24" t="n">
        <x:v>3.013698630136986</x:v>
      </x:c>
      <x:c r="D96" s="24" t="n">
        <x:f>IFERROR(C96-B96,0)</x:f>
        <x:v>2.698630136986301</x:v>
      </x:c>
      <x:c r="E96" s="25" t="n">
        <x:f>IFERROR(D96/C96,0)</x:f>
        <x:v>0.8954545454545455</x:v>
      </x:c>
    </x:row>
    <x:row r="97">
      <x:c r="A97" s="20" t="str">
        <x:v>COST-V2/MAP-PAIPU-R44-720</x:v>
      </x:c>
      <x:c r="B97" s="24" t="n">
        <x:f>'渠道成本'!P97</x:f>
        <x:v>0.4520547945205479</x:v>
      </x:c>
      <x:c r="C97" s="24" t="n">
        <x:v>3.013698630136986</x:v>
      </x:c>
      <x:c r="D97" s="24" t="n">
        <x:f>IFERROR(C97-B97,0)</x:f>
        <x:v>2.561643835616438</x:v>
      </x:c>
      <x:c r="E97" s="25" t="n">
        <x:f>IFERROR(D97/C97,0)</x:f>
        <x:v>0.85</x:v>
      </x:c>
    </x:row>
    <x:row r="98">
      <x:c r="A98" s="20" t="str">
        <x:v>COST-V2/MAP-PAIPU-R45-720</x:v>
      </x:c>
      <x:c r="B98" s="24" t="n">
        <x:f>'渠道成本'!P98</x:f>
        <x:v>0.547945205479452</x:v>
      </x:c>
      <x:c r="C98" s="24" t="n">
        <x:v>3.835616438356164</x:v>
      </x:c>
      <x:c r="D98" s="24" t="n">
        <x:f>IFERROR(C98-B98,0)</x:f>
        <x:v>3.287671232876712</x:v>
      </x:c>
      <x:c r="E98" s="25" t="n">
        <x:f>IFERROR(D98/C98,0)</x:f>
        <x:v>0.8571428571428571</x:v>
      </x:c>
    </x:row>
    <x:row r="99">
      <x:c r="A99" s="20" t="str">
        <x:v>COST-V2/MAP-SECURE-R66-720</x:v>
      </x:c>
      <x:c r="B99" s="24" t="n">
        <x:f>'渠道成本'!P99</x:f>
        <x:v>0.09171232876712329</x:v>
      </x:c>
      <x:c r="C99" s="24" t="n">
        <x:v>3.835616438356164</x:v>
      </x:c>
      <x:c r="D99" s="24" t="n">
        <x:f>IFERROR(C99-B99,0)</x:f>
        <x:v>3.743904109589041</x:v>
      </x:c>
      <x:c r="E99" s="25" t="n">
        <x:f>IFERROR(D99/C99,0)</x:f>
        <x:v>0.9760892857142858</x:v>
      </x:c>
    </x:row>
    <x:row r="100">
      <x:c r="A100" s="20" t="str">
        <x:v>COST-V2/MAP-SECURE-R67-720</x:v>
      </x:c>
      <x:c r="B100" s="24" t="n">
        <x:f>'渠道成本'!P100</x:f>
        <x:v>0.9594520547945206</x:v>
      </x:c>
      <x:c r="C100" s="24" t="n">
        <x:v>3.835616438356164</x:v>
      </x:c>
      <x:c r="D100" s="24" t="n">
        <x:f>IFERROR(C100-B100,0)</x:f>
        <x:v>2.8761643835616435</x:v>
      </x:c>
      <x:c r="E100" s="25" t="n">
        <x:f>IFERROR(D100/C100,0)</x:f>
        <x:v>0.7498571428571428</x:v>
      </x:c>
    </x:row>
    <x:row r="101">
      <x:c r="A101" s="20" t="str">
        <x:v>COST-V2/MAP-SECURE-R68-1080</x:v>
      </x:c>
      <x:c r="B101" s="24" t="n">
        <x:f>'渠道成本'!P101</x:f>
        <x:v>1.9189041095890411</x:v>
      </x:c>
      <x:c r="C101" s="24" t="n">
        <x:v>4.2465753424657535</x:v>
      </x:c>
      <x:c r="D101" s="24" t="n">
        <x:f>IFERROR(C101-B101,0)</x:f>
        <x:v>2.327671232876712</x:v>
      </x:c>
      <x:c r="E101" s="25" t="n">
        <x:f>IFERROR(D101/C101,0)</x:f>
        <x:v>0.5481290322580644</x:v>
      </x:c>
    </x:row>
    <x:row r="102">
      <x:c r="A102" s="20" t="str">
        <x:v>COST-V2/MAP-SECURE-R69-4K</x:v>
      </x:c>
      <x:c r="B102" s="24" t="n">
        <x:f>'渠道成本'!P102</x:f>
        <x:v>3.8378082191780822</x:v>
      </x:c>
      <x:c r="C102" s="24" t="n">
        <x:v>2.191780821917808</x:v>
      </x:c>
      <x:c r="D102" s="24" t="n">
        <x:f>IFERROR(C102-B102,0)</x:f>
        <x:v>-1.6460273972602741</x:v>
      </x:c>
      <x:c r="E102" s="25" t="n">
        <x:f>IFERROR(D102/C102,0)</x:f>
        <x:v>-0.7510000000000001</x:v>
      </x:c>
    </x:row>
    <x:row r="103">
      <x:c r="A103" s="20" t="str">
        <x:v>COST-V2/MAP-SECURE-R70-720</x:v>
      </x:c>
      <x:c r="B103" s="24" t="n">
        <x:f>'渠道成本'!P103</x:f>
        <x:v>0.8183561643835616</x:v>
      </x:c>
      <x:c r="C103" s="24" t="n">
        <x:v>3.013698630136986</x:v>
      </x:c>
      <x:c r="D103" s="24" t="n">
        <x:f>IFERROR(C103-B103,0)</x:f>
        <x:v>2.1953424657534244</x:v>
      </x:c>
      <x:c r="E103" s="25" t="n">
        <x:f>IFERROR(D103/C103,0)</x:f>
        <x:v>0.7284545454545455</x:v>
      </x:c>
    </x:row>
    <x:row r="104">
      <x:c r="A104" s="20" t="str">
        <x:v>COST-V2/MAP-SECURE-R71-720</x:v>
      </x:c>
      <x:c r="B104" s="24" t="n">
        <x:f>'渠道成本'!P104</x:f>
        <x:v>0.6913698630136986</x:v>
      </x:c>
      <x:c r="C104" s="24" t="n">
        <x:v>1.917808219178082</x:v>
      </x:c>
      <x:c r="D104" s="24" t="n">
        <x:f>IFERROR(C104-B104,0)</x:f>
        <x:v>1.2264383561643835</x:v>
      </x:c>
      <x:c r="E104" s="25" t="n">
        <x:f>IFERROR(D104/C104,0)</x:f>
        <x:v>0.6395</x:v>
      </x:c>
    </x:row>
    <x:row r="105">
      <x:c r="A105" s="20" t="str">
        <x:v>COST-V2/MAP-SECURE-R72-720</x:v>
      </x:c>
      <x:c r="B105" s="24" t="n">
        <x:f>'渠道成本'!P105</x:f>
        <x:v>0.09876712328767123</x:v>
      </x:c>
      <x:c r="C105" s="24" t="n">
        <x:v>3.835616438356164</x:v>
      </x:c>
      <x:c r="D105" s="24" t="n">
        <x:f>IFERROR(C105-B105,0)</x:f>
        <x:v>3.736849315068493</x:v>
      </x:c>
      <x:c r="E105" s="25" t="n">
        <x:f>IFERROR(D105/C105,0)</x:f>
        <x:v>0.97425</x:v>
      </x:c>
    </x:row>
    <x:row r="106">
      <x:c r="A106" s="20" t="str">
        <x:v>COST-V2/MAP-SECURE-R73-1080</x:v>
      </x:c>
      <x:c r="B106" s="24" t="n">
        <x:f>'渠道成本'!P106</x:f>
        <x:v>0.24691780821917808</x:v>
      </x:c>
      <x:c r="C106" s="24" t="n">
        <x:v>4.2465753424657535</x:v>
      </x:c>
      <x:c r="D106" s="24" t="n">
        <x:f>IFERROR(C106-B106,0)</x:f>
        <x:v>3.9996575342465754</x:v>
      </x:c>
      <x:c r="E106" s="25" t="n">
        <x:f>IFERROR(D106/C106,0)</x:f>
        <x:v>0.9418548387096775</x:v>
      </x:c>
    </x:row>
    <x:row r="107">
      <x:c r="A107" s="20" t="str">
        <x:v>COST-V2/MAP-SECURE-R74-720</x:v>
      </x:c>
      <x:c r="B107" s="24" t="n">
        <x:f>'渠道成本'!P107</x:f>
        <x:v>0.07901369863013699</x:v>
      </x:c>
      <x:c r="C107" s="24" t="n">
        <x:v>3.013698630136986</x:v>
      </x:c>
      <x:c r="D107" s="24" t="n">
        <x:f>IFERROR(C107-B107,0)</x:f>
        <x:v>2.934684931506849</x:v>
      </x:c>
      <x:c r="E107" s="25" t="n">
        <x:f>IFERROR(D107/C107,0)</x:f>
        <x:v>0.9737818181818182</x:v>
      </x:c>
    </x:row>
    <x:row r="108">
      <x:c r="A108" s="20" t="str">
        <x:v>COST-V2/MAP-SECURE-R75-720</x:v>
      </x:c>
      <x:c r="B108" s="24" t="n">
        <x:f>'渠道成本'!P108</x:f>
        <x:v>0.06772602739726027</x:v>
      </x:c>
      <x:c r="C108" s="24" t="n">
        <x:v>1.917808219178082</x:v>
      </x:c>
      <x:c r="D108" s="24" t="n">
        <x:f>IFERROR(C108-B108,0)</x:f>
        <x:v>1.850082191780822</x:v>
      </x:c>
      <x:c r="E108" s="25" t="n">
        <x:f>IFERROR(D108/C108,0)</x:f>
        <x:v>0.9646857142857144</x:v>
      </x:c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0000000000000033"/>
  <x:tableParts count="1">
    <x:tablePart xmlns:r="http://schemas.openxmlformats.org/officeDocument/2006/relationships" r:id="R00000000000000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5" customHeight="1">
      <x:c r="A1" s="3" t="str">
        <x:v>渠道模型成本与利润配置模板 v2 - 校验</x:v>
      </x:c>
      <x:c r="B1" s="3"/>
      <x:c r="C1" s="3"/>
      <x:c r="D1" s="3"/>
      <x:c r="E1" s="3"/>
    </x:row>
    <x:row r="2" ht="34" customHeight="1">
      <x:c r="A2" s="5" t="str">
        <x:v>结构化字段是发布依据；备注和公式仅用于审计与预览。所有新增渠道、线路和路由默认禁用。</x:v>
      </x:c>
      <x:c r="B2" s="5"/>
      <x:c r="C2" s="5"/>
      <x:c r="D2" s="5"/>
      <x:c r="E2" s="5"/>
    </x:row>
    <x:row r="4" ht="36" customHeight="1">
      <x:c r="A4" s="14" t="str">
        <x:v>检查项</x:v>
      </x:c>
      <x:c r="B4" s="15" t="str">
        <x:v>错误数（公式）</x:v>
      </x:c>
      <x:c r="C4" s="15" t="str">
        <x:v>状态（公式）</x:v>
      </x:c>
      <x:c r="D4" s="15" t="str">
        <x:v>修复位置</x:v>
      </x:c>
      <x:c r="E4" s="16" t="str">
        <x:v>说明</x:v>
      </x:c>
    </x:row>
    <x:row r="5">
      <x:c r="A5" s="20" t="str">
        <x:v>成本线路引用</x:v>
      </x:c>
      <x:c r="B5" s="18" t="n">
        <x:f>COUNTBLANK('渠道成本'!$B$5:$B$108)</x:f>
        <x:v>0</x:v>
      </x:c>
      <x:c r="C5" s="18" t="str">
        <x:f>IF(B5=0,"PASS","FAIL")</x:f>
        <x:v>PASS</x:v>
      </x:c>
      <x:c r="D5" s="18" t="str">
        <x:v>渠道成本!B5:B108</x:v>
      </x:c>
      <x:c r="E5" s="18" t="str">
        <x:v>所有成本必须绑定结构化线路。</x:v>
      </x:c>
    </x:row>
    <x:row r="6">
      <x:c r="A6" s="20" t="str">
        <x:v>禁用路由目标</x:v>
      </x:c>
      <x:c r="B6" s="18" t="n">
        <x:f>COUNTIF('路由目标'!$N$5:$N$108,TRUE)</x:f>
        <x:v>0</x:v>
      </x:c>
      <x:c r="C6" s="18" t="str">
        <x:f>IF(B6=0,"PASS","FAIL")</x:f>
        <x:v>PASS</x:v>
      </x:c>
      <x:c r="D6" s="18" t="str">
        <x:v>路由目标!N5:N108</x:v>
      </x:c>
      <x:c r="E6" s="18" t="str">
        <x:v>新路由目标必须保持禁用。</x:v>
      </x:c>
    </x:row>
    <x:row r="7">
      <x:c r="A7" s="20" t="str">
        <x:v>成本变体</x:v>
      </x:c>
      <x:c r="B7" s="18" t="n">
        <x:f>COUNTBLANK('渠道成本'!$G$5:$G$108)</x:f>
        <x:v>0</x:v>
      </x:c>
      <x:c r="C7" s="18" t="str">
        <x:f>IF(B7=0,"PASS","FAIL")</x:f>
        <x:v>PASS</x:v>
      </x:c>
      <x:c r="D7" s="18" t="str">
        <x:v>渠道成本!G5:G108</x:v>
      </x:c>
      <x:c r="E7" s="18" t="str">
        <x:v>每条成本必须包含成本变体。</x:v>
      </x:c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0000000000000019"/>
  <x:tableParts count="1">
    <x:tablePart xmlns:r="http://schemas.openxmlformats.org/officeDocument/2006/relationships" r:id="R0000000000000021"/>
  </x:tableParts>
</x:worksheet>
</file>